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01_Dashboard" state="visible" r:id="rId4"/>
    <sheet sheetId="2" name="02_Work_Items" state="visible" r:id="rId5"/>
    <sheet sheetId="3" name="03_Feature_Summary" state="visible" r:id="rId6"/>
    <sheet sheetId="4" name="04_Daily_Progress" state="visible" r:id="rId7"/>
    <sheet sheetId="5" name="05_Commits" state="visible" r:id="rId8"/>
    <sheet sheetId="6" name="06_Pushes" state="visible" r:id="rId9"/>
    <sheet sheetId="7" name="07_Testing" state="visible" r:id="rId10"/>
    <sheet sheetId="8" name="08_Bugs_Issues" state="visible" r:id="rId11"/>
    <sheet sheetId="9" name="09_Decisions" state="visible" r:id="rId12"/>
    <sheet sheetId="10" name="10_Dependencies" state="visible" r:id="rId13"/>
    <sheet sheetId="11" name="11_Risks" state="visible" r:id="rId14"/>
    <sheet sheetId="12" name="12_Document_Traceability" state="visible" r:id="rId15"/>
    <sheet sheetId="1" name="13_Dropdowns" state="visible" r:id="rId16"/>
  </sheets>
  <definedNames>
    <definedName name="WI_ID">'02_Work_Items'!$A$5:$A$511</definedName>
    <definedName name="WI_Epic">'02_Work_Items'!$B$5:$B$511</definedName>
    <definedName name="WI_Feature">'02_Work_Items'!$C$5:$C$511</definedName>
    <definedName name="WI_Type">'02_Work_Items'!$E$5:$E$511</definedName>
    <definedName name="WI_Platform">'02_Work_Items'!$H$5:$H$511</definedName>
    <definedName name="WI_Priority">'02_Work_Items'!$L$5:$L$511</definedName>
    <definedName name="WI_Day">'02_Work_Items'!$N$5:$N$511</definedName>
    <definedName name="WI_Effort">'02_Work_Items'!$O$5:$O$511</definedName>
    <definedName name="WI_Status">'02_Work_Items'!$Q$5:$Q$511</definedName>
    <definedName name="WI_Impl">'02_Work_Items'!$R$5:$R$511</definedName>
    <definedName name="WI_Comm">'02_Work_Items'!$S$5:$S$511</definedName>
    <definedName name="WI_Push">'02_Work_Items'!$T$5:$T$511</definedName>
    <definedName name="WI_Test">'02_Work_Items'!$U$5:$U$511</definedName>
    <definedName name="WI_Rev">'02_Work_Items'!$V$5:$V$511</definedName>
    <definedName name="WI_Blocked">'02_Work_Items'!$W$5:$W$511</definedName>
    <definedName name="WI_Bugs">'02_Work_Items'!$X$5:$X$511</definedName>
    <definedName name="FS_Feature">'03_Feature_Summary'!$B$5:$B$43</definedName>
    <definedName name="FS_Total">'03_Feature_Summary'!$D$5:$D$43</definedName>
    <definedName name="TEST_Result">'07_Testing'!$K$5:$K$404</definedName>
    <definedName name="BUG_Sev">'08_Bugs_Issues'!$E$5:$E$304</definedName>
    <definedName name="BUG_Status">'08_Bugs_Issues'!$K$5:$K$304</definedName>
  </definedNames>
  <calcPr calcId="171027"/>
</workbook>
</file>

<file path=xl/sharedStrings.xml><?xml version="1.0" encoding="utf-8"?>
<sst xmlns="http://schemas.openxmlformats.org/spreadsheetml/2006/main" count="24847" uniqueCount="3113">
  <si>
    <t>CARPOOL MOBILITY PLATFORM  (CMP)  -  IMPLEMENTATION DASHBOARD</t>
  </si>
  <si>
    <t>Every figure on this sheet is a live formula over 02_Work_Items, 07_Testing and 08_Bugs_Issues. Nothing here is typed. Update the tracker and this sheet follows.</t>
  </si>
  <si>
    <t>PROJECT OVERVIEW</t>
  </si>
  <si>
    <t>Project</t>
  </si>
  <si>
    <t>Carpool Mobility Platform</t>
  </si>
  <si>
    <t>Sprint</t>
  </si>
  <si>
    <t>15-Day MVP Sprint</t>
  </si>
  <si>
    <t>Start Date</t>
  </si>
  <si>
    <t>TBD - no delivery horizon supplied (BAD-DEC-002)</t>
  </si>
  <si>
    <t>Project Code</t>
  </si>
  <si>
    <t>CMP</t>
  </si>
  <si>
    <t>Total Features</t>
  </si>
  <si>
    <t>Target Date</t>
  </si>
  <si>
    <t>TBD - no release date is supportable (TR-107)</t>
  </si>
  <si>
    <t>Documentation baseline</t>
  </si>
  <si>
    <t>CMP-DOC-01 to CMP-DOC-20, all v0.1 Draft</t>
  </si>
  <si>
    <t>Documents approved</t>
  </si>
  <si>
    <t>0 of 20</t>
  </si>
  <si>
    <t>Application source code</t>
  </si>
  <si>
    <t>None existed at plan date</t>
  </si>
  <si>
    <t>Plan basis</t>
  </si>
  <si>
    <t>Dependency-ordered, not capacity-fitted</t>
  </si>
  <si>
    <t>Team composition</t>
  </si>
  <si>
    <t>Not supplied (BAD-CON-017)</t>
  </si>
  <si>
    <t>MVP scope</t>
  </si>
  <si>
    <t>Proposed only, not approved (BAD-DEC-020)</t>
  </si>
  <si>
    <t>KEY METRICS     - live counts over the 507 implementation work items</t>
  </si>
  <si>
    <t>Total Work Items</t>
  </si>
  <si>
    <t>Completed</t>
  </si>
  <si>
    <t>Remaining</t>
  </si>
  <si>
    <t>In Progress</t>
  </si>
  <si>
    <t>Blocked</t>
  </si>
  <si>
    <t>Implemented (flag)</t>
  </si>
  <si>
    <t>Committed (flag)</t>
  </si>
  <si>
    <t>Pushed (flag)</t>
  </si>
  <si>
    <t>Tested (flag)</t>
  </si>
  <si>
    <t>Reviewed (flag)</t>
  </si>
  <si>
    <t>Open Bugs</t>
  </si>
  <si>
    <t>Critical Bugs</t>
  </si>
  <si>
    <t>High Bugs</t>
  </si>
  <si>
    <t>Total Effort (h)</t>
  </si>
  <si>
    <t>PROJECT HEALTH     - percentages are of all work items, not of the 15-day subset</t>
  </si>
  <si>
    <t>Health measure</t>
  </si>
  <si>
    <t>Count</t>
  </si>
  <si>
    <t>Of total</t>
  </si>
  <si>
    <t>%</t>
  </si>
  <si>
    <t/>
  </si>
  <si>
    <t>Interpretation</t>
  </si>
  <si>
    <t>Overall completion</t>
  </si>
  <si>
    <t>Work items with Status = Completed</t>
  </si>
  <si>
    <t>Implementation</t>
  </si>
  <si>
    <t>Code exists. Not the same as committed.</t>
  </si>
  <si>
    <t>Commit</t>
  </si>
  <si>
    <t>A Git commit exists. Log it on 05_Commits.</t>
  </si>
  <si>
    <t>Push</t>
  </si>
  <si>
    <t>The commit reached the remote. Log it on 06_Pushes.</t>
  </si>
  <si>
    <t>Testing</t>
  </si>
  <si>
    <t>Testing completed successfully. Log cases on 07_Testing.</t>
  </si>
  <si>
    <t>Review</t>
  </si>
  <si>
    <t>Project Owner or code review completed.</t>
  </si>
  <si>
    <t>Blocked on a named decision. Cannot be worked around.</t>
  </si>
  <si>
    <t>Unblocked and plannable</t>
  </si>
  <si>
    <t>Work that can begin once the chain is approved.</t>
  </si>
  <si>
    <t>Status</t>
  </si>
  <si>
    <t>% of total</t>
  </si>
  <si>
    <t>Bar</t>
  </si>
  <si>
    <t>Not Started</t>
  </si>
  <si>
    <t>In Analysis</t>
  </si>
  <si>
    <t>Ready</t>
  </si>
  <si>
    <t>Implemented</t>
  </si>
  <si>
    <t>Committed</t>
  </si>
  <si>
    <t>Pushed</t>
  </si>
  <si>
    <t>Tested</t>
  </si>
  <si>
    <t>Reviewed</t>
  </si>
  <si>
    <t>Cancelled</t>
  </si>
  <si>
    <t>DAILY PROGRESS  -  PLAN vs ACTUAL     - Planned is the documented day allocation; the rest are live counts</t>
  </si>
  <si>
    <t>Day</t>
  </si>
  <si>
    <t>Planned</t>
  </si>
  <si>
    <t>Effort (h)</t>
  </si>
  <si>
    <t>Cumulative planned effort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</si>
  <si>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</si>
  <si>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</si>
  <si>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</si>
  <si>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</si>
  <si>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</si>
  <si>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</si>
  <si>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</si>
  <si>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</si>
  <si>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</si>
  <si>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</si>
  <si>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</si>
  <si>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</si>
  <si>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</si>
  <si>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</si>
  <si>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</si>
  <si>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Post-MVP</t>
  </si>
  <si>
    <t>{"formula":""}</t>
  </si>
  <si>
    <t>TBD</t>
  </si>
  <si>
    <t>TESTING SUMMARY  &amp;  BUG SUMMARY     - from 07_Testing and 08_Bugs_Issues</t>
  </si>
  <si>
    <t>Testing measure</t>
  </si>
  <si>
    <t>Value</t>
  </si>
  <si>
    <t>Bug measure</t>
  </si>
  <si>
    <t>Total tests recorded</t>
  </si>
  <si>
    <t>A passing suite is not readiness (TR-121). The largest risks here are undecided, not defective. CMP-DOC-18 requires a negative test for every integrity-critical requirement.</t>
  </si>
  <si>
    <t>Open bugs</t>
  </si>
  <si>
    <t>Two entries on 09_Decisions are defects in the requirement baseline rather than code bugs: FRD-GAP-006 (a driver with confirmed bookings has no way to cancel) and FRD-GAP-014 (the platform can hold money with no specified means of returning it). Neither needs engineering to resolve.</t>
  </si>
  <si>
    <t>Passed</t>
  </si>
  <si>
    <t>Critical</t>
  </si>
  <si>
    <t>Failed</t>
  </si>
  <si>
    <t>High</t>
  </si>
  <si>
    <t>Medium</t>
  </si>
  <si>
    <t>Retest Required</t>
  </si>
  <si>
    <t>Low</t>
  </si>
  <si>
    <t>Not Tested</t>
  </si>
  <si>
    <t>Closed bugs</t>
  </si>
  <si>
    <t>Pass Rate</t>
  </si>
  <si>
    <t>Bug count on work items</t>
  </si>
  <si>
    <t>SCOPE SPLIT     - priority, platform and work type</t>
  </si>
  <si>
    <t>Priority</t>
  </si>
  <si>
    <t>Items</t>
  </si>
  <si>
    <t>Platform</t>
  </si>
  <si>
    <t>Work type (top)</t>
  </si>
  <si>
    <t>P0</t>
  </si>
  <si>
    <t>Android</t>
  </si>
  <si>
    <t>Backend</t>
  </si>
  <si>
    <t>P1</t>
  </si>
  <si>
    <t>Laravel</t>
  </si>
  <si>
    <t>P2</t>
  </si>
  <si>
    <t>MySQL</t>
  </si>
  <si>
    <t>Security</t>
  </si>
  <si>
    <t>Filament</t>
  </si>
  <si>
    <t>API</t>
  </si>
  <si>
    <t>Cross Platform</t>
  </si>
  <si>
    <t>Admin</t>
  </si>
  <si>
    <t>Documentation</t>
  </si>
  <si>
    <t>UI</t>
  </si>
  <si>
    <t>DevOps</t>
  </si>
  <si>
    <t>FEATURE ANALYSIS     - live from 03_Feature_Summary; every column is a formula</t>
  </si>
  <si>
    <t>Feature</t>
  </si>
  <si>
    <t>Epic</t>
  </si>
  <si>
    <t>Total</t>
  </si>
  <si>
    <t>Bugs</t>
  </si>
  <si>
    <t>Completion %</t>
  </si>
  <si>
    <t>Progress</t>
  </si>
  <si>
    <t>FEAT-001 Project Foundation - Android</t>
  </si>
  <si>
    <t>EPIC-01 Foundation &amp; Architecture</t>
  </si>
  <si>
    <t>FEAT-002 Project Foundation - Laravel</t>
  </si>
  <si>
    <t>FEAT-003 Project Foundation - Database</t>
  </si>
  <si>
    <t>FEAT-004 Authentication &amp; Session</t>
  </si>
  <si>
    <t>EPIC-02 Identity &amp; Access</t>
  </si>
  <si>
    <t>FEAT-005 Registration &amp; Phone Verification</t>
  </si>
  <si>
    <t>FEAT-006 Profile &amp; Counterparty Disclosure</t>
  </si>
  <si>
    <t>FEAT-007 Roles &amp; Authorisation</t>
  </si>
  <si>
    <t>FEAT-008 Vehicle Management</t>
  </si>
  <si>
    <t>EPIC-03 Supply</t>
  </si>
  <si>
    <t>FEAT-009 Ride Publishing</t>
  </si>
  <si>
    <t>FEAT-010 Ride Preferences</t>
  </si>
  <si>
    <t>FEAT-011 Ride Search &amp; Route Matching</t>
  </si>
  <si>
    <t>EPIC-04 Discovery</t>
  </si>
  <si>
    <t>FEAT-012 Ride Detail &amp; Commitment Surface</t>
  </si>
  <si>
    <t>FEAT-013 Ride Request</t>
  </si>
  <si>
    <t>EPIC-05 Transaction</t>
  </si>
  <si>
    <t>FEAT-014 Booking &amp; Seat Allocation</t>
  </si>
  <si>
    <t>FEAT-015 Fare &amp; Payment Initiation</t>
  </si>
  <si>
    <t>FEAT-016 Payment Verification &amp; Reconciliation</t>
  </si>
  <si>
    <t>FEAT-017 Ledger</t>
  </si>
  <si>
    <t>FEAT-018 Trip Execution</t>
  </si>
  <si>
    <t>EPIC-06 Journey</t>
  </si>
  <si>
    <t>FEAT-019 Live Position Tracking</t>
  </si>
  <si>
    <t>FEAT-020 Estimates &amp; Multi-Passenger Trip</t>
  </si>
  <si>
    <t>FEAT-021 Trip History &amp; Records</t>
  </si>
  <si>
    <t>FEAT-022 Messaging</t>
  </si>
  <si>
    <t>EPIC-07 Communication</t>
  </si>
  <si>
    <t>FEAT-023 Notifications</t>
  </si>
  <si>
    <t>FEAT-024 Emergency Contacts</t>
  </si>
  <si>
    <t>EPIC-08 Safety</t>
  </si>
  <si>
    <t>FEAT-025 Safety Incident Pipeline</t>
  </si>
  <si>
    <t>FEAT-026 Safety Centre &amp; Safety Surface</t>
  </si>
  <si>
    <t>FEAT-027 Admin Foundation &amp; Projections</t>
  </si>
  <si>
    <t>EPIC-09 Operations</t>
  </si>
  <si>
    <t>FEAT-028 Admin Inspection &amp; Intervention</t>
  </si>
  <si>
    <t>FEAT-029 Admin Payment Reconciliation</t>
  </si>
  <si>
    <t>FEAT-030 Admin Safety &amp; Support</t>
  </si>
  <si>
    <t>FEAT-031 Admin Operational Reporting</t>
  </si>
  <si>
    <t>FEAT-032 Backend Authority &amp; Idempotency</t>
  </si>
  <si>
    <t>EPIC-10 Cross-Cutting Integrity</t>
  </si>
  <si>
    <t>FEAT-033 Evidential Log &amp; Audit</t>
  </si>
  <si>
    <t>FEAT-034 Degraded Operation &amp; Configuration</t>
  </si>
  <si>
    <t>FEAT-035 API Contract &amp; Versioning</t>
  </si>
  <si>
    <t>FEAT-036 Security Controls</t>
  </si>
  <si>
    <t>EPIC-11 Security</t>
  </si>
  <si>
    <t>FEAT-037 Verification &amp; Test Infrastructure</t>
  </si>
  <si>
    <t>EPIC-12 Quality</t>
  </si>
  <si>
    <t>FEAT-038 Build, Pipeline &amp; Environments</t>
  </si>
  <si>
    <t>EPIC-13 DevOps &amp; Release</t>
  </si>
  <si>
    <t>FEAT-039 Observability &amp; Operations</t>
  </si>
  <si>
    <t>HOW TO READ THIS DASHBOARD</t>
  </si>
  <si>
    <t>1.   Implemented, Committed, Pushed, Tested, Reviewed and Completed are SIX SEPARATE STAGES. Code existing is not a commit; a commit is not a push; a push is not a test. Set each flag independently on 02_Work_Items.</t>
  </si>
  <si>
    <t>2.   A work item reaches Completed only when it is implemented, committed, pushed, tested and reviewed. Nothing in this workbook sets Completed automatically - the Project Owner has final authority.</t>
  </si>
  <si>
    <t>3.   The Blocked count is not a delivery problem. Every blocked item names the business or technical decision that blocks it, on 09_Decisions and 10_Dependencies. None can be worked around by engineering.</t>
  </si>
  <si>
    <t>4.   The Day 1 to Day 15 allocation is DEPENDENCY-ORDERED, not capacity-fitted. No team size, budget or delivery horizon has been supplied (BAD-CON-017, BAD-DEC-002). Compare Effort (h) per day against real capacity before treating the plan as a commitment.</t>
  </si>
  <si>
    <t>5.   This register contains implementation work only. Business decisions, functional gaps, withheld areas and documentation conflicts are not work items and are never counted here - they live on 09_Decisions, 10_Dependencies and 11_Risks. A row marked Blocked is buildable work whose value or policy is not yet set, not a decision waiting to be taken.</t>
  </si>
  <si>
    <t>6.   Percentages are of all 507 implementation work items. They are not release readiness. Release readiness is assessed against the twelve criteria of CMP-DOC-20 section 10.1, of which one is currently met.</t>
  </si>
  <si>
    <t>7.   A measure with no data is reported as unavailable or as zero-with-no-tests-recorded, never as success. This mirrors FRD-FR-236, which exists because a dashboard reporting "refunds: 0" when refunds are unimplemented reads as good news.</t>
  </si>
  <si>
    <t>DAILY PROGRESS CHART     - planned work per day against implemented, completed and blocked</t>
  </si>
  <si>
    <t>CMP - MASTER IMPLEMENTATION WORK ITEMS</t>
  </si>
  <si>
    <t>Carpool Mobility Platform  |  Project Code CMP  |  Implementation work only. Every row derives from a numbered document statement. Business decisions, functional gaps, withheld areas and documentation conflicts are NOT work items - they are carried on 09_Decisions, 10_Dependencies and 11_Risks. A row marked Blocked is buildable work whose value or policy is not yet set; it names what blocks it.</t>
  </si>
  <si>
    <t>PLANNING REFERENCE (derived from documentation)</t>
  </si>
  <si>
    <t>OWNER-MAINTAINED COLUMNS -&gt;</t>
  </si>
  <si>
    <t>Work ID</t>
  </si>
  <si>
    <t>Module</t>
  </si>
  <si>
    <t>Work Type</t>
  </si>
  <si>
    <t>Work Description</t>
  </si>
  <si>
    <t>Subtask</t>
  </si>
  <si>
    <t>Layer</t>
  </si>
  <si>
    <t>Requirement ID</t>
  </si>
  <si>
    <t>Use Case ID</t>
  </si>
  <si>
    <t>Dependency</t>
  </si>
  <si>
    <t>Planned Day</t>
  </si>
  <si>
    <t>Estimated Effort (h)</t>
  </si>
  <si>
    <t>Assigned To</t>
  </si>
  <si>
    <t>Bug Count</t>
  </si>
  <si>
    <t>Commit Hash</t>
  </si>
  <si>
    <t>Push Reference</t>
  </si>
  <si>
    <t>Test Result</t>
  </si>
  <si>
    <t>Notes</t>
  </si>
  <si>
    <t>Last Updated</t>
  </si>
  <si>
    <t>CMP-IMP-001</t>
  </si>
  <si>
    <t>Android Shell</t>
  </si>
  <si>
    <t>Configuration</t>
  </si>
  <si>
    <t>Create Android project skeleton (Kotlin, Jetpack Compose, single Activity)</t>
  </si>
  <si>
    <t>Gradle setup; Compose BOM; single-activity host; theme scaffold; smoke build</t>
  </si>
  <si>
    <t>MOB-001; MADR-08; ARCH-014</t>
  </si>
  <si>
    <t>-</t>
  </si>
  <si>
    <t>No</t>
  </si>
  <si>
    <t>CMP-IMP-002</t>
  </si>
  <si>
    <t>Create the module structure: app, presentation, domain, data, platform, core</t>
  </si>
  <si>
    <t>Module creation; Gradle wiring; package skeletons; empty-module build</t>
  </si>
  <si>
    <t>MOB-001; MOB-002; MOB-003; MOB-005</t>
  </si>
  <si>
    <t>CMP-IMP-003</t>
  </si>
  <si>
    <t>Enforce module dependency direction at build time</t>
  </si>
  <si>
    <t>Dependency-rule plugin; rule set for MOB-002/003/006; fail-on-violation; CI wiring</t>
  </si>
  <si>
    <t>MOB-007; MOB-161; OPS-108; OPS-109; TC-037</t>
  </si>
  <si>
    <t>CMP-IMP-004</t>
  </si>
  <si>
    <t>Implement core provenance wrapper carrying value plus as-of marking</t>
  </si>
  <si>
    <t>Provenance type; as-of instant; authoritative/cached flag; unit tests</t>
  </si>
  <si>
    <t>Domain</t>
  </si>
  <si>
    <t>MOB-009; MADR-02; UXDR-02; API-047</t>
  </si>
  <si>
    <t>CMP-IMP-005</t>
  </si>
  <si>
    <t>Implement core Result type and the four-class error model</t>
  </si>
  <si>
    <t>Result sealed type; InvalidRequest/BusinessRefusal/DependencyUnavailable/InternalFault; mapping tests</t>
  </si>
  <si>
    <t>MOB-009; MADR-10; AADR-02</t>
  </si>
  <si>
    <t>CMP-IMP-006</t>
  </si>
  <si>
    <t>Configure the compile-time dependency injection graph</t>
  </si>
  <si>
    <t>DI framework setup; module bindings; app-module composition only; graph verification test</t>
  </si>
  <si>
    <t>MADR-03; MOB-005</t>
  </si>
  <si>
    <t>CMP-IMP-007</t>
  </si>
  <si>
    <t>Configure injected coroutine dispatchers and structured concurrency</t>
  </si>
  <si>
    <t>Dispatcher provider; no static dispatcher references; scope ownership; lint rule</t>
  </si>
  <si>
    <t>MADR-09; MOB-166</t>
  </si>
  <si>
    <t>CMP-IMP-008</t>
  </si>
  <si>
    <t>Configure build variants supplying environment values at build time</t>
  </si>
  <si>
    <t>Variant definitions; no env value in source; config injection; verification test</t>
  </si>
  <si>
    <t>MOB-013; MOB-162; MOB-163; OPS-107; NFR-108</t>
  </si>
  <si>
    <t>CMP-IMP-009</t>
  </si>
  <si>
    <t>Add static analysis proving absence of business logic in the client</t>
  </si>
  <si>
    <t>Rule for fare/seat/state-transition computation; fail-on-violation; baseline run</t>
  </si>
  <si>
    <t>MOB-010; MOB-011; OPS-110; SRS-REQ-125; TC-037</t>
  </si>
  <si>
    <t>CMP-IMP-010</t>
  </si>
  <si>
    <t>Declare supported Android version range and device characteristics in the build</t>
  </si>
  <si>
    <t>minSdk/targetSdk declaration; device characteristic declaration; build check</t>
  </si>
  <si>
    <t>MOB-164; OPS-111; NFR-093; NFR-094</t>
  </si>
  <si>
    <t>MOB-OQ-001</t>
  </si>
  <si>
    <t>Yes</t>
  </si>
  <si>
    <t>Decision Required - supported device range is unresolved (MOB-OQ-001, OPS-112).</t>
  </si>
  <si>
    <t>CMP-IMP-011</t>
  </si>
  <si>
    <t>Produce a measurable client artefact size in the build</t>
  </si>
  <si>
    <t>Size measurement task; report emission; record baseline</t>
  </si>
  <si>
    <t>MOB-165; OPS-113; NFR-156</t>
  </si>
  <si>
    <t>Budget figure unset (OPS-114, GAP-015). Measure now so a budget can be set from observation.</t>
  </si>
  <si>
    <t>CMP-IMP-012</t>
  </si>
  <si>
    <t>Build the single-Activity navigation destination graph</t>
  </si>
  <si>
    <t>Destination graph; one route per screen; back behaviour; deep-link entry points</t>
  </si>
  <si>
    <t>MADR-08; MOB-020; UX-010</t>
  </si>
  <si>
    <t>CMP-IMP-013</t>
  </si>
  <si>
    <t>Move all user-facing and brand-bearing strings to resources</t>
  </si>
  <si>
    <t>String resource files; lint against literals in code; no brand name pending BAD-DEC-023</t>
  </si>
  <si>
    <t>MOB-012; ARCH-027; NFR-110</t>
  </si>
  <si>
    <t>CMP-IMP-014</t>
  </si>
  <si>
    <t>UX</t>
  </si>
  <si>
    <t>Add accessibility hooks to the Compose surface scaffolding</t>
  </si>
  <si>
    <t>Semantics properties; touch target sizing; content descriptions; focus order</t>
  </si>
  <si>
    <t>MOB 5.3; UX-015; NFR-088</t>
  </si>
  <si>
    <t>Decision Required - accessibility conformance standard is unchosen (MOB-OQ-002, UX 15.3).</t>
  </si>
  <si>
    <t>CMP-IMP-015</t>
  </si>
  <si>
    <t>Integration</t>
  </si>
  <si>
    <t>Implement client version negotiation against the platform</t>
  </si>
  <si>
    <t>Version header carriage; supported-range read; unsupported detection; forced-update path</t>
  </si>
  <si>
    <t>Network</t>
  </si>
  <si>
    <t>MOB-057; API-024; API-025; API-027</t>
  </si>
  <si>
    <t>CMP-IMP-016</t>
  </si>
  <si>
    <t>Build Screen 32 - Version unsupported</t>
  </si>
  <si>
    <t>Compose surface; reachable without session; offers no business capability; navigation lock</t>
  </si>
  <si>
    <t>UX-004; UX-005; API-026</t>
  </si>
  <si>
    <t>CMP-IMP-017</t>
  </si>
  <si>
    <t>Implement the immutable screen-state contract and state-holder base</t>
  </si>
  <si>
    <t>One state object per screen; values carry provenance; survives configuration change</t>
  </si>
  <si>
    <t>ViewModel</t>
  </si>
  <si>
    <t>MOB-015; MOB-016; MOB-017; UXDR-05; UX-015; UX-016; UX-017</t>
  </si>
  <si>
    <t>CMP-IMP-018</t>
  </si>
  <si>
    <t>Implement the four designed screen conditions: loaded, loading, empty, failed</t>
  </si>
  <si>
    <t>Shared condition components; no default treatments; per-condition rendering rules</t>
  </si>
  <si>
    <t>UXDR-07; UX 5.1</t>
  </si>
  <si>
    <t>CMP-IMP-019</t>
  </si>
  <si>
    <t>Implement the four failure treatments on the client</t>
  </si>
  <si>
    <t>Invalid request; business refusal; dependency unavailable; internal fault; branch mapping</t>
  </si>
  <si>
    <t>UXDR-03; UX 7; MADR-10; AADR-02</t>
  </si>
  <si>
    <t>CMP-IMP-020</t>
  </si>
  <si>
    <t>Implement status presentation that never relies on colour alone</t>
  </si>
  <si>
    <t>Icon and text pairing; contrast check; review against UXDR-16</t>
  </si>
  <si>
    <t>UXDR-16; UX 15.2</t>
  </si>
  <si>
    <t>CMP-IMP-021</t>
  </si>
  <si>
    <t>Backend Shell</t>
  </si>
  <si>
    <t>Create Laravel project with Interface/Application/Domain/Infrastructure namespaces</t>
  </si>
  <si>
    <t>Project init; namespace roots; autoload mapping; domain-area sub-organisation; smoke boot</t>
  </si>
  <si>
    <t>Service</t>
  </si>
  <si>
    <t>BE-001; BE-004; BADR-01; ARCH-014</t>
  </si>
  <si>
    <t>CMP-IMP-022</t>
  </si>
  <si>
    <t>Enforce inward-only layer dependency by static analysis in the build</t>
  </si>
  <si>
    <t>Architecture-test tool; Domain-references-no-framework rule; fail-on-violation</t>
  </si>
  <si>
    <t>BE-002; BE-003; BE-014; BADR-18; TC-037</t>
  </si>
  <si>
    <t>CMP-IMP-023</t>
  </si>
  <si>
    <t>Implement the application service base with command and result types</t>
  </si>
  <si>
    <t>Command objects in application terms; result distinguishing success from each failure class; HTTP-free invocation</t>
  </si>
  <si>
    <t>BE-041; BE-042; BE-043; BE-046; BADR-03</t>
  </si>
  <si>
    <t>CMP-IMP-024</t>
  </si>
  <si>
    <t>Implement transaction boundary ownership in application services only</t>
  </si>
  <si>
    <t>Transaction manager; guard preventing begin/commit outside application layer; narrowest-scope rule</t>
  </si>
  <si>
    <t>BE-047; BE-054; ARCH-032; BADR-03</t>
  </si>
  <si>
    <t>CMP-IMP-025</t>
  </si>
  <si>
    <t>Implement the idempotency registry at the application boundary</t>
  </si>
  <si>
    <t>mch_idempotency_registry table; key acceptance; same-transaction write; replay semantics</t>
  </si>
  <si>
    <t>Repository</t>
  </si>
  <si>
    <t>BE-045; BE-051; BADR-08; ARCH-124; DADR-13</t>
  </si>
  <si>
    <t>CMP-IMP-026</t>
  </si>
  <si>
    <t>Implement after-commit domain event dispatch</t>
  </si>
  <si>
    <t>Aggregate records events; dispatcher fires after commit; listener registration; event immutability</t>
  </si>
  <si>
    <t>BE-020; BE-022; BE-039; BADR-06</t>
  </si>
  <si>
    <t>CMP-IMP-027</t>
  </si>
  <si>
    <t>Implement the seven job families with priority separation</t>
  </si>
  <si>
    <t>Family declarations; no undeclared eighth; per-family queue binding; drain and pause controls</t>
  </si>
  <si>
    <t>Queue</t>
  </si>
  <si>
    <t>BE-131; BE-133; BADR-07</t>
  </si>
  <si>
    <t>CMP-IMP-028</t>
  </si>
  <si>
    <t>Make every job idempotent, outcome-recording and failure-visible</t>
  </si>
  <si>
    <t>Safe re-execution; outcome record; failed state visible to operations; identity carried explicitly</t>
  </si>
  <si>
    <t>BE-135; BE-136; BE-137; BE-140; BE-141</t>
  </si>
  <si>
    <t>CMP-IMP-029</t>
  </si>
  <si>
    <t>Register scheduled work in the scheduled-generation, reconciliation and maintenance families</t>
  </si>
  <si>
    <t>Scheduler bindings; frequency as configuration; single-active-scheduler assumption recorded</t>
  </si>
  <si>
    <t>BE-143; BE-145; BE-146; BE-147; BE-148</t>
  </si>
  <si>
    <t>CMP-IMP-030</t>
  </si>
  <si>
    <t>Implement the port and adapter skeleton with a capability result type</t>
  </si>
  <si>
    <t>Domain port interfaces; capability result; adapter registration; unavailability signalling</t>
  </si>
  <si>
    <t>Model</t>
  </si>
  <si>
    <t>BE-036; BADR-11; ARCH-061</t>
  </si>
  <si>
    <t>CMP-IMP-031</t>
  </si>
  <si>
    <t>Implement the typed, versioned, cached policy configuration store</t>
  </si>
  <si>
    <t>cfg_policy_values and cfg_policy_versions; typed accessors; cache; change evidenced</t>
  </si>
  <si>
    <t>BE 13.1; BADR-12; ARCH-146; DB-008</t>
  </si>
  <si>
    <t>CMP-IMP-032</t>
  </si>
  <si>
    <t>Implement the configuration-driven state machine engine</t>
  </si>
  <si>
    <t>cfg_state_models; transition contracts in Domain; definitions as configuration; illegal-transition refusal</t>
  </si>
  <si>
    <t>BE-038; BADR-13; ARCH-037; DB-039</t>
  </si>
  <si>
    <t>Six state models are undecided (BAD-DEC-015 and others). The engine is buildable; the definitions are not.</t>
  </si>
  <si>
    <t>CMP-IMP-033</t>
  </si>
  <si>
    <t>Implement application-layer authorisation evaluated deny-by-default</t>
  </si>
  <si>
    <t>Authorisation evaluated before domain invocation; single path; capability check; refusal recording</t>
  </si>
  <si>
    <t>Authorization</t>
  </si>
  <si>
    <t>BE-044; BADR-14; SADR-06; ARCH-031</t>
  </si>
  <si>
    <t>CMP-IMP-034</t>
  </si>
  <si>
    <t>Implement the four-class backend error model</t>
  </si>
  <si>
    <t>Error classification; mapping to interface branches; no leakage of internal fault detail</t>
  </si>
  <si>
    <t>BADR-17; BE 14.2; AADR-02</t>
  </si>
  <si>
    <t>CMP-IMP-035</t>
  </si>
  <si>
    <t>Bootstrap the safety surface as a separately bootable entry point</t>
  </si>
  <si>
    <t>Separate entry point; minimum dependency set; independent boot verification</t>
  </si>
  <si>
    <t>BADR-16; BE-191; OPS-041; AADR-11</t>
  </si>
  <si>
    <t>CMP-IMP-036</t>
  </si>
  <si>
    <t>Add structural enforcement tests for the backend</t>
  </si>
  <si>
    <t>ORM absent from Domain/Application/Interface; no business rule in controller, resource, job or listener; one rule one component</t>
  </si>
  <si>
    <t>BE-009; BE-010; BE-011; BE-012; BE 17.2; TC-037</t>
  </si>
  <si>
    <t>CMP-IMP-037</t>
  </si>
  <si>
    <t>Implement repository interfaces in Domain with the ORM behind them</t>
  </si>
  <si>
    <t>Repository contracts returning domain objects; infrastructure implementations; no ORM leakage</t>
  </si>
  <si>
    <t>BE-037; BE 8.1; BADR-05</t>
  </si>
  <si>
    <t>CMP-IMP-038</t>
  </si>
  <si>
    <t>Schema Foundation</t>
  </si>
  <si>
    <t>Database</t>
  </si>
  <si>
    <t>Create the MySQL schema on InnoDB with a full-range Unicode character set</t>
  </si>
  <si>
    <t>Schema creation; InnoDB default; charset and collation; CHECK-enforcing server version verified</t>
  </si>
  <si>
    <t>Schema</t>
  </si>
  <si>
    <t>DB-001; DB-009; DB-010; OPS-024; DADR-02</t>
  </si>
  <si>
    <t>CMP-IMP-039</t>
  </si>
  <si>
    <t>Establish the six storage domains by table name prefix</t>
  </si>
  <si>
    <t>op_, led_, ev_, proj_, mch_, cfg_ convention; migration-time domain membership check</t>
  </si>
  <si>
    <t>DB-002; DB-003; DB-014; DADR-01</t>
  </si>
  <si>
    <t>CMP-IMP-040</t>
  </si>
  <si>
    <t>Implement the dual key convention: internal surrogate and external opaque identifier</t>
  </si>
  <si>
    <t>BIGINT UNSIGNED AUTO_INCREMENT PK; random external id; entropy; no meaning, sequence or timestamp; internal key never exposed</t>
  </si>
  <si>
    <t>DB-021; DB-022; DB-023; DB-024; DADR-03; API-013; API-014</t>
  </si>
  <si>
    <t>CMP-IMP-041</t>
  </si>
  <si>
    <t>Implement cursor paging on sort-key plus internal-id tuples</t>
  </si>
  <si>
    <t>Cursor encoding; opacity; non-constructible by caller; monotonic key guarantee</t>
  </si>
  <si>
    <t>Query</t>
  </si>
  <si>
    <t>DB-025; DB-026; DB-027; DADR-04; API-112</t>
  </si>
  <si>
    <t>CMP-IMP-042</t>
  </si>
  <si>
    <t>Apply the type conventions: exact decimal money, instant timestamps, protected columns</t>
  </si>
  <si>
    <t>DECIMAL money; no float anywhere; single time zone reference; protected and non-recoverable column marking</t>
  </si>
  <si>
    <t>DB-031; DB-033; DB-034; DB-035; DB-036; DADR-06</t>
  </si>
  <si>
    <t>Decision Required - monetary precision is unset (DB-032), depending on scale figures not supplied (GAP-016).</t>
  </si>
  <si>
    <t>CMP-IMP-043</t>
  </si>
  <si>
    <t>Enforce bound parameters everywhere and forbid concatenated statements</t>
  </si>
  <si>
    <t>Query construction review; static check; allow-list for sort and filter parameters</t>
  </si>
  <si>
    <t>DB-038; SADR-09; SEC-119; SEC-121; BE-102</t>
  </si>
  <si>
    <t>CMP-IMP-044</t>
  </si>
  <si>
    <t>Forbid geography in any table, column, index, constraint name or partition</t>
  </si>
  <si>
    <t>Naming rule; migration-time check; review of all identifiers</t>
  </si>
  <si>
    <t>DB-020; DADR-14; SRS-REQ-101</t>
  </si>
  <si>
    <t>CMP-IMP-045</t>
  </si>
  <si>
    <t>Establish naming, index-naming and constraint-naming conventions</t>
  </si>
  <si>
    <t>Snake case; plural tables; singular columns; index names state columns; constraint names state the rule</t>
  </si>
  <si>
    <t>DB-015; DB-016; DB-017; DB-018; DB-019</t>
  </si>
  <si>
    <t>CMP-IMP-046</t>
  </si>
  <si>
    <t>Set up the migration framework with a destructive-migration approval path</t>
  </si>
  <si>
    <t>Migration tooling; ordering; recorded approval for destructive change; no migration rewrites evidence</t>
  </si>
  <si>
    <t>Migration</t>
  </si>
  <si>
    <t>DB 16; DB-218; DB-219; OPS-034</t>
  </si>
  <si>
    <t>CMP-IMP-047</t>
  </si>
  <si>
    <t>Create the three database accounts and their grants</t>
  </si>
  <si>
    <t>Application account; evidential-write account; read account unable to alter evidence; grant inspection test</t>
  </si>
  <si>
    <t>DADR-09; OPS 11.2; TC 9</t>
  </si>
  <si>
    <t>CMP-IMP-048</t>
  </si>
  <si>
    <t>Declare foreign key policy: enforced within op_, none into proj_, none from mch_ into op_</t>
  </si>
  <si>
    <t>FK declarations; prohibition checks; no cascade delete into another party evidence</t>
  </si>
  <si>
    <t>DB-012; DB-013; DB-029; DB-030</t>
  </si>
  <si>
    <t>CMP-IMP-049</t>
  </si>
  <si>
    <t>Record the interface version on tables whose interpretation depends on it</t>
  </si>
  <si>
    <t>Version column on op_rides, op_bookings, op_payments; question answered per new table</t>
  </si>
  <si>
    <t>DB-040; DB-058; DB-063; DB-070; DADR-16</t>
  </si>
  <si>
    <t>CMP-IMP-050</t>
  </si>
  <si>
    <t>Establish the integrity constraint register and its verification</t>
  </si>
  <si>
    <t>Constraint inventory; CHECK constraints; constraint-violation test per rule</t>
  </si>
  <si>
    <t>DB 15; TC 9</t>
  </si>
  <si>
    <t>CMP-IMP-051</t>
  </si>
  <si>
    <t>Authentication</t>
  </si>
  <si>
    <t>Create op_users, op_user_credentials and op_sessions migrations</t>
  </si>
  <si>
    <t>Table definitions; non-recoverable credential column; terminated-session retention; verification standing column with no inbound write path</t>
  </si>
  <si>
    <t>DB-041; DB-042; DB-044; DB-045</t>
  </si>
  <si>
    <t>UC-001; UC-003</t>
  </si>
  <si>
    <t>FEAT-002; FEAT-003</t>
  </si>
  <si>
    <t>CMP-IMP-052</t>
  </si>
  <si>
    <t>Implement the User aggregate constructible only into a valid state</t>
  </si>
  <si>
    <t>Aggregate; invariants; domain events; no framework types</t>
  </si>
  <si>
    <t>BE-017; BE-019; BE-021; BE-022</t>
  </si>
  <si>
    <t>UC-001</t>
  </si>
  <si>
    <t>CMP-IMP-053</t>
  </si>
  <si>
    <t>Implement POST /sessions to establish an authenticated session</t>
  </si>
  <si>
    <t>Application service; credential check; session creation; response shape; idempotency key</t>
  </si>
  <si>
    <t>Controller</t>
  </si>
  <si>
    <t>FRD-FR-014; FRD-FR-016; API 11.1; SEC 6</t>
  </si>
  <si>
    <t>UC-003; UC-004</t>
  </si>
  <si>
    <t>CMP-IMP-054</t>
  </si>
  <si>
    <t>Refuse authentication without disclosing which credential element failed</t>
  </si>
  <si>
    <t>Uniform refusal; timing consideration; refusal reason identifier; negative test</t>
  </si>
  <si>
    <t>FRD-FR-015; AADR-14; SEC 5</t>
  </si>
  <si>
    <t>CMP-IMP-055</t>
  </si>
  <si>
    <t>Admit a user holding a valid existing session without re-authentication</t>
  </si>
  <si>
    <t>Session validation; expiry bound; admission path</t>
  </si>
  <si>
    <t>FRD-FR-017; NFR-055</t>
  </si>
  <si>
    <t>CMP-IMP-056</t>
  </si>
  <si>
    <t>Implement POST /sessions/current/refresh within the session bound</t>
  </si>
  <si>
    <t>Refresh operation; bound enforcement; refusal past bound</t>
  </si>
  <si>
    <t>NFR-055; API 11.1; SEC 6</t>
  </si>
  <si>
    <t>CMP-IMP-057</t>
  </si>
  <si>
    <t>Implement DELETE /sessions/current terminating a session and preventing reuse</t>
  </si>
  <si>
    <t>Termination; recorded as terminated not removed; reuse detection; negative test</t>
  </si>
  <si>
    <t>FRD-FR-019; DB-044; NFR-054; API-103</t>
  </si>
  <si>
    <t>CMP-IMP-058</t>
  </si>
  <si>
    <t>Route a user whose account is not phone-verified to verification rather than into the app</t>
  </si>
  <si>
    <t>Verification standing check at session establishment; routing response; client handling</t>
  </si>
  <si>
    <t>FRD-FR-018</t>
  </si>
  <si>
    <t>CMP-IMP-059</t>
  </si>
  <si>
    <t>Terminate the session locally when the platform is unreachable and invalidate centrally on next contact</t>
  </si>
  <si>
    <t>Local termination; deferred central invalidation; outbox entry; reconciliation</t>
  </si>
  <si>
    <t>Data</t>
  </si>
  <si>
    <t>FRD-FR-021</t>
  </si>
  <si>
    <t>CMP-IMP-060</t>
  </si>
  <si>
    <t>Build Screen 2 - Log in</t>
  </si>
  <si>
    <t>Compose surface; field validation; refusal presentation; loading state; navigation on success</t>
  </si>
  <si>
    <t>UX 4.1 Screen 2</t>
  </si>
  <si>
    <t>UC-003</t>
  </si>
  <si>
    <t>CMP-IMP-061</t>
  </si>
  <si>
    <t>Implement the login state holder and client use case</t>
  </si>
  <si>
    <t>Immutable state; intent handling; use case invocation; error class mapping</t>
  </si>
  <si>
    <t>MOB-015; UXDR-04; MADR-02</t>
  </si>
  <si>
    <t>CMP-IMP-062</t>
  </si>
  <si>
    <t>Implement session material storage on the device</t>
  </si>
  <si>
    <t>Protected storage; no replayable material; clearing on termination; no logging of material</t>
  </si>
  <si>
    <t>SEC 13.1; SADR-04; SADR-13; MOB 14</t>
  </si>
  <si>
    <t>CMP-IMP-063</t>
  </si>
  <si>
    <t>Clear cached business data on the device when a session ends</t>
  </si>
  <si>
    <t>Cache wipe; outbox handling; verification that no business value survives</t>
  </si>
  <si>
    <t>Local DB</t>
  </si>
  <si>
    <t>FRD-FR-020; SEC 13.3</t>
  </si>
  <si>
    <t>CMP-IMP-064</t>
  </si>
  <si>
    <t>Implement the platform gateway session carriage</t>
  </si>
  <si>
    <t>Single versioned gateway; session header; unauthenticated handling; no direct surface access</t>
  </si>
  <si>
    <t>MADR-04; MOB-004; API 9</t>
  </si>
  <si>
    <t>CMP-IMP-065</t>
  </si>
  <si>
    <t>Write authentication and session verification tests</t>
  </si>
  <si>
    <t>Unit refusal uniformity; integration session lifecycle; contract branch shapes; negative reuse of terminated session</t>
  </si>
  <si>
    <t>Validation</t>
  </si>
  <si>
    <t>TC-025; TC-029; TC-030; TC-031; FR-04</t>
  </si>
  <si>
    <t>CMP-IMP-066</t>
  </si>
  <si>
    <t>Verification</t>
  </si>
  <si>
    <t>Create the op_user_verifications migration retaining attempts and outcomes</t>
  </si>
  <si>
    <t>Table; per-channel attempts; outcome retention so limits are enforceable against state</t>
  </si>
  <si>
    <t>DB-043; FRD-FR-011</t>
  </si>
  <si>
    <t>UC-001; UC-002</t>
  </si>
  <si>
    <t>FEAT-004</t>
  </si>
  <si>
    <t>CMP-IMP-067</t>
  </si>
  <si>
    <t>Allow a person without an account to initiate registration</t>
  </si>
  <si>
    <t>Registration entry operation; no session required; rate posture</t>
  </si>
  <si>
    <t>FRD-FR-001; API 9.1</t>
  </si>
  <si>
    <t>CMP-IMP-068</t>
  </si>
  <si>
    <t>Require and validate the mandatory registration details including phone number</t>
  </si>
  <si>
    <t>Field requirements; validation; per-field refusal naming the unacceptable detail</t>
  </si>
  <si>
    <t>FRD-FR-002; FRD-FR-003</t>
  </si>
  <si>
    <t>CMP-IMP-069</t>
  </si>
  <si>
    <t>Refuse registration for a phone number already on an active account and offer the login path</t>
  </si>
  <si>
    <t>Uniqueness check; refusal reason identifier; login-path response</t>
  </si>
  <si>
    <t>FRD-FR-004</t>
  </si>
  <si>
    <t>CMP-IMP-070</t>
  </si>
  <si>
    <t>Assign each account a unique, persistent, never-reused identifier</t>
  </si>
  <si>
    <t>External opaque id generation; uniqueness constraint; no reuse guarantee; negative test</t>
  </si>
  <si>
    <t>FRD-FR-005; DB-022; DB-023; DB-026</t>
  </si>
  <si>
    <t>CMP-IMP-071</t>
  </si>
  <si>
    <t>Create the account in an unverified state that does not permit participation</t>
  </si>
  <si>
    <t>Initial state; participation gate; account state referencing policy configuration</t>
  </si>
  <si>
    <t>FRD-FR-006; DB-045</t>
  </si>
  <si>
    <t>CMP-IMP-072</t>
  </si>
  <si>
    <t>Implement POST /verifications to initiate phone verification on account creation</t>
  </si>
  <si>
    <t>Verification initiation; channel dispatch through port; recorded initiation</t>
  </si>
  <si>
    <t>FRD-FR-007; API 11.1</t>
  </si>
  <si>
    <t>CMP-IMP-073</t>
  </si>
  <si>
    <t>Implement POST /verifications/{id}/attempts to submit a demonstration of control</t>
  </si>
  <si>
    <t>Attempt submission; outcome recording; account marked usable only on success</t>
  </si>
  <si>
    <t>FRD-FR-008; FRD-FR-009; API 11.1</t>
  </si>
  <si>
    <t>CMP-IMP-074</t>
  </si>
  <si>
    <t>Hold phone-verified status as backend state and reject any client assertion of it</t>
  </si>
  <si>
    <t>Read-only exposure; write-path prohibition; assertion attempt recorded as integrity event</t>
  </si>
  <si>
    <t>FRD-FR-009; API-125; DB-041; SADR-08</t>
  </si>
  <si>
    <t>CMP-IMP-075</t>
  </si>
  <si>
    <t>Permit a further verification attempt within the applied limits</t>
  </si>
  <si>
    <t>Retry path; attempt counting against stored state; cool-off handling</t>
  </si>
  <si>
    <t>FRD-FR-010; API-126</t>
  </si>
  <si>
    <t>CMP-IMP-076</t>
  </si>
  <si>
    <t>Cease accepting verification attempts once the attempt limit is reached</t>
  </si>
  <si>
    <t>Limit enforcement; business refusal on exhaustion; recorded exhaustion</t>
  </si>
  <si>
    <t>FRD-FR-011; SEC 5.2; NFR-057</t>
  </si>
  <si>
    <t>FRD-OQ-003</t>
  </si>
  <si>
    <t>Decision Required - attempt limit and cool-off period are unset (FRD-OQ-003, SEC 5.2). The obligation is buildable; the value is not.</t>
  </si>
  <si>
    <t>CMP-IMP-077</t>
  </si>
  <si>
    <t>Preserve entered registration details for retry when the messaging channel is unavailable</t>
  </si>
  <si>
    <t>Detail preservation; dependency-unavailable branch; resume path</t>
  </si>
  <si>
    <t>FRD-FR-012; FRD-FR-255</t>
  </si>
  <si>
    <t>CMP-IMP-078</t>
  </si>
  <si>
    <t>Leave an abandoned registration unverified and permit restart with the same number</t>
  </si>
  <si>
    <t>Abandonment handling; restart path; no orphan active account</t>
  </si>
  <si>
    <t>FRD-FR-013</t>
  </si>
  <si>
    <t>CMP-IMP-079</t>
  </si>
  <si>
    <t>Implement the SMS/OTP provider port and one adapter</t>
  </si>
  <si>
    <t>Provider-neutral port; capability result; plausibility check; bounds and recording</t>
  </si>
  <si>
    <t>Notification</t>
  </si>
  <si>
    <t>BE-036; BADR-11; SADR-11</t>
  </si>
  <si>
    <t>Decision Required - the SMS/OTP provider is unselected (README 3.2, BAD-DEP series). The port is buildable; the adapter needs a provider.</t>
  </si>
  <si>
    <t>CMP-IMP-080</t>
  </si>
  <si>
    <t>Build Screen 1 - Verification</t>
  </si>
  <si>
    <t>Compose surface; code entry; attempt feedback; limit-reached treatment; channel-unavailable treatment</t>
  </si>
  <si>
    <t>UX 4.1 Screen 1</t>
  </si>
  <si>
    <t>CMP-IMP-081</t>
  </si>
  <si>
    <t>Implement the registration and verification state holder and client use cases</t>
  </si>
  <si>
    <t>Immutable state; intents; use cases; refusal mapping; retained details on failure</t>
  </si>
  <si>
    <t>MOB-015; UXDR-04</t>
  </si>
  <si>
    <t>CMP-IMP-082</t>
  </si>
  <si>
    <t>Write registration and verification tests</t>
  </si>
  <si>
    <t>Unit validation and uniqueness; integration attempt limits against state; negative client assertion of verified status</t>
  </si>
  <si>
    <t>TC-029; TC-030; FR-04</t>
  </si>
  <si>
    <t>CMP-IMP-083</t>
  </si>
  <si>
    <t>Profile</t>
  </si>
  <si>
    <t>Implement GET /profile returning the authenticated user own profile</t>
  </si>
  <si>
    <t>Application service; representation; provenance marking</t>
  </si>
  <si>
    <t>FRD-FR-022; API 11.2</t>
  </si>
  <si>
    <t>UC-005; UC-007</t>
  </si>
  <si>
    <t>CMP-IMP-084</t>
  </si>
  <si>
    <t>Implement PATCH /profile with validation retaining the previous profile on rejection</t>
  </si>
  <si>
    <t>Validation; rejection reason; previous profile retained unchanged; reflected wherever displayed</t>
  </si>
  <si>
    <t>FRD-FR-024; FRD-FR-026; API-130</t>
  </si>
  <si>
    <t>CMP-IMP-085</t>
  </si>
  <si>
    <t>Require phone verification before a changed phone number takes effect</t>
  </si>
  <si>
    <t>Pending phone change; verification trigger; effect only on success</t>
  </si>
  <si>
    <t>FRD-FR-025</t>
  </si>
  <si>
    <t>CMP-IMP-086</t>
  </si>
  <si>
    <t>Indicate on the profile which elements are disclosed to counterparties</t>
  </si>
  <si>
    <t>Disclosure indicator surface; per-element marking</t>
  </si>
  <si>
    <t>FRD-FR-023</t>
  </si>
  <si>
    <t>FRD-GAP-001; BAD-DEC-022</t>
  </si>
  <si>
    <t>Decision Required - the content of the disclosure list is blocked (FRD-GAP-001, BAD-DEC-022). The indicator mechanism is buildable; the list is not.</t>
  </si>
  <si>
    <t>CMP-IMP-087</t>
  </si>
  <si>
    <t>Implement GET /users/{id} as a relationship-limited counterparty representation</t>
  </si>
  <si>
    <t>Relationship check; field limiting; no precise home location, contact details or trip history beyond the relationship</t>
  </si>
  <si>
    <t>FRD-FR-027; API-128; API-129; SEC 7.3; UXDR-08</t>
  </si>
  <si>
    <t>CMP-IMP-088</t>
  </si>
  <si>
    <t>Retrieve counterparty verification standing from backend state on every display</t>
  </si>
  <si>
    <t>No caching of standing; read at request time; provenance marking</t>
  </si>
  <si>
    <t>FRD-FR-027; API-128; API-157</t>
  </si>
  <si>
    <t>CMP-IMP-089</t>
  </si>
  <si>
    <t>Present verification standing before the user commits to travel</t>
  </si>
  <si>
    <t>Standing on ride detail and commitment surface; ordering guarantee</t>
  </si>
  <si>
    <t>FRD-FR-028; UX 9.4</t>
  </si>
  <si>
    <t>CMP-IMP-090</t>
  </si>
  <si>
    <t>Present standing as unknown, not as verified or unverified, when it cannot be retrieved</t>
  </si>
  <si>
    <t>Third state; dependency-unavailable treatment; negative test</t>
  </si>
  <si>
    <t>FRD-FR-029; UXDR-02</t>
  </si>
  <si>
    <t>CMP-IMP-091</t>
  </si>
  <si>
    <t>Build Screen 3 - Profile</t>
  </si>
  <si>
    <t>Compose surface; view and amend; validation feedback; disclosure indicators</t>
  </si>
  <si>
    <t>UX 4.1 Screen 3</t>
  </si>
  <si>
    <t>CMP-IMP-092</t>
  </si>
  <si>
    <t>Build Screen 19 - Counterparty profile</t>
  </si>
  <si>
    <t>Compose surface; relationship-limited fields; verification standing including unknown; absence is normal</t>
  </si>
  <si>
    <t>UX 4.1 Screen 19; UXDR-08</t>
  </si>
  <si>
    <t>UC-007</t>
  </si>
  <si>
    <t>CMP-IMP-093</t>
  </si>
  <si>
    <t>Build Screen 4 - Home entry point</t>
  </si>
  <si>
    <t>Structural entry surface; primary navigation; single-route reachability</t>
  </si>
  <si>
    <t>UX 4.1 Screen 4; UX-010</t>
  </si>
  <si>
    <t>CMP-IMP-094</t>
  </si>
  <si>
    <t>Write profile and disclosure tests</t>
  </si>
  <si>
    <t>Unit validation retention; integration relationship limiting; negative over-disclosure to a non-qualifying party</t>
  </si>
  <si>
    <t>CMP-IMP-095</t>
  </si>
  <si>
    <t>Authorisation</t>
  </si>
  <si>
    <t>Determine the roles held by an actor before permitting any action</t>
  </si>
  <si>
    <t>Role resolution; evaluation before domain invocation; single evaluation path</t>
  </si>
  <si>
    <t>FRD-FR-251; BE-044; SADR-06</t>
  </si>
  <si>
    <t>UC-008; UC-080</t>
  </si>
  <si>
    <t>FEAT-002; FEAT-004</t>
  </si>
  <si>
    <t>CMP-IMP-096</t>
  </si>
  <si>
    <t>Permit an action only where a role held by the actor allows it</t>
  </si>
  <si>
    <t>Capability check; deny by default; allow-list evaluation</t>
  </si>
  <si>
    <t>FRD-FR-252; SEC 7.1</t>
  </si>
  <si>
    <t>CMP-IMP-097</t>
  </si>
  <si>
    <t>Refuse an unpermitted action without partial application and record the refusal</t>
  </si>
  <si>
    <t>Atomic refusal; no partial effect; refusal recorded as an evidential record</t>
  </si>
  <si>
    <t>FRD-FR-253; BE-053; SADR-15</t>
  </si>
  <si>
    <t>CMP-IMP-098</t>
  </si>
  <si>
    <t>Distinguish user roles from administrative roles and restrict each independently</t>
  </si>
  <si>
    <t>Two role spaces; independent restriction; no cross-grant</t>
  </si>
  <si>
    <t>FRD-FR-254; SEC 7.2</t>
  </si>
  <si>
    <t>CMP-IMP-099</t>
  </si>
  <si>
    <t>Allow a user to take the driver role subject to business eligibility</t>
  </si>
  <si>
    <t>Role assumption operation; eligibility evaluation; refusal stating what is outstanding</t>
  </si>
  <si>
    <t>FRD-FR-030; FRD-FR-031</t>
  </si>
  <si>
    <t>FRD-GAP-002; BAD-DEC-005</t>
  </si>
  <si>
    <t>Decision Required - driver eligibility criteria are blocked (FRD-GAP-002, BAD-DEC-005).</t>
  </si>
  <si>
    <t>CMP-IMP-100</t>
  </si>
  <si>
    <t>Permit a single account to hold passenger and driver roles concurrently</t>
  </si>
  <si>
    <t>Concurrent role holding; role-switch surface; no data duplication</t>
  </si>
  <si>
    <t>FRD-FR-032</t>
  </si>
  <si>
    <t>CMP-IMP-101</t>
  </si>
  <si>
    <t>Build Screen 31 - Settings including logout and driver-role controls</t>
  </si>
  <si>
    <t>Compose surface; logout; role assumption entry; notification preference entry</t>
  </si>
  <si>
    <t>UX 4.1 Screen 31</t>
  </si>
  <si>
    <t>UC-004; UC-008</t>
  </si>
  <si>
    <t>CMP-IMP-102</t>
  </si>
  <si>
    <t>Write authorisation tests</t>
  </si>
  <si>
    <t>Unit deny by default; integration refusal recording; negative privilege escalation attempt</t>
  </si>
  <si>
    <t>TC-029; TC-030; SEC 19.1; FR-04</t>
  </si>
  <si>
    <t>CMP-IMP-103</t>
  </si>
  <si>
    <t>Vehicles</t>
  </si>
  <si>
    <t>Create the op_vehicles migration with platform-written lawful capacity</t>
  </si>
  <si>
    <t>Table; capacity column with no inbound write path; protected documentation reference columns; no row delete where referenced</t>
  </si>
  <si>
    <t>DB-047; DB-048; DB-049; API-132</t>
  </si>
  <si>
    <t>UC-010; UC-011; UC-012</t>
  </si>
  <si>
    <t>FEAT-007</t>
  </si>
  <si>
    <t>CMP-IMP-104</t>
  </si>
  <si>
    <t>Implement the Vehicle aggregate</t>
  </si>
  <si>
    <t>Aggregate; valid-state construction; own invariants; domain events</t>
  </si>
  <si>
    <t>BE-017; BE-019; BE-021</t>
  </si>
  <si>
    <t>CMP-IMP-105</t>
  </si>
  <si>
    <t>Implement POST /vehicles to register a vehicle against a driver account</t>
  </si>
  <si>
    <t>Application service; required attribute validation; per-attribute refusal; external id issue</t>
  </si>
  <si>
    <t>FRD-FR-033; FRD-FR-034; FRD-FR-035; API 11.3</t>
  </si>
  <si>
    <t>CMP-IMP-106</t>
  </si>
  <si>
    <t>Record the lawful passenger capacity of each registered vehicle</t>
  </si>
  <si>
    <t>Capacity recording; platform authority; rejection of caller-supplied capacity; negative test</t>
  </si>
  <si>
    <t>FRD-FR-036; API-132; DB-047</t>
  </si>
  <si>
    <t>Decision Required - the source and evidencing of lawful capacity is blocked (FRD-GAP-004, BAD-DEC-005).</t>
  </si>
  <si>
    <t>CMP-IMP-107</t>
  </si>
  <si>
    <t>Permit a driver to register more than one vehicle, each independently selectable</t>
  </si>
  <si>
    <t>Multi-vehicle listing; GET /vehicles; selection at publication</t>
  </si>
  <si>
    <t>FRD-FR-037; API 11.3</t>
  </si>
  <si>
    <t>CMP-IMP-108</t>
  </si>
  <si>
    <t>Refuse a vehicle registration duplicating one on another account and raise it for operator review</t>
  </si>
  <si>
    <t>Duplicate detection; refusal; operator case creation</t>
  </si>
  <si>
    <t>FRD-FR-038</t>
  </si>
  <si>
    <t>Decision Required - whether duplicate registration is ever permitted, and on what evidence, is open (FRD-OQ-004).</t>
  </si>
  <si>
    <t>CMP-IMP-109</t>
  </si>
  <si>
    <t>Implement PATCH /vehicles/{id} with an active-commitment determination before applying</t>
  </si>
  <si>
    <t>Active ride, booking or trip check; accept non-invalidating amendment and reflect on ride; refuse invalidating amendment naming commitments</t>
  </si>
  <si>
    <t>FRD-FR-039; FRD-FR-040; FRD-FR-041; FRD-FR-042</t>
  </si>
  <si>
    <t>Decision Required - which amendments are disqualifying is open (FRD-OQ-005).</t>
  </si>
  <si>
    <t>CMP-IMP-110</t>
  </si>
  <si>
    <t>Implement DELETE /vehicles/{id} as a state change refusing withdrawal in active use</t>
  </si>
  <si>
    <t>Withdrawal as state change not delete; refusal naming active commitments; removal from new-ride selection</t>
  </si>
  <si>
    <t>FRD-FR-043; FRD-FR-044; FRD-FR-045; API-133; DB-048</t>
  </si>
  <si>
    <t>CMP-IMP-111</t>
  </si>
  <si>
    <t>Present the vehicle information recorded against a ride, including on completed trips</t>
  </si>
  <si>
    <t>Ride-time vehicle snapshot; historical presentation; pre-commitment presentation to passenger</t>
  </si>
  <si>
    <t>FRD-FR-046; FRD-FR-047; FRD-FR-048</t>
  </si>
  <si>
    <t>CMP-IMP-112</t>
  </si>
  <si>
    <t>Build Screen 5 - Vehicles: list, add, edit, withdraw</t>
  </si>
  <si>
    <t>Compose surface; list; add form; edit form; withdraw with refusal treatment; empty state</t>
  </si>
  <si>
    <t>UX 4.1 Screen 5</t>
  </si>
  <si>
    <t>CMP-IMP-113</t>
  </si>
  <si>
    <t>Implement the vehicle state holder, client use cases and repository</t>
  </si>
  <si>
    <t>Immutable state; intents; gateway calls; cache handling; refusal mapping</t>
  </si>
  <si>
    <t>MOB-015; MADR-04; MADR-05</t>
  </si>
  <si>
    <t>CMP-IMP-114</t>
  </si>
  <si>
    <t>Write vehicle management tests</t>
  </si>
  <si>
    <t>Unit capacity authority; integration active-commitment refusal; negative caller-supplied capacity; negative withdrawal in active use</t>
  </si>
  <si>
    <t>CMP-IMP-115</t>
  </si>
  <si>
    <t>Ride Publishing</t>
  </si>
  <si>
    <t>Create op_rides and op_ride_routes migrations with a spatially indexed bounding envelope</t>
  </si>
  <si>
    <t>Ride table; route geometry stored once at publication; derived envelope; spatial index; ride state via policy configuration</t>
  </si>
  <si>
    <t>DB-051; DB-052; DB-057; DB-058; DADR-08</t>
  </si>
  <si>
    <t>UC-014; UC-016; UC-018</t>
  </si>
  <si>
    <t>FEAT-008; FEAT-032</t>
  </si>
  <si>
    <t>CMP-IMP-116</t>
  </si>
  <si>
    <t>Create the op_ride_seat_allocations narrow row with its database constraint</t>
  </si>
  <si>
    <t>Narrow lockable row; seats offered held here not on op_rides; CHECK constraint; independent lockability</t>
  </si>
  <si>
    <t>DB-050; DADR-05; DB 7; ARCH-053</t>
  </si>
  <si>
    <t>CMP-IMP-117</t>
  </si>
  <si>
    <t>Implement the Ride aggregate owning SeatAllocation within its consistency boundary</t>
  </si>
  <si>
    <t>Aggregate; ownership of SeatAllocation; invariants; domain events</t>
  </si>
  <si>
    <t>BE-017; BE-018; BADR-02; BADR-04</t>
  </si>
  <si>
    <t>CMP-IMP-118</t>
  </si>
  <si>
    <t>Implement POST /rides to publish a ride with origin, destination, date and departure time</t>
  </si>
  <si>
    <t>Application service; required fields; idempotency key; external id issue</t>
  </si>
  <si>
    <t>FRD-FR-049; FRD-FR-050; FRD-FR-054; API 11.4</t>
  </si>
  <si>
    <t>CMP-IMP-119</t>
  </si>
  <si>
    <t>Resolve and record the route against which passenger segments are overlapped</t>
  </si>
  <si>
    <t>Mapping port call outside the transaction; geometry storage; envelope derivation</t>
  </si>
  <si>
    <t>FRD-FR-051; DB-051; DB-052; BE-050; BE-052</t>
  </si>
  <si>
    <t>CMP-IMP-120</t>
  </si>
  <si>
    <t>Refuse publication where a route cannot be resolved and state that the journey was not understood</t>
  </si>
  <si>
    <t>Business refusal branch; refusal reason identifier; no partial ride created</t>
  </si>
  <si>
    <t>FRD-FR-052; AADR-14</t>
  </si>
  <si>
    <t>CMP-IMP-121</t>
  </si>
  <si>
    <t>Defer publication rather than publish without a route when the mapping service is unavailable</t>
  </si>
  <si>
    <t>Dependency-unavailable branch; deferral record; resume on restore</t>
  </si>
  <si>
    <t>FRD-FR-053; API-136; FRD-FR-260</t>
  </si>
  <si>
    <t>CMP-IMP-122</t>
  </si>
  <si>
    <t>Reject a ride whose departure time has already passed</t>
  </si>
  <si>
    <t>Temporal validation against platform time; refusal reason</t>
  </si>
  <si>
    <t>FRD-FR-055</t>
  </si>
  <si>
    <t>CMP-IMP-123</t>
  </si>
  <si>
    <t>Require exactly one vehicle registered to the publishing driver and route drivers with none to registration</t>
  </si>
  <si>
    <t>Vehicle association; ownership check; routing response when no vehicle exists</t>
  </si>
  <si>
    <t>FRD-FR-056; FRD-FR-057</t>
  </si>
  <si>
    <t>CMP-IMP-124</t>
  </si>
  <si>
    <t>Enforce that seats offered never exceed the vehicle recorded lawful capacity</t>
  </si>
  <si>
    <t>Domain invariant on Ride; refusal stating the capacity; negative test</t>
  </si>
  <si>
    <t>FRD-FR-058; FRD-FR-059; BE-023; API-134</t>
  </si>
  <si>
    <t>CMP-IMP-125</t>
  </si>
  <si>
    <t>Validate the publishing driver eligibility before accepting a ride and state the refusal reason</t>
  </si>
  <si>
    <t>Eligibility evaluation; refusal reason identifier</t>
  </si>
  <si>
    <t>FRD-FR-064; FRD-FR-065</t>
  </si>
  <si>
    <t>Eligibility criteria depend on BAD-DEC-005 (FRD-GAP-002); the evaluation hook is buildable.</t>
  </si>
  <si>
    <t>CMP-IMP-126</t>
  </si>
  <si>
    <t>Make an accepted ride discoverable to compatible searches</t>
  </si>
  <si>
    <t>Discoverability flag; projection maintenance trigger; search candidacy</t>
  </si>
  <si>
    <t>FRD-FR-066</t>
  </si>
  <si>
    <t>CMP-IMP-127</t>
  </si>
  <si>
    <t>Record the publication of a ride as an auditable event</t>
  </si>
  <si>
    <t>Evidential record written in the same transaction; actor, subject, time, outcome</t>
  </si>
  <si>
    <t>FRD-FR-067; FRD-FR-244; BE-049</t>
  </si>
  <si>
    <t>CMP-IMP-128</t>
  </si>
  <si>
    <t>Allow a driver to pre-fill a new ride from a previously published ride with full re-evaluation</t>
  </si>
  <si>
    <t>Pre-fill source; full re-evaluation of time, capacity and eligibility; no inherited acceptance</t>
  </si>
  <si>
    <t>FRD-FR-068</t>
  </si>
  <si>
    <t>CMP-IMP-129</t>
  </si>
  <si>
    <t>Implement DELETE /rides/{id} to withdraw a ride carrying no confirmed booking</t>
  </si>
  <si>
    <t>Withdrawal as state change; no-confirmed-booking precondition; ride not deletable</t>
  </si>
  <si>
    <t>FRD-FR-069; API-139; DB-056</t>
  </si>
  <si>
    <t>CMP-IMP-130</t>
  </si>
  <si>
    <t>Refuse withdrawal of a ride carrying a confirmed booking</t>
  </si>
  <si>
    <t>Bare refusal; refusal reason identifier; negative test; no alternative path offered</t>
  </si>
  <si>
    <t>FRD-FR-070; API-139; DB-056</t>
  </si>
  <si>
    <t>FRD-GAP-006 - the driver has no specified way out. Do not invent one. Blocked on BAD-DEC-009.</t>
  </si>
  <si>
    <t>CMP-IMP-131</t>
  </si>
  <si>
    <t>Close any pending ride request on a withdrawn ride and inform its requester</t>
  </si>
  <si>
    <t>Cascade closure of pending requests; notification issue; audit record</t>
  </si>
  <si>
    <t>FRD-FR-071</t>
  </si>
  <si>
    <t>CMP-IMP-132</t>
  </si>
  <si>
    <t>Implement GET /rides presenting a driver published rides from backend state</t>
  </si>
  <si>
    <t>Listing; date, time, route, seats offered, seats booked, status; provenance marking</t>
  </si>
  <si>
    <t>FRD-FR-072; API 11.4</t>
  </si>
  <si>
    <t>UC-018</t>
  </si>
  <si>
    <t>CMP-IMP-133</t>
  </si>
  <si>
    <t>Implement GET /rides/{id}/seats returning authoritative seat availability</t>
  </si>
  <si>
    <t>Read from the allocation record never a projection; as-of marking; never cached</t>
  </si>
  <si>
    <t>ARCH-080; API-135; API-048; ADM-037</t>
  </si>
  <si>
    <t>CMP-IMP-134</t>
  </si>
  <si>
    <t>Invalidate stored route geometry when a ride is amended</t>
  </si>
  <si>
    <t>Amendment hook; geometry invalidation; re-resolution path</t>
  </si>
  <si>
    <t>API-137; DB-055; ARCH-096</t>
  </si>
  <si>
    <t>CMP-IMP-135</t>
  </si>
  <si>
    <t>Build Screen 7 - Publish ride</t>
  </si>
  <si>
    <t>Compose surface; origin/destination entry; date and time; vehicle selection; seats; validation and refusal treatment</t>
  </si>
  <si>
    <t>UX 4.1 Screen 7</t>
  </si>
  <si>
    <t>PARTIAL screen - it cannot state the amount payable. Blocked on BAD-DEC-003 (FRD-GAP-005).</t>
  </si>
  <si>
    <t>CMP-IMP-136</t>
  </si>
  <si>
    <t>Build Screen 6 - My published rides</t>
  </si>
  <si>
    <t>Compose surface; listing; status; seats offered and booked; empty state; provenance marking</t>
  </si>
  <si>
    <t>UX 4.1 Screen 6</t>
  </si>
  <si>
    <t>CMP-IMP-137</t>
  </si>
  <si>
    <t>Build Screen 9 - Ride detail, driver view</t>
  </si>
  <si>
    <t>Compose surface; ride detail; withdrawal control; refusal treatment when confirmed bookings exist</t>
  </si>
  <si>
    <t>UX 4.1 Screen 9</t>
  </si>
  <si>
    <t>UC-016</t>
  </si>
  <si>
    <t>CMP-IMP-138</t>
  </si>
  <si>
    <t>Implement the ride publishing state holder, client use cases and repository</t>
  </si>
  <si>
    <t>Immutable state; intents; gateway calls; deferral handling; refusal mapping</t>
  </si>
  <si>
    <t>MOB-015; MADR-04; UXDR-04</t>
  </si>
  <si>
    <t>CMP-IMP-141</t>
  </si>
  <si>
    <t>Write ride publishing tests</t>
  </si>
  <si>
    <t>Unit capacity invariant; integration route deferral; negative withdrawal with confirmed booking; negative past departure</t>
  </si>
  <si>
    <t>CMP-IMP-142</t>
  </si>
  <si>
    <t>Ride Preferences</t>
  </si>
  <si>
    <t>Create the op_ride_preferences migration storing undeclared as undeclared</t>
  </si>
  <si>
    <t>Table; tri-state per preference; no permissive or restrictive default</t>
  </si>
  <si>
    <t>DB-054; FRD-FR-062</t>
  </si>
  <si>
    <t>UC-015</t>
  </si>
  <si>
    <t>FEAT-009</t>
  </si>
  <si>
    <t>CMP-IMP-143</t>
  </si>
  <si>
    <t>Present the preference set for declaration on every published ride</t>
  </si>
  <si>
    <t>Air conditioning, smoking, music, luggage, pets; declaration surface in the publish flow</t>
  </si>
  <si>
    <t>FRD-FR-060</t>
  </si>
  <si>
    <t>CMP-IMP-144</t>
  </si>
  <si>
    <t>Record the driver declared position on each preference</t>
  </si>
  <si>
    <t>Persistence; per-preference position; audit of declaration</t>
  </si>
  <si>
    <t>FRD-FR-061</t>
  </si>
  <si>
    <t>CMP-IMP-145</t>
  </si>
  <si>
    <t>Present an undeclared preference as undeclared and infer nothing</t>
  </si>
  <si>
    <t>Tri-state rendering; no inference; negative test</t>
  </si>
  <si>
    <t>FRD-FR-062</t>
  </si>
  <si>
    <t>CMP-IMP-146</t>
  </si>
  <si>
    <t>Display declared preferences to a passenger before any commitment is sought</t>
  </si>
  <si>
    <t>Ride detail and results rendering; ordering before commitment</t>
  </si>
  <si>
    <t>FRD-FR-063; FRD-FR-092</t>
  </si>
  <si>
    <t>CMP-IMP-147</t>
  </si>
  <si>
    <t>Build Screen 8 - Ride preferences</t>
  </si>
  <si>
    <t>Compose surface; five preferences; tri-state controls; save and validation</t>
  </si>
  <si>
    <t>UX 4.1 Screen 8</t>
  </si>
  <si>
    <t>CMP-IMP-148</t>
  </si>
  <si>
    <t>Write ride preference tests</t>
  </si>
  <si>
    <t>Unit tri-state persistence; negative default inference; UI rendering of undeclared</t>
  </si>
  <si>
    <t>TC-029; TC-030</t>
  </si>
  <si>
    <t>CMP-IMP-149</t>
  </si>
  <si>
    <t>Search &amp; Matching</t>
  </si>
  <si>
    <t>Implement POST /searches as a query resource returning a ranked result set</t>
  </si>
  <si>
    <t>Query resource not a filtered collection; request schema; ranked response; no cached result set</t>
  </si>
  <si>
    <t>AADR-10; API-140; API-143; FRD-FR-073</t>
  </si>
  <si>
    <t>UC-019; UC-020; UC-021</t>
  </si>
  <si>
    <t>CMP-IMP-150</t>
  </si>
  <si>
    <t>Resolve the requested travel segment from the stated origin and destination</t>
  </si>
  <si>
    <t>Places or geocoding port call; segment construction; capability result on failure</t>
  </si>
  <si>
    <t>FRD-FR-074</t>
  </si>
  <si>
    <t>CMP-IMP-151</t>
  </si>
  <si>
    <t>Refuse a search where an origin or destination cannot be resolved</t>
  </si>
  <si>
    <t>Business refusal; refusal reason stating the location was not understood</t>
  </si>
  <si>
    <t>FRD-FR-075</t>
  </si>
  <si>
    <t>CMP-IMP-152</t>
  </si>
  <si>
    <t>Identify published rides that are candidates for the requested date</t>
  </si>
  <si>
    <t>Date candidacy query; index-supported access path</t>
  </si>
  <si>
    <t>FRD-FR-076; DB 14.2</t>
  </si>
  <si>
    <t>CMP-IMP-153</t>
  </si>
  <si>
    <t>Implement the route-overlap assessment as a domain service</t>
  </si>
  <si>
    <t>Domain service not an aggregate method; expressed independently of any corridor, city or region; unit-testable without a database</t>
  </si>
  <si>
    <t>BE-034; BE-035; BE-040; ADR-03</t>
  </si>
  <si>
    <t>TECHNICAL DECISION REQUIRED - the overlap algorithm and any minimum overlap threshold are deliberately unspecified (BAD-RULE-023, FRD-RISK-008). Route this as a named decision before implementing.</t>
  </si>
  <si>
    <t>CMP-IMP-154</t>
  </si>
  <si>
    <t>Include a ride only where its route overlaps the requested segment</t>
  </si>
  <si>
    <t>Overlap predicate; integrity-critical rule; negative test proving non-overlapping rides are excluded</t>
  </si>
  <si>
    <t>FRD-FR-077</t>
  </si>
  <si>
    <t>CMP-IMP-155</t>
  </si>
  <si>
    <t>Include a ride whose route overlaps the segment even where the segment is only part of the route</t>
  </si>
  <si>
    <t>Partial-segment matching; the differentiating capability; positive and negative tests</t>
  </si>
  <si>
    <t>FRD-FR-078; BAD-OPP-001</t>
  </si>
  <si>
    <t>CMP-IMP-156</t>
  </si>
  <si>
    <t>Implement the two-phase filter: coarse spatial index then precise geometry</t>
  </si>
  <si>
    <t>Spatial index coarse filter; full geometry read only for survivors; measurement of survivor count</t>
  </si>
  <si>
    <t>DB-053; ARCH-081; DADR-08</t>
  </si>
  <si>
    <t>CMP-IMP-157</t>
  </si>
  <si>
    <t>Assess pickup compatibility between the passenger origin and the ride route</t>
  </si>
  <si>
    <t>Pickup relationship computation; expressible result</t>
  </si>
  <si>
    <t>FRD-FR-079</t>
  </si>
  <si>
    <t>CMP-IMP-158</t>
  </si>
  <si>
    <t>Assess drop compatibility between the passenger destination and the ride route</t>
  </si>
  <si>
    <t>Drop relationship computation; expressible result</t>
  </si>
  <si>
    <t>FRD-FR-080</t>
  </si>
  <si>
    <t>CMP-IMP-159</t>
  </si>
  <si>
    <t>Assess whether the ride direction of travel is compatible with the requested journey</t>
  </si>
  <si>
    <t>Direction predicate; reverse-direction exclusion; negative test</t>
  </si>
  <si>
    <t>FRD-FR-081</t>
  </si>
  <si>
    <t>CMP-IMP-160</t>
  </si>
  <si>
    <t>Assess whether the ride departure time is compatible with the requested travel time</t>
  </si>
  <si>
    <t>Time window predicate; window value as configuration</t>
  </si>
  <si>
    <t>FRD-FR-082</t>
  </si>
  <si>
    <t>CMP-IMP-161</t>
  </si>
  <si>
    <t>Exclude from bookable results any ride with fewer available seats than requested</t>
  </si>
  <si>
    <t>Seat predicate in the candidate filter; explicit statement of the exclusion; negative test</t>
  </si>
  <si>
    <t>FRD-FR-083; GAP-020</t>
  </si>
  <si>
    <t>GAP-020 - no downstream statement carries this exclusion into the coarse filter. Record the criterion explicitly rather than inheriting it from a decision record prose.</t>
  </si>
  <si>
    <t>CMP-IMP-162</t>
  </si>
  <si>
    <t>Evaluate seat availability from backend state on every search, never from a cached count</t>
  </si>
  <si>
    <t>Authoritative read per search; no projection read; as-of marking; negative test</t>
  </si>
  <si>
    <t>FRD-FR-084; ADM-037; API-135</t>
  </si>
  <si>
    <t>CMP-IMP-163</t>
  </si>
  <si>
    <t>Present a ride as compatible only where every compatibility assessment is satisfied</t>
  </si>
  <si>
    <t>Composite predicate; short-circuit ordering; test matrix across all six assessments</t>
  </si>
  <si>
    <t>FRD-FR-085</t>
  </si>
  <si>
    <t>CMP-IMP-164</t>
  </si>
  <si>
    <t>Rank compatible rides on a basis the platform can express to the passenger</t>
  </si>
  <si>
    <t>Ranking function; expressibility constraint; stable ordering</t>
  </si>
  <si>
    <t>FRD-FR-086</t>
  </si>
  <si>
    <t>CMP-IMP-165</t>
  </si>
  <si>
    <t>Express, for each result, the degree of route overlap with the requested segment</t>
  </si>
  <si>
    <t>Overlap degree computation; journey-terms expression; no unexplained score</t>
  </si>
  <si>
    <t>FRD-FR-087; UXDR-09; API-142</t>
  </si>
  <si>
    <t>CMP-IMP-166</t>
  </si>
  <si>
    <t>Express the pickup and drop relationship in terms the passenger can act on</t>
  </si>
  <si>
    <t>Actionable phrasing; no raw distances without meaning; content review</t>
  </si>
  <si>
    <t>FRD-FR-088; NFR-085; UXDR-09</t>
  </si>
  <si>
    <t>CMP-IMP-167</t>
  </si>
  <si>
    <t>Re-evaluate results in full when a search is repeated</t>
  </si>
  <si>
    <t>No result-set caching; full re-run; negative test against a stale result set</t>
  </si>
  <si>
    <t>FRD-FR-093; API-143</t>
  </si>
  <si>
    <t>CMP-IMP-168</t>
  </si>
  <si>
    <t>Return a successful empty result rather than a refusal when no candidate matches</t>
  </si>
  <si>
    <t>Empty result semantics; distinct from refusal; measurement of zero-result searches</t>
  </si>
  <si>
    <t>API-144; ARCH-081; FRD-FR-235</t>
  </si>
  <si>
    <t>Behaviour on an empty result set - whether alternatives are offered and which - is withheld (BAD-OQ-007, UC-022). Return empty; offer nothing.</t>
  </si>
  <si>
    <t>CMP-IMP-169</t>
  </si>
  <si>
    <t>State that search is unavailable rather than return an unmatched or unranked result set</t>
  </si>
  <si>
    <t>Dependency-unavailable branch when mapping is unavailable; capability withdrawal; negative test</t>
  </si>
  <si>
    <t>FRD-FR-096; FRD-FR-256; FRD-FR-259</t>
  </si>
  <si>
    <t>CMP-IMP-170</t>
  </si>
  <si>
    <t>Build Screen 10 - Search</t>
  </si>
  <si>
    <t>Compose surface; origin and destination entry; date; seats; validation; unresolvable-location treatment</t>
  </si>
  <si>
    <t>UX 4.1 Screen 10</t>
  </si>
  <si>
    <t>UC-019</t>
  </si>
  <si>
    <t>CMP-IMP-171</t>
  </si>
  <si>
    <t>Build Screen 11 - Results</t>
  </si>
  <si>
    <t>Compose surface; result cards; match quality; empty, loading and failed states; unavailable-search treatment</t>
  </si>
  <si>
    <t>UX 4.1 Screen 11; UX 10</t>
  </si>
  <si>
    <t>UC-020</t>
  </si>
  <si>
    <t>CMP-IMP-172</t>
  </si>
  <si>
    <t>Implement the search state holder, client use cases and repository</t>
  </si>
  <si>
    <t>Immutable state; intents; gateway calls; no client-side filtering or ranking; refusal mapping</t>
  </si>
  <si>
    <t>MOB-015; MOB-010; MADR-04</t>
  </si>
  <si>
    <t>CMP-IMP-173</t>
  </si>
  <si>
    <t>Write search and matching tests</t>
  </si>
  <si>
    <t>Unit overlap predicate matrix; integration two-phase filter; negative non-overlapping inclusion; negative cached availability</t>
  </si>
  <si>
    <t>TC-029; TC-030; FR-04; FR-06</t>
  </si>
  <si>
    <t>CMP-IMP-174</t>
  </si>
  <si>
    <t>Ride Detail</t>
  </si>
  <si>
    <t>Present, for each result, the fare, departure time and number of available seats</t>
  </si>
  <si>
    <t>Result representation fields; as-of marking on each business value</t>
  </si>
  <si>
    <t>FRD-FR-089; AADR-09</t>
  </si>
  <si>
    <t>UC-021</t>
  </si>
  <si>
    <t>FEAT-011</t>
  </si>
  <si>
    <t>CMP-IMP-175</t>
  </si>
  <si>
    <t>Present, for each result, the driver information and verification indicators required for a trust decision</t>
  </si>
  <si>
    <t>Trust field set; relationship-limited; no more than the decision requires</t>
  </si>
  <si>
    <t>FRD-FR-090; API-141; API-049</t>
  </si>
  <si>
    <t>CMP-IMP-176</t>
  </si>
  <si>
    <t>Present, for each result, the vehicle information recorded against the ride</t>
  </si>
  <si>
    <t>Vehicle snapshot fields; pre-commitment presentation</t>
  </si>
  <si>
    <t>FRD-FR-091; FRD-FR-047</t>
  </si>
  <si>
    <t>CMP-IMP-177</t>
  </si>
  <si>
    <t>Re-check availability when a passenger proceeds from a result</t>
  </si>
  <si>
    <t>Authoritative re-read; inform when no longer bookable; return to results</t>
  </si>
  <si>
    <t>FRD-FR-094</t>
  </si>
  <si>
    <t>CMP-IMP-178</t>
  </si>
  <si>
    <t>Inform a passenger and return them to results where a ride is withdrawn while viewing</t>
  </si>
  <si>
    <t>Withdrawal detection; message; navigation back to results</t>
  </si>
  <si>
    <t>FRD-FR-095</t>
  </si>
  <si>
    <t>CMP-IMP-179</t>
  </si>
  <si>
    <t>Implement GET /rides/{id} as a relationship-limited ride representation</t>
  </si>
  <si>
    <t>Relationship-varying representation; disclosure limits; as-of markings</t>
  </si>
  <si>
    <t>API 11.4; AADR-08; API-051</t>
  </si>
  <si>
    <t>CMP-IMP-180</t>
  </si>
  <si>
    <t>Build Screen 12 - Ride detail, passenger view</t>
  </si>
  <si>
    <t>Compose surface; ride, driver, vehicle, preferences; verification standing; seat availability with provenance</t>
  </si>
  <si>
    <t>UX 4.1 Screen 12</t>
  </si>
  <si>
    <t>CMP-IMP-181</t>
  </si>
  <si>
    <t>Build Screen 13 - Commitment surface</t>
  </si>
  <si>
    <t>Compose surface; single gated commitment point; everything the passenger must see before committing; refusal at commitment; refresh failure treatment</t>
  </si>
  <si>
    <t>UX 4.1 Screen 13; UXDR-06; UX 9</t>
  </si>
  <si>
    <t>PARTIAL screen - it cannot state whether a request requires driver acceptance (BAD-DEC-007) nor the fare composition (BAD-DEC-003).</t>
  </si>
  <si>
    <t>CMP-IMP-182</t>
  </si>
  <si>
    <t>Apply disclosure rules at the commitment surface</t>
  </si>
  <si>
    <t>What each party sees at commitment; relationship-based disclosure</t>
  </si>
  <si>
    <t>UX 9.4; UXDR-08</t>
  </si>
  <si>
    <t>FRD-GAP-008; BAD-DEC-022</t>
  </si>
  <si>
    <t>Decision Required - the precision of counterparty location disclosed before a booking exists is blocked (FRD-GAP-008, BAD-DEC-022).</t>
  </si>
  <si>
    <t>CMP-IMP-183</t>
  </si>
  <si>
    <t>Write ride detail and commitment tests</t>
  </si>
  <si>
    <t>Integration availability re-check; negative withdrawn-ride handling; contract representation shape</t>
  </si>
  <si>
    <t>TC-030; TC-031</t>
  </si>
  <si>
    <t>CMP-IMP-184</t>
  </si>
  <si>
    <t>Ride Requests</t>
  </si>
  <si>
    <t>Create the op_ride_requests migration with state referencing policy configuration</t>
  </si>
  <si>
    <t>Table; request state via cfg_ not a database ENUM; requester and seats requested; hold expiry column left unused</t>
  </si>
  <si>
    <t>DB-061; DB-062; DB-039</t>
  </si>
  <si>
    <t>UC-023</t>
  </si>
  <si>
    <t>FEAT-012</t>
  </si>
  <si>
    <t>CMP-IMP-185</t>
  </si>
  <si>
    <t>Implement the RideRequest aggregate</t>
  </si>
  <si>
    <t>CMP-IMP-186</t>
  </si>
  <si>
    <t>Implement POST /ride-requests to request a stated number of seats on a ride</t>
  </si>
  <si>
    <t>Application service; idempotency key; request record against the ride; external id issue</t>
  </si>
  <si>
    <t>FRD-FR-097; FRD-FR-100; API 11.6</t>
  </si>
  <si>
    <t>CMP-IMP-187</t>
  </si>
  <si>
    <t>Re-confirm seat availability from backend state at the moment a request is made</t>
  </si>
  <si>
    <t>Authoritative read at request time; no cached count; negative test</t>
  </si>
  <si>
    <t>FRD-FR-098</t>
  </si>
  <si>
    <t>CMP-IMP-188</t>
  </si>
  <si>
    <t>Decline a request where seats are no longer available, state why, and consume no seat</t>
  </si>
  <si>
    <t>Business refusal; no seat consumption; verification that allocation is unchanged</t>
  </si>
  <si>
    <t>FRD-FR-099</t>
  </si>
  <si>
    <t>CMP-IMP-189</t>
  </si>
  <si>
    <t>Present the requesting passenger verification standing to the driver</t>
  </si>
  <si>
    <t>Standing read at display time; driver-facing representation</t>
  </si>
  <si>
    <t>FRD-FR-101; API-146</t>
  </si>
  <si>
    <t>CMP-IMP-190</t>
  </si>
  <si>
    <t>Refuse a request from a passenger who is not eligible to request and state the reason</t>
  </si>
  <si>
    <t>FRD-FR-102</t>
  </si>
  <si>
    <t>CMP-IMP-191</t>
  </si>
  <si>
    <t>Inform both the passenger and the driver of the outcome of a ride request</t>
  </si>
  <si>
    <t>Notification issue to both parties; category assignment; record</t>
  </si>
  <si>
    <t>FRD-FR-103; FRD-FR-197</t>
  </si>
  <si>
    <t>CMP-IMP-192</t>
  </si>
  <si>
    <t>Implement GET /ride-requests for own requests and requests on own rides</t>
  </si>
  <si>
    <t>Two-perspective listing; cursor paging; relationship-limited representation</t>
  </si>
  <si>
    <t>API 11.6</t>
  </si>
  <si>
    <t>CMP-IMP-193</t>
  </si>
  <si>
    <t>Implement DELETE /ride-requests/{id} to allow a passenger to withdraw a request</t>
  </si>
  <si>
    <t>Withdrawal; state change; notification to driver; audit record</t>
  </si>
  <si>
    <t>CMP-IMP-194</t>
  </si>
  <si>
    <t>Build Screen 14 - Request seats</t>
  </si>
  <si>
    <t>Compose surface; seat count; confirmation; refusal treatment; outcome presentation</t>
  </si>
  <si>
    <t>UX 4.1 Screen 14</t>
  </si>
  <si>
    <t>PARTIAL screen - it cannot state whether a request requires driver acceptance (BAD-DEC-007, FRD-GAP-009).</t>
  </si>
  <si>
    <t>CMP-IMP-195</t>
  </si>
  <si>
    <t>Build the requests-on-ride view within Screen 9</t>
  </si>
  <si>
    <t>Compose section; requester standing; accept and decline entry points; empty state</t>
  </si>
  <si>
    <t>Accept and decline controls depend on BAD-DEC-007. Build the listing; withhold controls the platform cannot honour (FRD-FR-195, UX-006).</t>
  </si>
  <si>
    <t>CMP-IMP-199</t>
  </si>
  <si>
    <t>Write ride request tests</t>
  </si>
  <si>
    <t>Unit eligibility refusal; integration availability re-confirmation; negative seat consumption on decline</t>
  </si>
  <si>
    <t>CMP-IMP-200</t>
  </si>
  <si>
    <t>Bookings</t>
  </si>
  <si>
    <t>Create the op_bookings migration carrying the platform-computed fare and payment reference</t>
  </si>
  <si>
    <t>Table; fare column with no caller-supplied write path; payment reference making the confirmation rule checkable; state via policy configuration; interface version column</t>
  </si>
  <si>
    <t>DB-059; DB-060; DB-061; DB-063</t>
  </si>
  <si>
    <t>UC-025; UC-029</t>
  </si>
  <si>
    <t>FEAT-013; FEAT-016</t>
  </si>
  <si>
    <t>CMP-IMP-201</t>
  </si>
  <si>
    <t>Implement the Booking aggregate with the confirmed-requires-verified-payment invariant</t>
  </si>
  <si>
    <t>Aggregate; invariant in Domain; not reachable for override; negative test</t>
  </si>
  <si>
    <t>BE-025; BE-012; BAD-RULE-028; FRD-FR-106</t>
  </si>
  <si>
    <t>CMP-IMP-202</t>
  </si>
  <si>
    <t>Implement the SeatAllocation invariant that confirmed seats never exceed seats offered</t>
  </si>
  <si>
    <t>Invariant on the allocation record; database CHECK constraint as second line; negative test</t>
  </si>
  <si>
    <t>BE-024; FRD-FR-107; DB 7; BAD-RULE-027</t>
  </si>
  <si>
    <t>CMP-IMP-203</t>
  </si>
  <si>
    <t>Implement pessimistic row locking on the allocation record plus the database constraint</t>
  </si>
  <si>
    <t>SELECT FOR UPDATE on the narrow row; constraint backstop; deadlock handling; lock scope narrowest possible</t>
  </si>
  <si>
    <t>BADR-04; DADR-05; BE-054; ARCH-053</t>
  </si>
  <si>
    <t>CMP-IMP-204</t>
  </si>
  <si>
    <t>Implement POST /bookings creating a booking in pending state</t>
  </si>
  <si>
    <t>Application service; pending creation; never reported confirmed until payment verified; idempotency key</t>
  </si>
  <si>
    <t>API-148; FRD-FR-105; AADR-07</t>
  </si>
  <si>
    <t>CMP-IMP-205</t>
  </si>
  <si>
    <t>Determine seat availability solely from platform state and reject any client-supplied seat count</t>
  </si>
  <si>
    <t>Client value rejection; whole-request rejection; integrity event recorded; negative test</t>
  </si>
  <si>
    <t>FRD-FR-104; FRD-FR-238; FRD-FR-239; FRD-FR-240</t>
  </si>
  <si>
    <t>CMP-IMP-206</t>
  </si>
  <si>
    <t>Confirm a booking only where seats remain available at the moment of confirmation</t>
  </si>
  <si>
    <t>Confirmation-time re-check under lock; refusal branch; negative test under concurrency</t>
  </si>
  <si>
    <t>FRD-FR-105; API-149; BE-056</t>
  </si>
  <si>
    <t>CMP-IMP-207</t>
  </si>
  <si>
    <t>Confirm a booking only where payment status is verified</t>
  </si>
  <si>
    <t>Payment status precondition; no confirmation on pending or failed; negative test</t>
  </si>
  <si>
    <t>FRD-FR-106; BE-025; API-145</t>
  </si>
  <si>
    <t>CMP-IMP-208</t>
  </si>
  <si>
    <t>Refuse confirmation where seats became unavailable and initiate the return of any value taken</t>
  </si>
  <si>
    <t>Refusal; seat release; initiation record for the return of value</t>
  </si>
  <si>
    <t>FRD-FR-108; PAY 13.2</t>
  </si>
  <si>
    <t>The return of value itself is BLOCKED (FRD-GAP-014, GAP-009, BAD-DEC-010). Record the initiation; do not invent the refund.</t>
  </si>
  <si>
    <t>CMP-IMP-209</t>
  </si>
  <si>
    <t>Do not confirm, and release any held seats, where payment is not verified</t>
  </si>
  <si>
    <t>Seat release path; allocation restoration; audit record</t>
  </si>
  <si>
    <t>FRD-FR-109</t>
  </si>
  <si>
    <t>CMP-IMP-210</t>
  </si>
  <si>
    <t>Reject any client assertion that a booking is confirmed</t>
  </si>
  <si>
    <t>Assertion rejection; whole-request refusal; integrity event; negative test</t>
  </si>
  <si>
    <t>FRD-FR-110; FRD-FR-238</t>
  </si>
  <si>
    <t>CMP-IMP-211</t>
  </si>
  <si>
    <t>Allocate the requested seats to a confirmed booking</t>
  </si>
  <si>
    <t>Allocation write under lock; totals maintained; invariant re-checked</t>
  </si>
  <si>
    <t>FRD-FR-111</t>
  </si>
  <si>
    <t>CMP-IMP-212</t>
  </si>
  <si>
    <t>Commit seat allocation, booking confirmation, ledger entry and payment status change in one transaction</t>
  </si>
  <si>
    <t>Single transaction scope; no provider call inside; evidential record in the same commit; partial-effect impossibility test</t>
  </si>
  <si>
    <t>BE-048; BE-049; BE-050; BE-053; SRS-REQ-040; SRS-REQ-041</t>
  </si>
  <si>
    <t>CMP-IMP-213</t>
  </si>
  <si>
    <t>Record the confirmation of a booking as an auditable event</t>
  </si>
  <si>
    <t>Evidential record; actor, subject, time, outcome; same-transaction write</t>
  </si>
  <si>
    <t>FRD-FR-112; FRD-FR-244; FRD-FR-245</t>
  </si>
  <si>
    <t>CMP-IMP-214</t>
  </si>
  <si>
    <t>Inform both the passenger and the driver when a booking is confirmed</t>
  </si>
  <si>
    <t>Notification issue to both; booking category; record</t>
  </si>
  <si>
    <t>FRD-FR-113; FRD-FR-197</t>
  </si>
  <si>
    <t>CMP-IMP-215</t>
  </si>
  <si>
    <t>Implement GET /bookings presenting bookings from backend state</t>
  </si>
  <si>
    <t>Listing with ride, seats, status, payment status and associated trip; cursor paging; as-of markings</t>
  </si>
  <si>
    <t>FRD-FR-114; API 11.7</t>
  </si>
  <si>
    <t>UC-029</t>
  </si>
  <si>
    <t>CMP-IMP-216</t>
  </si>
  <si>
    <t>Mark bookings shown from device-held data as cached and non-authoritative</t>
  </si>
  <si>
    <t>Cache provenance treatment; booking and payment status never presented as authoritative from cache</t>
  </si>
  <si>
    <t>FRD-FR-115; UXDR-02; UX 6</t>
  </si>
  <si>
    <t>CMP-IMP-217</t>
  </si>
  <si>
    <t>Record every cancellation with the responsible party and the reason</t>
  </si>
  <si>
    <t>Cancellation record; party and reason; no monetary effect recorded</t>
  </si>
  <si>
    <t>FRD-FR-116; DB-064</t>
  </si>
  <si>
    <t>Build the record now; the consequence is undecided (FRD-GAP-012, BAD-DEC-009). Recording costs nothing and makes the eventual policy enforceable retrospectively (FRD-ASM-004).</t>
  </si>
  <si>
    <t>CMP-IMP-218</t>
  </si>
  <si>
    <t>Build Screen 17 - My bookings and Screen 18 - Booking detail</t>
  </si>
  <si>
    <t>Compose surfaces; listing; detail; pending state; provenance marking; empty state</t>
  </si>
  <si>
    <t>UX 4.1 Screens 17, 18</t>
  </si>
  <si>
    <t>CMP-IMP-219</t>
  </si>
  <si>
    <t>Build Screen 8 state - Booking pending</t>
  </si>
  <si>
    <t>Pending presentation; submission state on the affected object; no success claim while pending</t>
  </si>
  <si>
    <t>UXDR-14; UX 11</t>
  </si>
  <si>
    <t>CMP-IMP-220</t>
  </si>
  <si>
    <t>Write concurrency tests proving overbooking is impossible under genuine parallelism</t>
  </si>
  <si>
    <t>Parallel confirmation attempts; allocation invariant assertion; database constraint assertion; repeat runs</t>
  </si>
  <si>
    <t>TADR-08; TC 12.1; BE-024; NFR-028</t>
  </si>
  <si>
    <t>CMP-IMP-221</t>
  </si>
  <si>
    <t>Write booking integrity tests</t>
  </si>
  <si>
    <t>Negative confirmation without verified payment; negative client-asserted confirmation; integration single-transaction atomicity</t>
  </si>
  <si>
    <t>CMP-IMP-222</t>
  </si>
  <si>
    <t>Payment Initiation</t>
  </si>
  <si>
    <t>Payment</t>
  </si>
  <si>
    <t>Calculate the amount payable under platform authority alone</t>
  </si>
  <si>
    <t>Fare computation inside the Domain; never accepted from an inbound value; negative test</t>
  </si>
  <si>
    <t>FRD-FR-117; BE-032; ARCH-083; BAD-RULE-034</t>
  </si>
  <si>
    <t>UC-030; UC-031</t>
  </si>
  <si>
    <t>FEAT-014</t>
  </si>
  <si>
    <t>CMP-IMP-223</t>
  </si>
  <si>
    <t>Reject any client-supplied amount payable</t>
  </si>
  <si>
    <t>Whole-request rejection; integrity event recorded; negative test</t>
  </si>
  <si>
    <t>FRD-FR-118; API-150; FRD-FR-238; FRD-FR-239</t>
  </si>
  <si>
    <t>CMP-IMP-224</t>
  </si>
  <si>
    <t>Present the total amount payable to the passenger before any payment is initiated</t>
  </si>
  <si>
    <t>Amount presentation on the commitment surface; as-of marking; ordering guarantee</t>
  </si>
  <si>
    <t>FRD-FR-119; UX 9.1</t>
  </si>
  <si>
    <t>CMP-IMP-225</t>
  </si>
  <si>
    <t>Do not initiate a payment for an amount the passenger has not been shown</t>
  </si>
  <si>
    <t>Shown-amount binding; refusal when unbound; negative test</t>
  </si>
  <si>
    <t>FRD-FR-120</t>
  </si>
  <si>
    <t>CMP-IMP-226</t>
  </si>
  <si>
    <t>Re-present the total and require the passenger to see it where the amount changes</t>
  </si>
  <si>
    <t>Change detection between display and payment; forced re-display; no silent substitution</t>
  </si>
  <si>
    <t>FRD-FR-121</t>
  </si>
  <si>
    <t>CMP-IMP-227</t>
  </si>
  <si>
    <t>Freeze the fare before the handoff</t>
  </si>
  <si>
    <t>Fare freeze at initiation; frozen value carried into verification; no recomputation mid-flow</t>
  </si>
  <si>
    <t>PADR-01; PAY 5</t>
  </si>
  <si>
    <t>CMP-IMP-228</t>
  </si>
  <si>
    <t>Implement POST /bookings/{id}/payments to initiate payment for the established amount</t>
  </si>
  <si>
    <t>Application service; idempotency key; provider port call outside the transaction; payment record creation</t>
  </si>
  <si>
    <t>FRD-FR-122; API 11.8; BE-050; BE-052</t>
  </si>
  <si>
    <t>CMP-IMP-229</t>
  </si>
  <si>
    <t>Implement the UPI handoff on the client</t>
  </si>
  <si>
    <t>UPI intent construction; handoff to the payment application; return handling; no instrument surface</t>
  </si>
  <si>
    <t>FRD-FR-123; PADR-02; MOB 8.3</t>
  </si>
  <si>
    <t>CMP-IMP-230</t>
  </si>
  <si>
    <t>Discard the response returned by the client-side UPI application</t>
  </si>
  <si>
    <t>Response discarded not distrusted; never treated as evidence; negative test asserting no state change from it</t>
  </si>
  <si>
    <t>FRD-FR-124; PADR-03; API-154; BAD-RULE-032</t>
  </si>
  <si>
    <t>CMP-IMP-231</t>
  </si>
  <si>
    <t>Ensure no payment instrument surface exists anywhere in the system</t>
  </si>
  <si>
    <t>No instrument field on any screen, endpoint, column or log; static check; schema inspection</t>
  </si>
  <si>
    <t>PADR-08; DB-037; DB-068; SEC 12; API-053</t>
  </si>
  <si>
    <t>CMP-IMP-232</t>
  </si>
  <si>
    <t>Refuse to start a payment the platform cannot verify when the ecosystem is unavailable</t>
  </si>
  <si>
    <t>Dependency-unavailable branch; refusal not optimistic start; negative test</t>
  </si>
  <si>
    <t>FRD-FR-137; PADR-12; FRD-FR-259</t>
  </si>
  <si>
    <t>CMP-IMP-233</t>
  </si>
  <si>
    <t>Build Screen 15 - Payment handoff</t>
  </si>
  <si>
    <t>Compose surface; amount presentation; handoff trigger; return path; always returns to pending</t>
  </si>
  <si>
    <t>UX 4.1 Screen 15; UXDR-10; UX 11.1</t>
  </si>
  <si>
    <t>UC-031</t>
  </si>
  <si>
    <t>CMP-IMP-235</t>
  </si>
  <si>
    <t>Write fare and initiation tests</t>
  </si>
  <si>
    <t>Negative client-supplied amount; negative payment for an unshown amount; integration fare freeze; contract branch shapes</t>
  </si>
  <si>
    <t>TC-029; TC-030; TC-031; FR-04</t>
  </si>
  <si>
    <t>CMP-IMP-236</t>
  </si>
  <si>
    <t>Payment Verification</t>
  </si>
  <si>
    <t>Create op_payments and op_payment_attempts migrations with a three-value CHECK constraint</t>
  </si>
  <si>
    <t>Tables; verified/failed/pending CHECK; no inbound write path from the interface; attempt rows never updated to hide a prior attempt; provider reference stored</t>
  </si>
  <si>
    <t>DB-065; DB-066; DB-067; DB-069; DB-070</t>
  </si>
  <si>
    <t>UC-031; UC-032; UC-033</t>
  </si>
  <si>
    <t>FEAT-015; FEAT-017</t>
  </si>
  <si>
    <t>CMP-IMP-237</t>
  </si>
  <si>
    <t>Implement the Payment aggregate permitting exactly three states and no fourth</t>
  </si>
  <si>
    <t>Aggregate; three states; no sub-states; leaving pending only by verification or recorded reconciliation; negative test</t>
  </si>
  <si>
    <t>BE-026; BE-027; PADR-07; SRS-REQ-155; SRS-REQ-156</t>
  </si>
  <si>
    <t>CMP-IMP-238</t>
  </si>
  <si>
    <t>Initiate independent verification of every payment attempt including abandoned ones</t>
  </si>
  <si>
    <t>Verification job enqueued unconditionally; abandonment covered; no dependence on passenger return</t>
  </si>
  <si>
    <t>FRD-FR-125; FRD-FR-126; PADR-04</t>
  </si>
  <si>
    <t>CMP-IMP-239</t>
  </si>
  <si>
    <t>Implement the payment-verification job family</t>
  </si>
  <si>
    <t>Job family binding; retry with configured backoff; idempotent execution; failed state visible</t>
  </si>
  <si>
    <t>BE-131; BE-135; BE-137; BE-139</t>
  </si>
  <si>
    <t>CMP-IMP-240</t>
  </si>
  <si>
    <t>Determine payment status solely from platform verification</t>
  </si>
  <si>
    <t>Status derivation from own verification only; provider-reported outcome not authoritative; negative test</t>
  </si>
  <si>
    <t>FRD-FR-127; FRD-FR-128; PADR-04</t>
  </si>
  <si>
    <t>CMP-IMP-241</t>
  </si>
  <si>
    <t>Set payment status to failed on established failure and release any held seats</t>
  </si>
  <si>
    <t>Failed transition; seat release; allocation restoration; audit record</t>
  </si>
  <si>
    <t>FRD-FR-129</t>
  </si>
  <si>
    <t>CMP-IMP-242</t>
  </si>
  <si>
    <t>Set payment status to pending and route for reconciliation where the outcome cannot be established</t>
  </si>
  <si>
    <t>Pending transition; reconciliation queue entry; never assume in either direction</t>
  </si>
  <si>
    <t>FRD-FR-130; FRD-FR-131; FRD-FR-258; PADR-06</t>
  </si>
  <si>
    <t>CMP-IMP-243</t>
  </si>
  <si>
    <t>Re-attempt verification of a pending payment on platform initiative</t>
  </si>
  <si>
    <t>Scheduled reconciliation job; re-verification; no timeout resolution; pending never times out</t>
  </si>
  <si>
    <t>FRD-FR-132; BE-145; PADR-06</t>
  </si>
  <si>
    <t>CMP-IMP-244</t>
  </si>
  <si>
    <t>Record every payment attempt and its verified outcome</t>
  </si>
  <si>
    <t>Attempt rows; outcome recording; append-only attempt history; inspection view</t>
  </si>
  <si>
    <t>FRD-FR-134; DB-067</t>
  </si>
  <si>
    <t>CMP-IMP-245</t>
  </si>
  <si>
    <t>Inform the passenger of the verified outcome and never of the outcome reported by the UPI application</t>
  </si>
  <si>
    <t>Outcome messaging; provider outcome suppressed; negative test</t>
  </si>
  <si>
    <t>FRD-FR-135; API-156</t>
  </si>
  <si>
    <t>CMP-IMP-246</t>
  </si>
  <si>
    <t>Inform a passenger that a payment is being confirmed and report no success while pending</t>
  </si>
  <si>
    <t>Pending presentation; no success claim; UXDR-10 conformance</t>
  </si>
  <si>
    <t>FRD-FR-136; UXDR-10</t>
  </si>
  <si>
    <t>CMP-IMP-247</t>
  </si>
  <si>
    <t>Implement the provider-neutral payment port and one adapter</t>
  </si>
  <si>
    <t>Port contract in Domain; capability result semantics; plausibility check; bounds and recording of provider calls</t>
  </si>
  <si>
    <t>PADR-10; BE-036; PAY 9; SADR-11</t>
  </si>
  <si>
    <t>BAD-DEP-004</t>
  </si>
  <si>
    <t>Decision Required - the PSP is unselected (BAD-DEP-004). The port is buildable; the adapter needs a provider. Seven selection gates are stated in PAY 14.1.</t>
  </si>
  <si>
    <t>CMP-IMP-248</t>
  </si>
  <si>
    <t>Implement the provider callback surface as a trigger that enqueues verification and nothing else</t>
  </si>
  <si>
    <t>Callback endpoint; enqueue only; never treated as verification; signature handling; negative test</t>
  </si>
  <si>
    <t>PADR-09; AADR-12; API 13</t>
  </si>
  <si>
    <t>CMP-IMP-249</t>
  </si>
  <si>
    <t>Ensure payment status is never settable through the interface</t>
  </si>
  <si>
    <t>Field absent from every schema; write-path prohibition; static and contract check</t>
  </si>
  <si>
    <t>API-153; DB-066; AADR-06; BAD-RULE-033</t>
  </si>
  <si>
    <t>CMP-IMP-250</t>
  </si>
  <si>
    <t>Ensure payment verification outcomes are never cached</t>
  </si>
  <si>
    <t>No-cache rule at gateway and client; authoritative read every time; negative test</t>
  </si>
  <si>
    <t>API-157; ARCH-126</t>
  </si>
  <si>
    <t>CMP-IMP-251</t>
  </si>
  <si>
    <t>Build Screen 16 - Payment status</t>
  </si>
  <si>
    <t>Compose surface; verified, failed and pending treatments; no success claim while pending; retry entry point</t>
  </si>
  <si>
    <t>UX 4.1 Screen 16</t>
  </si>
  <si>
    <t>UC-032</t>
  </si>
  <si>
    <t>CMP-IMP-252</t>
  </si>
  <si>
    <t>Write payment integrity tests</t>
  </si>
  <si>
    <t>Negative provider response accepted as evidence; negative pending resolved by assumption; negative status set through the interface; integration verification without passenger return</t>
  </si>
  <si>
    <t>TC-029; TC-030; FR-03; FR-04; PAY 16</t>
  </si>
  <si>
    <t>CMP-IMP-253</t>
  </si>
  <si>
    <t>Ledger</t>
  </si>
  <si>
    <t>Create the led_ledger_entries append-only migration</t>
  </si>
  <si>
    <t>Table in led_ domain; append-only enforcement; no update path; exact decimal money</t>
  </si>
  <si>
    <t>DB-005; DB 8; DADR-07; DB-031</t>
  </si>
  <si>
    <t>FEAT-003</t>
  </si>
  <si>
    <t>CMP-IMP-254</t>
  </si>
  <si>
    <t>Record a ledger entry for every movement of value</t>
  </si>
  <si>
    <t>Entry per movement attributable to payer, booking and event; written in the booking transaction</t>
  </si>
  <si>
    <t>FRD-FR-133; BE-048; ARCH-112</t>
  </si>
  <si>
    <t>CMP-IMP-255</t>
  </si>
  <si>
    <t>Produce balanced entries immediately on every verified payment</t>
  </si>
  <si>
    <t>Double-entry in effect; balance assertion at write time; negative test on unbalanced write</t>
  </si>
  <si>
    <t>PADR-11; DADR-07</t>
  </si>
  <si>
    <t>CMP-IMP-256</t>
  </si>
  <si>
    <t>Compute balances rather than store them</t>
  </si>
  <si>
    <t>No stored balance column; computation query; index support</t>
  </si>
  <si>
    <t>DADR-06; DB-031</t>
  </si>
  <si>
    <t>CMP-IMP-257</t>
  </si>
  <si>
    <t>Surface a discrepancy where a ledger does not reconcile rather than present a concealing balance</t>
  </si>
  <si>
    <t>Reconciliation check; discrepancy surfacing; routing to the reconciliation queue</t>
  </si>
  <si>
    <t>FRD-FR-222; FRD-FR-223</t>
  </si>
  <si>
    <t>CMP-IMP-259</t>
  </si>
  <si>
    <t>Write ledger tests</t>
  </si>
  <si>
    <t>Unit balance computation; integration same-transaction entry; negative unbalanced entry; negative update of an entry</t>
  </si>
  <si>
    <t>CMP-IMP-260</t>
  </si>
  <si>
    <t>Trips</t>
  </si>
  <si>
    <t>Create op_trips and op_trip_participants migrations capturing values not references alone</t>
  </si>
  <si>
    <t>Tables; captured participants, route as travelled, fare and payment outcome; booking references making the start rule checkable; state via policy configuration</t>
  </si>
  <si>
    <t>DB-071; DB-072; DB-075; DADR-11</t>
  </si>
  <si>
    <t>UC-038; UC-042</t>
  </si>
  <si>
    <t>CMP-IMP-261</t>
  </si>
  <si>
    <t>Implement the Trip aggregate with the start-requires-confirmed-booking invariant</t>
  </si>
  <si>
    <t>BE-028; BE-012; SRS-REQ-159; FRD-FR-142</t>
  </si>
  <si>
    <t>CMP-IMP-262</t>
  </si>
  <si>
    <t>Implement POST /trips/{id}/start allowing a driver to begin a trip</t>
  </si>
  <si>
    <t>Application service; idempotency key; confirmed-booking precondition; trip creation and start time record</t>
  </si>
  <si>
    <t>FRD-FR-141; FRD-FR-143; API-159; API 11.9</t>
  </si>
  <si>
    <t>CMP-IMP-263</t>
  </si>
  <si>
    <t>Refuse to begin a trip against a ride with no confirmed booking</t>
  </si>
  <si>
    <t>Business refusal; refusal reason; negative test</t>
  </si>
  <si>
    <t>FRD-FR-142; BE-028</t>
  </si>
  <si>
    <t>CMP-IMP-264</t>
  </si>
  <si>
    <t>Record every trip state transition with the time at which it occurred</t>
  </si>
  <si>
    <t>Transition log; evidential record; inspection view</t>
  </si>
  <si>
    <t>FRD-FR-144; FRD-FR-244</t>
  </si>
  <si>
    <t>CMP-IMP-265</t>
  </si>
  <si>
    <t>Make the current trip state visible to every participant</t>
  </si>
  <si>
    <t>Participant-scoped state read; as-of marking; client rendering</t>
  </si>
  <si>
    <t>FRD-FR-145</t>
  </si>
  <si>
    <t>CMP-IMP-266</t>
  </si>
  <si>
    <t>Notify booked passengers when a trip begins</t>
  </si>
  <si>
    <t>Notification issue; trip category; record</t>
  </si>
  <si>
    <t>FRD-FR-146; FRD-FR-197</t>
  </si>
  <si>
    <t>CMP-IMP-267</t>
  </si>
  <si>
    <t>Record the actual start time of a trip against its scheduled departure time</t>
  </si>
  <si>
    <t>Both instants recorded; variance derivable; inspection view</t>
  </si>
  <si>
    <t>FRD-FR-147</t>
  </si>
  <si>
    <t>CMP-IMP-268</t>
  </si>
  <si>
    <t>Implement POST /trips/{id}/completion closing a trip and recording each booking outcome independently</t>
  </si>
  <si>
    <t>Completion service; per-booking outcome; captured values written</t>
  </si>
  <si>
    <t>FRD-FR-165; FRD-FR-166; API 11.9</t>
  </si>
  <si>
    <t>CMP-IMP-269</t>
  </si>
  <si>
    <t>Do not report a trip as complete where its record cannot be written</t>
  </si>
  <si>
    <t>Write-then-report ordering; failure branch; reconciliation raise; negative test</t>
  </si>
  <si>
    <t>FRD-FR-167; FRD-FR-248; FRD-FR-249</t>
  </si>
  <si>
    <t>CMP-IMP-270</t>
  </si>
  <si>
    <t>Build Screen 22 - Active trip, driver view</t>
  </si>
  <si>
    <t>Compose surface; trip state; start and complete controls; next point; position age visible</t>
  </si>
  <si>
    <t>UX 4.1 Screen 22; UX-009</t>
  </si>
  <si>
    <t>UC-042</t>
  </si>
  <si>
    <t>CMP-IMP-273</t>
  </si>
  <si>
    <t>Write trip execution tests</t>
  </si>
  <si>
    <t>Negative start without confirmed booking; integration completion capture; negative completion reported without a written record</t>
  </si>
  <si>
    <t>CMP-IMP-274</t>
  </si>
  <si>
    <t>GPS Tracking</t>
  </si>
  <si>
    <t>Create the op_trip_positions migration carrying two distinct instants</t>
  </si>
  <si>
    <t>Separate table for independent removal; instant of acquisition distinct from instant of receipt; index for latest-position access</t>
  </si>
  <si>
    <t>DB-073; DB-074; GADR-03</t>
  </si>
  <si>
    <t>UC-039</t>
  </si>
  <si>
    <t>FEAT-018</t>
  </si>
  <si>
    <t>CMP-IMP-275</t>
  </si>
  <si>
    <t>GPS</t>
  </si>
  <si>
    <t>Implement the trip-bound foreground location service on the client</t>
  </si>
  <si>
    <t>Foreground service bound to the trip; disclosure notification; start and stop with the trip; no user-level tracking</t>
  </si>
  <si>
    <t>MADR-07; GADR-01; GADR-04; GPS 5.1</t>
  </si>
  <si>
    <t>CMP-IMP-276</t>
  </si>
  <si>
    <t>Implement location permission coordination</t>
  </si>
  <si>
    <t>Permission request flow; rationale; denial handling; degraded operation without permission</t>
  </si>
  <si>
    <t>MOB 8.2; FRD-FR-152</t>
  </si>
  <si>
    <t>CMP-IMP-277</t>
  </si>
  <si>
    <t>Obtain the vehicle position during an active trip and report it</t>
  </si>
  <si>
    <t>Position acquisition; POST /trips/{id}/positions; reported by the vehicle not every participant; batching under intermittent connectivity</t>
  </si>
  <si>
    <t>FRD-FR-148; ARCH-093; GADR-02</t>
  </si>
  <si>
    <t>CMP-IMP-278</t>
  </si>
  <si>
    <t>Take the position reporting cadence from platform-delivered configuration</t>
  </si>
  <si>
    <t>Cadence from GET /configuration; client never chooses; adjustable without a client release</t>
  </si>
  <si>
    <t>GADR-06; API-162; MOB-135; OPS-118</t>
  </si>
  <si>
    <t>CMP-IMP-279</t>
  </si>
  <si>
    <t>Validate and accept reported positions</t>
  </si>
  <si>
    <t>Acceptance rules; participant, trip and time scoping; rejection of out-of-scope reports</t>
  </si>
  <si>
    <t>GPS 6.2; GADR-11</t>
  </si>
  <si>
    <t>CMP-IMP-280</t>
  </si>
  <si>
    <t>Implement GET /trips/{id}/positions/latest scoped to participants of the active trip</t>
  </si>
  <si>
    <t>Participant-scoped read; time-scoped access; as-of marking</t>
  </si>
  <si>
    <t>FRD-FR-149; GADR-11; API 11.9</t>
  </si>
  <si>
    <t>CMP-IMP-281</t>
  </si>
  <si>
    <t>Never present a previously known position as the current position</t>
  </si>
  <si>
    <t>Staleness bound per position against a delivered bound; expiry treatment; negative test</t>
  </si>
  <si>
    <t>FRD-FR-150; API-161; GADR-05</t>
  </si>
  <si>
    <t>CMP-IMP-282</t>
  </si>
  <si>
    <t>Indicate that position is unavailable and when it was last known</t>
  </si>
  <si>
    <t>Unavailable treatment; last-known instant shown; no extrapolation</t>
  </si>
  <si>
    <t>FRD-FR-151; GADR-07</t>
  </si>
  <si>
    <t>Open question - what the passenger sees when the driver becomes unreachable mid-trip is unresolved (FRD-OQ-009).</t>
  </si>
  <si>
    <t>CMP-IMP-283</t>
  </si>
  <si>
    <t>Permit a trip to begin indicating that tracking is unavailable</t>
  </si>
  <si>
    <t>Tracking as enhancement not precondition; start path without position; indication to participants</t>
  </si>
  <si>
    <t>FRD-FR-152; GADR-08</t>
  </si>
  <si>
    <t>CMP-IMP-284</t>
  </si>
  <si>
    <t>Continue to report position without map context where the mapping service is unavailable</t>
  </si>
  <si>
    <t>Degraded presentation; position path unaffected; dependency-unavailable marking</t>
  </si>
  <si>
    <t>FRD-FR-153; GADR-13</t>
  </si>
  <si>
    <t>CMP-IMP-285</t>
  </si>
  <si>
    <t>Cease position tracking when a trip ends</t>
  </si>
  <si>
    <t>Service stop; foreground notification removal; verification that no position is acquired after end</t>
  </si>
  <si>
    <t>FRD-FR-154</t>
  </si>
  <si>
    <t>CMP-IMP-286</t>
  </si>
  <si>
    <t>Build Screen 21 - Active trip, passenger view with position age always visible</t>
  </si>
  <si>
    <t>Compose surface; map or position; age of position; unavailable treatment; safety centre reachable</t>
  </si>
  <si>
    <t>UX 4.1 Screen 21; UXDR-11; UX-009; UX-011</t>
  </si>
  <si>
    <t>UC-039; UC-040</t>
  </si>
  <si>
    <t>CMP-IMP-287</t>
  </si>
  <si>
    <t>Apply position privacy scoping and retention marking</t>
  </si>
  <si>
    <t>Participant, trip and time scoping; separate table for independent removal; retention marking</t>
  </si>
  <si>
    <t>GPS 10; DB-073; DB-179</t>
  </si>
  <si>
    <t>BAD-DEC-021</t>
  </si>
  <si>
    <t>Decision Required - position retention period is unset (BAD-DEC-021, FRD-RISK-007). Location history accumulates without bound until it is set.</t>
  </si>
  <si>
    <t>CMP-IMP-288</t>
  </si>
  <si>
    <t>Write live tracking tests</t>
  </si>
  <si>
    <t>Negative stale position presented as current; integration cadence from configuration; negative position acquired after trip end; participant scoping</t>
  </si>
  <si>
    <t>TC-029; TC-030; FR-04; GPS 14</t>
  </si>
  <si>
    <t>CMP-IMP-289</t>
  </si>
  <si>
    <t>Trip Estimates</t>
  </si>
  <si>
    <t>Compute an estimated time of arrival at each participant next relevant point</t>
  </si>
  <si>
    <t>ETA computation; per-participant next point; mapping port call; update on progress</t>
  </si>
  <si>
    <t>FRD-FR-155; FRD-FR-157</t>
  </si>
  <si>
    <t>UC-040; UC-044</t>
  </si>
  <si>
    <t>FEAT-019</t>
  </si>
  <si>
    <t>CMP-IMP-290</t>
  </si>
  <si>
    <t>Compute the remaining distance to each participant next relevant point</t>
  </si>
  <si>
    <t>Distance computation; per-participant; update on progress</t>
  </si>
  <si>
    <t>FRD-FR-156; FRD-FR-157</t>
  </si>
  <si>
    <t>CMP-IMP-291</t>
  </si>
  <si>
    <t>State that no estimate is available rather than present a stale or default value</t>
  </si>
  <si>
    <t>No-estimate treatment; no extrapolation; negative test against a default value</t>
  </si>
  <si>
    <t>FRD-FR-158; GADR-07</t>
  </si>
  <si>
    <t>CMP-IMP-292</t>
  </si>
  <si>
    <t>Present a driver with the estimate to their next pickup or drop rather than their own destination</t>
  </si>
  <si>
    <t>Driver-perspective estimate; next-point selection</t>
  </si>
  <si>
    <t>FRD-FR-159; GADR-10</t>
  </si>
  <si>
    <t>BLOCKED in part - pickup and drop sequencing on a multi-passenger trip is undecided (GAP-017, GPS 12.4). FRD-FR-159 is unimplementable for a multi-passenger trip until it is decided.</t>
  </si>
  <si>
    <t>CMP-IMP-293</t>
  </si>
  <si>
    <t>Associate every confirmed booking on a ride with the same trip</t>
  </si>
  <si>
    <t>One trip per ride; booking association; participant records</t>
  </si>
  <si>
    <t>FRD-FR-161</t>
  </si>
  <si>
    <t>CMP-IMP-294</t>
  </si>
  <si>
    <t>Track each booking pickup and drop independently on a multi-passenger trip</t>
  </si>
  <si>
    <t>Per-booking journey state; independent progression; GADR-09 conformance</t>
  </si>
  <si>
    <t>FRD-FR-162; GADR-09</t>
  </si>
  <si>
    <t>CMP-IMP-295</t>
  </si>
  <si>
    <t>Present each passenger with the trip from the perspective of their own pickup and drop points</t>
  </si>
  <si>
    <t>Per-passenger view composition; no disclosure of other passengers beyond the relationship</t>
  </si>
  <si>
    <t>FRD-FR-163; UXDR-08</t>
  </si>
  <si>
    <t>CMP-IMP-296</t>
  </si>
  <si>
    <t>Ensure one passenger cancellation or absence does not invalidate another booking on the same trip</t>
  </si>
  <si>
    <t>Independence invariant; negative test with a cancelled co-passenger</t>
  </si>
  <si>
    <t>FRD-FR-164</t>
  </si>
  <si>
    <t>CMP-IMP-297</t>
  </si>
  <si>
    <t>Build Screen 23 - Multi-passenger trip</t>
  </si>
  <si>
    <t>Compose surface; per-booking journeys; own perspective; co-traveller disclosure limits</t>
  </si>
  <si>
    <t>UX 4.1 Screen 23</t>
  </si>
  <si>
    <t>UC-044</t>
  </si>
  <si>
    <t>CMP-IMP-298</t>
  </si>
  <si>
    <t>Provide current speed, current landmark and the next navigation instruction during an active trip</t>
  </si>
  <si>
    <t>Telemetry fields; navigation instruction source; presentation</t>
  </si>
  <si>
    <t>FRD-FR-160</t>
  </si>
  <si>
    <t>Release R2 by FRD-FR-160. Open question whether the deferral is correct (FRD-OQ-007).</t>
  </si>
  <si>
    <t>CMP-IMP-299</t>
  </si>
  <si>
    <t>Write estimate and multi-passenger tests</t>
  </si>
  <si>
    <t>Negative stale or default estimate; integration per-booking independence; negative co-passenger cancellation effect</t>
  </si>
  <si>
    <t>CMP-IMP-300</t>
  </si>
  <si>
    <t>Trip History</t>
  </si>
  <si>
    <t>Implement GET /trips presenting a user completed trips</t>
  </si>
  <si>
    <t>Listing with date, route, counterparties, fare paid or earned, and outcome; cursor paging</t>
  </si>
  <si>
    <t>FRD-FR-168; API 11.9</t>
  </si>
  <si>
    <t>UC-043</t>
  </si>
  <si>
    <t>CMP-IMP-301</t>
  </si>
  <si>
    <t>Record, for every completed trip, its participants, route travelled, associated payment and outcome</t>
  </si>
  <si>
    <t>Captured values written at completion; immutability; inspection view</t>
  </si>
  <si>
    <t>FRD-FR-166; DB-072; NFR-126</t>
  </si>
  <si>
    <t>CMP-IMP-302</t>
  </si>
  <si>
    <t>Show a completed trip vehicle as it was recorded at the time of travel</t>
  </si>
  <si>
    <t>Historical vehicle snapshot; no live vehicle read</t>
  </si>
  <si>
    <t>FRD-FR-048</t>
  </si>
  <si>
    <t>CMP-IMP-303</t>
  </si>
  <si>
    <t>Build Screen 20 - Trip history</t>
  </si>
  <si>
    <t>Compose surface; listing; detail entry; empty state; provenance marking</t>
  </si>
  <si>
    <t>UX 4.1 Screen 20</t>
  </si>
  <si>
    <t>CMP-IMP-304</t>
  </si>
  <si>
    <t>Write trip history tests</t>
  </si>
  <si>
    <t>Integration captured values; negative live-read substitution for a captured value</t>
  </si>
  <si>
    <t>CMP-IMP-305</t>
  </si>
  <si>
    <t>Messaging</t>
  </si>
  <si>
    <t>Create conversation and message tables with membership derived from the ride relationship</t>
  </si>
  <si>
    <t>Tables; derived membership never granted; every message recorded; no read-state column</t>
  </si>
  <si>
    <t>NADR-02; NADR-03; NADR-06; FRD-FR-170; FRD-FR-172</t>
  </si>
  <si>
    <t>UC-045; UC-046; UC-047</t>
  </si>
  <si>
    <t>CMP-IMP-306</t>
  </si>
  <si>
    <t>Allow a driver and a passenger with a qualifying relationship to exchange messages</t>
  </si>
  <si>
    <t>POST /conversations/{id}/messages; relationship check; message record</t>
  </si>
  <si>
    <t>FRD-FR-169; API 11.10</t>
  </si>
  <si>
    <t>CMP-IMP-307</t>
  </si>
  <si>
    <t>Chat</t>
  </si>
  <si>
    <t>Never deliver a message to a party with no qualifying relationship to the ride</t>
  </si>
  <si>
    <t>Delivery guard; negative test with a non-qualifying party</t>
  </si>
  <si>
    <t>FRD-FR-170</t>
  </si>
  <si>
    <t>CMP-IMP-308</t>
  </si>
  <si>
    <t>Decline to open a conversation where the relationship does not permit messaging</t>
  </si>
  <si>
    <t>Business refusal; refusal reason identifier</t>
  </si>
  <si>
    <t>FRD-FR-171</t>
  </si>
  <si>
    <t>CMP-IMP-309</t>
  </si>
  <si>
    <t>Retain a message and deliver it when the recipient next connects</t>
  </si>
  <si>
    <t>Retention on delivery failure; delivery on reconnect; no loss</t>
  </si>
  <si>
    <t>FRD-FR-173; NADR-09</t>
  </si>
  <si>
    <t>CMP-IMP-310</t>
  </si>
  <si>
    <t>Never report a message as read to its sender</t>
  </si>
  <si>
    <t>No read state leaves the platform; absent from every representation; negative test</t>
  </si>
  <si>
    <t>FRD-FR-174; NADR-06</t>
  </si>
  <si>
    <t>CMP-IMP-311</t>
  </si>
  <si>
    <t>Queue messages rather than discard them where the messaging service is unavailable</t>
  </si>
  <si>
    <t>Queue on dependency unavailability; drain on restore</t>
  </si>
  <si>
    <t>FRD-FR-175; FRD-FR-260</t>
  </si>
  <si>
    <t>CMP-IMP-312</t>
  </si>
  <si>
    <t>Support messaging between the participants of a multi-passenger trip</t>
  </si>
  <si>
    <t>Multi-party conversation; membership derivation; disclosure limits</t>
  </si>
  <si>
    <t>FRD-FR-176; NOTIF 5.6</t>
  </si>
  <si>
    <t>CMP-IMP-313</t>
  </si>
  <si>
    <t>Implement GET /conversations and GET /conversations/{id}/messages</t>
  </si>
  <si>
    <t>Listings; cursor paging; relationship-limited representation</t>
  </si>
  <si>
    <t>API 11.10</t>
  </si>
  <si>
    <t>CMP-IMP-314</t>
  </si>
  <si>
    <t>Present previously retrieved messages when the device has no connectivity</t>
  </si>
  <si>
    <t>Presentation cache read; offline retrieval; no fabrication of newer content</t>
  </si>
  <si>
    <t>FRD-FR-177; MADR-05</t>
  </si>
  <si>
    <t>CMP-IMP-315</t>
  </si>
  <si>
    <t>Indicate that a conversation shown without connectivity may not be current</t>
  </si>
  <si>
    <t>Cached provenance treatment; as-of marking; UXDR-02 conformance</t>
  </si>
  <si>
    <t>FRD-FR-178; UXDR-02</t>
  </si>
  <si>
    <t>CMP-IMP-316</t>
  </si>
  <si>
    <t>Implement the durable outbox so an offline-composed message is never shown as delivered</t>
  </si>
  <si>
    <t>Outbox store separate from cache; idempotent durable submission; submission state on the affected object; never delivered until the platform accepts</t>
  </si>
  <si>
    <t>FRD-FR-179; MADR-05; MADR-06; UXDR-14; NADR-04</t>
  </si>
  <si>
    <t>CMP-IMP-317</t>
  </si>
  <si>
    <t>Alert a recipient to a message disclosing no more than the conversation itself would</t>
  </si>
  <si>
    <t>Message-arrival notification; content limits; NOTIF 10.3 conformance</t>
  </si>
  <si>
    <t>FRD-FR-180; NOTIF 10.3</t>
  </si>
  <si>
    <t>CMP-IMP-318</t>
  </si>
  <si>
    <t>Build Screen 24 - Conversations and Screen 25 - Messages</t>
  </si>
  <si>
    <t>Compose surfaces; conversation list; message thread; offline treatment; send with outbox state; empty states</t>
  </si>
  <si>
    <t>UX 4.1 Screens 24, 25</t>
  </si>
  <si>
    <t>CMP-IMP-320</t>
  </si>
  <si>
    <t>Write messaging tests</t>
  </si>
  <si>
    <t>Negative delivery to a non-qualifying party; negative read-state exposure; integration offline outbox submission; queue on unavailability</t>
  </si>
  <si>
    <t>TC-029; TC-030; FR-04; NOTIF 13</t>
  </si>
  <si>
    <t>CMP-IMP-321</t>
  </si>
  <si>
    <t>Notifications</t>
  </si>
  <si>
    <t>Create notification, preference and device registration tables</t>
  </si>
  <si>
    <t>Tables; category immutable at issue; addressee and time; delivery target registration</t>
  </si>
  <si>
    <t>FRD-FR-203; NADR-13; API 11.11</t>
  </si>
  <si>
    <t>UC-062; UC-063; UC-064</t>
  </si>
  <si>
    <t>FEAT-002</t>
  </si>
  <si>
    <t>CMP-IMP-322</t>
  </si>
  <si>
    <t>Issue a notification to each affected user on ride, booking, payment, trip, chat, reward, safety and system events</t>
  </si>
  <si>
    <t>Event listeners; issue per event per affected user; one notification per event per user</t>
  </si>
  <si>
    <t>FRD-FR-197; NADR-10; NOTIF-081</t>
  </si>
  <si>
    <t>CMP-IMP-323</t>
  </si>
  <si>
    <t>Identify the category of every notification at issue and make it immutable</t>
  </si>
  <si>
    <t>Eight-category set; assignment at issue; no ninth without changing the preference surface</t>
  </si>
  <si>
    <t>FRD-FR-198; NOTIF-081; NADR-13</t>
  </si>
  <si>
    <t>CMP-IMP-324</t>
  </si>
  <si>
    <t>Determine the users affected by an event before issuing notifications</t>
  </si>
  <si>
    <t>Affected-user determination at issue not at delivery; participant resolution</t>
  </si>
  <si>
    <t>FRD-FR-199; NADR-08</t>
  </si>
  <si>
    <t>CMP-IMP-325</t>
  </si>
  <si>
    <t>Apply a user notification preferences to non-essential categories at issue</t>
  </si>
  <si>
    <t>Preference evaluation at issue against the preferences at that moment; no retroactive effect</t>
  </si>
  <si>
    <t>FRD-FR-200; NOTIF-089; NOTIF-090</t>
  </si>
  <si>
    <t>CMP-IMP-326</t>
  </si>
  <si>
    <t>Deliver safety-category and payment-category notifications irrespective of preferences</t>
  </si>
  <si>
    <t>Mandatory delivery; zero safety notifications suppressed; negative test</t>
  </si>
  <si>
    <t>FRD-FR-201; NOTIF-084; NOTIF-088; NFR-076</t>
  </si>
  <si>
    <t>CMP-IMP-327</t>
  </si>
  <si>
    <t>Keep mandatory categories absent from the preference surface entirely</t>
  </si>
  <si>
    <t>Not shown disabled, locked or explained; preference surface lists only controllable categories; negative test</t>
  </si>
  <si>
    <t>FRD-FR-202; NOTIF-085; NOTIF-086; NOTIF-087; NADR-07</t>
  </si>
  <si>
    <t>CMP-IMP-328</t>
  </si>
  <si>
    <t>Record every notification issued with its category, addressee and time</t>
  </si>
  <si>
    <t>Record write; suppressed notifications still recorded and still in history</t>
  </si>
  <si>
    <t>FRD-FR-203; NOTIF-094; NOTIF-095</t>
  </si>
  <si>
    <t>CMP-IMP-329</t>
  </si>
  <si>
    <t>Retain a notification in the application where its delivery fails</t>
  </si>
  <si>
    <t>In-application record authoritative; delivery best-effort; negative test on loss</t>
  </si>
  <si>
    <t>FRD-FR-204; NADR-09</t>
  </si>
  <si>
    <t>CMP-IMP-330</t>
  </si>
  <si>
    <t>Queue notifications where the messaging service is unavailable</t>
  </si>
  <si>
    <t>Queue on dependency unavailability; drain on restore; notification job family</t>
  </si>
  <si>
    <t>FRD-FR-205; FRD-FR-260; BE-131</t>
  </si>
  <si>
    <t>CMP-IMP-331</t>
  </si>
  <si>
    <t>Record and make available in the application a notification for a user with no reachable device</t>
  </si>
  <si>
    <t>No-device path; in-application availability; no silent drop</t>
  </si>
  <si>
    <t>FRD-FR-206</t>
  </si>
  <si>
    <t>CMP-IMP-332</t>
  </si>
  <si>
    <t>Implement GET /notifications presenting history with category and time</t>
  </si>
  <si>
    <t>Listing; cursor paging; acknowledgement operation</t>
  </si>
  <si>
    <t>FRD-FR-207; API 11.11</t>
  </si>
  <si>
    <t>CMP-IMP-333</t>
  </si>
  <si>
    <t>State that the subject of a notification is no longer accessible rather than fail silently</t>
  </si>
  <si>
    <t>Subject resolution at open; explicit message; negative test on silent failure</t>
  </si>
  <si>
    <t>FRD-FR-208</t>
  </si>
  <si>
    <t>CMP-IMP-334</t>
  </si>
  <si>
    <t>Implement the provider-neutral delivery port and one adapter</t>
  </si>
  <si>
    <t>Port contract; capability result; bounds and recording; adapter for the selected provider</t>
  </si>
  <si>
    <t>NADR-12; BE-036; NOTIF 9</t>
  </si>
  <si>
    <t>CMP-IMP-335</t>
  </si>
  <si>
    <t>Implement device registration through PUT and DELETE /devices/current</t>
  </si>
  <si>
    <t>Registration; deregistration; token rotation; no business value carried</t>
  </si>
  <si>
    <t>API 11.11</t>
  </si>
  <si>
    <t>CMP-IMP-336</t>
  </si>
  <si>
    <t>Ensure a notification carries no business value</t>
  </si>
  <si>
    <t>Content limits; no fare, seat count, payment status or balance in a notification; negative test</t>
  </si>
  <si>
    <t>NADR-05; UXDR-12; NOTIF 10.1</t>
  </si>
  <si>
    <t>CMP-IMP-337</t>
  </si>
  <si>
    <t>Make safety notifications visually distinct from every other category</t>
  </si>
  <si>
    <t>Distinct treatment; not colour alone; review against NOTIF-093</t>
  </si>
  <si>
    <t>NOTIF-093; UX-160; UXDR-16</t>
  </si>
  <si>
    <t>CMP-IMP-338</t>
  </si>
  <si>
    <t>Implement Firebase Cloud Messaging handling and deep links on the client</t>
  </si>
  <si>
    <t>FCM integration; foreground and background handling; deep link routing to the notification subject</t>
  </si>
  <si>
    <t>MOB 8.4; README 3</t>
  </si>
  <si>
    <t>CMP-IMP-339</t>
  </si>
  <si>
    <t>Build Screen 26 - Notifications and Screen 27 - Notification preferences</t>
  </si>
  <si>
    <t>Compose surfaces; history with category and time; preference toggles for controllable categories only; empty states</t>
  </si>
  <si>
    <t>UX 4.1 Screens 26, 27</t>
  </si>
  <si>
    <t>CMP-IMP-340</t>
  </si>
  <si>
    <t>Issue no notification in the reward category</t>
  </si>
  <si>
    <t>Category exists but produces nothing; guard; negative test</t>
  </si>
  <si>
    <t>NOTIF-082</t>
  </si>
  <si>
    <t>The reward category exists in FRD-FR-197 but no reward behaviour is specified (BAD-DEC-013). Do not issue in it.</t>
  </si>
  <si>
    <t>CMP-IMP-341</t>
  </si>
  <si>
    <t>Write notification tests</t>
  </si>
  <si>
    <t>Negative suppression of a safety notification; negative mandatory category on the preference surface; integration delivery failure retention; negative business value in content</t>
  </si>
  <si>
    <t>CMP-IMP-342</t>
  </si>
  <si>
    <t>Emergency Contacts</t>
  </si>
  <si>
    <t>Create the op_user_emergency_contacts migration</t>
  </si>
  <si>
    <t>Table; protected contact columns; per-user nomination</t>
  </si>
  <si>
    <t>DB 6.2; DB-035</t>
  </si>
  <si>
    <t>UC-048</t>
  </si>
  <si>
    <t>FEAT-006</t>
  </si>
  <si>
    <t>CMP-IMP-343</t>
  </si>
  <si>
    <t>Allow a user to nominate one or more emergency contacts</t>
  </si>
  <si>
    <t>GET and PUT /profile/emergency-contacts; nomination; record against the user</t>
  </si>
  <si>
    <t>FRD-FR-181; FRD-FR-184; API 11.2</t>
  </si>
  <si>
    <t>CMP-IMP-344</t>
  </si>
  <si>
    <t>Allow a user to amend or remove a nominated emergency contact</t>
  </si>
  <si>
    <t>PUT and DELETE operations; state change; audit record</t>
  </si>
  <si>
    <t>FRD-FR-182; API 11.2</t>
  </si>
  <si>
    <t>CMP-IMP-345</t>
  </si>
  <si>
    <t>Validate emergency contact details and state why a contact is unusable</t>
  </si>
  <si>
    <t>Validation; reason identifier; API-131 conformance</t>
  </si>
  <si>
    <t>FRD-FR-183; API-131</t>
  </si>
  <si>
    <t>CMP-IMP-346</t>
  </si>
  <si>
    <t>Build Screen 29 - Emergency contacts</t>
  </si>
  <si>
    <t>Compose surface; list, add, amend, remove; unusable-contact treatment; empty state</t>
  </si>
  <si>
    <t>UX 4.1 Screen 29</t>
  </si>
  <si>
    <t>CMP-IMP-347</t>
  </si>
  <si>
    <t>Write emergency contact tests</t>
  </si>
  <si>
    <t>Unit validation reasons; integration nomination and removal; negative unusable contact accepted</t>
  </si>
  <si>
    <t>CMP-IMP-348</t>
  </si>
  <si>
    <t>Safety Pipeline</t>
  </si>
  <si>
    <t>Create op_safety_incidents and op_safety_actions migrations insertable with partial context</t>
  </si>
  <si>
    <t>Tables; no validation failure on a non-essential column can lose a signal; missing context recorded as missing and distinguishable from absent in fact</t>
  </si>
  <si>
    <t>DB-077; DB-078; FRD-FR-187</t>
  </si>
  <si>
    <t>UC-051</t>
  </si>
  <si>
    <t>FEAT-002; FEAT-033</t>
  </si>
  <si>
    <t>CMP-IMP-349</t>
  </si>
  <si>
    <t>Implement the SafetyIncident aggregate with the close-requires-outcome invariant</t>
  </si>
  <si>
    <t>Aggregate; invariant in Domain; no close by timeout; negative test</t>
  </si>
  <si>
    <t>BE-029; FRD-FR-227; FRD-FR-228; SRS-REQ-160</t>
  </si>
  <si>
    <t>CMP-IMP-350</t>
  </si>
  <si>
    <t>Record every safety signal received as a safety incident</t>
  </si>
  <si>
    <t>Intake service; unconditional record; negative test proving no signal is discarded</t>
  </si>
  <si>
    <t>FRD-FR-185; FRD-FR-188</t>
  </si>
  <si>
    <t>CMP-IMP-351</t>
  </si>
  <si>
    <t>Capture the raising user, trip, location at the time, vehicle and co-travellers with each incident</t>
  </si>
  <si>
    <t>Context capture; partial capture tolerated; each element independently optional</t>
  </si>
  <si>
    <t>FRD-FR-186; FRD-FR-187</t>
  </si>
  <si>
    <t>CMP-IMP-352</t>
  </si>
  <si>
    <t>Place every safety incident in the safety operator queue</t>
  </si>
  <si>
    <t>proj_safety_queue entry; maintained by the safety job family; never delayed by other work</t>
  </si>
  <si>
    <t>FRD-FR-189; ADM-044; BE-132</t>
  </si>
  <si>
    <t>CMP-IMP-353</t>
  </si>
  <si>
    <t>Retain and retry an incident that cannot immediately reach the operator queue</t>
  </si>
  <si>
    <t>Retry with backoff; no discard; failed safety job raises an operational condition immediately</t>
  </si>
  <si>
    <t>FRD-FR-190; BE-138; NFR-030</t>
  </si>
  <si>
    <t>CMP-IMP-354</t>
  </si>
  <si>
    <t>Record a safety incident raised outside an active trip with no trip context</t>
  </si>
  <si>
    <t>Trip-less intake path; context marked absent in fact</t>
  </si>
  <si>
    <t>FRD-FR-191</t>
  </si>
  <si>
    <t>CMP-IMP-355</t>
  </si>
  <si>
    <t>Record the actions taken in response to a safety incident and its outcome</t>
  </si>
  <si>
    <t>Action records; outcome record; retention for post-incident review</t>
  </si>
  <si>
    <t>FRD-FR-192; FRD-FR-229</t>
  </si>
  <si>
    <t>CMP-IMP-356</t>
  </si>
  <si>
    <t>Record every safety incident and every action upon it as an auditable event</t>
  </si>
  <si>
    <t>Evidential records; actor, subject, time, outcome; same-transaction write</t>
  </si>
  <si>
    <t>FRD-FR-193; FRD-FR-244</t>
  </si>
  <si>
    <t>CMP-IMP-357</t>
  </si>
  <si>
    <t>Isolate the safety job family so it shares no capacity with any other family</t>
  </si>
  <si>
    <t>Dedicated worker binding; no shared queue; deployment separation verified</t>
  </si>
  <si>
    <t>BE-132; OPS-040; BD-04</t>
  </si>
  <si>
    <t>CMP-IMP-358</t>
  </si>
  <si>
    <t>Write safety pipeline tests</t>
  </si>
  <si>
    <t>Negative signal discarded; negative incident closed without an outcome; negative close by timeout; integration partial-context insert; safety family isolation</t>
  </si>
  <si>
    <t>TC-029; TC-030; FR-04; FR-05</t>
  </si>
  <si>
    <t>CMP-IMP-359</t>
  </si>
  <si>
    <t>Safety Surface</t>
  </si>
  <si>
    <t>Implement the safety surface on its own path prefix</t>
  </si>
  <si>
    <t>/safety/v1 routing; separate adapter set; minimum dependency set</t>
  </si>
  <si>
    <t>AADR-11; API 12; BADR-16</t>
  </si>
  <si>
    <t>UC-054; UC-083</t>
  </si>
  <si>
    <t>FEAT-025</t>
  </si>
  <si>
    <t>CMP-IMP-360</t>
  </si>
  <si>
    <t>Route the safety prefix independently with no shared rate limit, quota or throttle</t>
  </si>
  <si>
    <t>Edge routing; no general-prefix policy applied; no refusal for a reason the application would not refuse for</t>
  </si>
  <si>
    <t>OPS-045; OPS-046; OPS-047; SEC-180; API-172</t>
  </si>
  <si>
    <t>CMP-IMP-361</t>
  </si>
  <si>
    <t>Make the safety unit deployable and restartable without restarting the application unit</t>
  </si>
  <si>
    <t>Independent deployment unit; restart verification; boot with minimum dependencies</t>
  </si>
  <si>
    <t>OPS-037; OPS-041; BE-191</t>
  </si>
  <si>
    <t>CMP-IMP-362</t>
  </si>
  <si>
    <t>Present safety information and every available safety control from a single place</t>
  </si>
  <si>
    <t>Safety centre composition; single point of access</t>
  </si>
  <si>
    <t>FRD-FR-194; FRD-FR-196</t>
  </si>
  <si>
    <t>CMP-IMP-363</t>
  </si>
  <si>
    <t>Never present a safety control the platform cannot honour</t>
  </si>
  <si>
    <t>Control availability derived from platform capability; negative test asserting no unhonourable control is rendered</t>
  </si>
  <si>
    <t>FRD-FR-195; UX-006; UXDR-13; MOB-150</t>
  </si>
  <si>
    <t>CMP-IMP-364</t>
  </si>
  <si>
    <t>Make the safety centre reachable from every screen during an active trip</t>
  </si>
  <si>
    <t>Global reachability during a trip; navigation entry; verification across screens</t>
  </si>
  <si>
    <t>UX-011; NFR-092</t>
  </si>
  <si>
    <t>CMP-IMP-365</t>
  </si>
  <si>
    <t>Build Screen 28 - Safety centre</t>
  </si>
  <si>
    <t>Compose surface; safety information; available controls only; emergency contacts entry; rules entry</t>
  </si>
  <si>
    <t>UX 4.1 Screen 28; UX 13.1</t>
  </si>
  <si>
    <t>CMP-IMP-366</t>
  </si>
  <si>
    <t>Build Screen 30 - Rules of participation</t>
  </si>
  <si>
    <t>Compose surface; versioned policy text from configuration; no insurance claim of any kind</t>
  </si>
  <si>
    <t>UX 4.1 Screen 30; SRS-REQ-179</t>
  </si>
  <si>
    <t>UC-083</t>
  </si>
  <si>
    <t>CMP-IMP-367</t>
  </si>
  <si>
    <t>Enforce the insurance prohibition on every user-facing surface</t>
  </si>
  <si>
    <t>Content review of every surface; static check for insurance terminology; no statement or implication of cover</t>
  </si>
  <si>
    <t>FRD 8.5 prohibition; BRD-REQ-187; BAD-RISK-006; NFR-137</t>
  </si>
  <si>
    <t>CMP-IMP-372</t>
  </si>
  <si>
    <t>Write safety surface tests</t>
  </si>
  <si>
    <t>Negative unhonourable control rendered; negative safety prefix refused by an edge policy; integration independent restart; reachability during a trip</t>
  </si>
  <si>
    <t>TC-029; TC-030; FR-05</t>
  </si>
  <si>
    <t>CMP-IMP-373</t>
  </si>
  <si>
    <t>Admin Foundation</t>
  </si>
  <si>
    <t>Install and bootstrap the Filament administrative surface within the application unit</t>
  </si>
  <si>
    <t>Filament install; panel configuration; reachable only over stated routes; never bypassing the application unit</t>
  </si>
  <si>
    <t>Resource</t>
  </si>
  <si>
    <t>BADR-15; OPS-050; ADM 4</t>
  </si>
  <si>
    <t>UC-070</t>
  </si>
  <si>
    <t>CMP-IMP-374</t>
  </si>
  <si>
    <t>Bind every resource to an application service for writes and a projection for reads</t>
  </si>
  <si>
    <t>No Eloquent model binding; resource base class; service invocation; projection reader</t>
  </si>
  <si>
    <t>ADMR-01; ADM-017; ADM-018; BADR-15</t>
  </si>
  <si>
    <t>CMP-IMP-375</t>
  </si>
  <si>
    <t>Create the nine projection tables in the proj_ domain</t>
  </si>
  <si>
    <t>proj_admin_rides, bookings, trips, users, payments; proj_reconciliation_queue; proj_safety_queue; proj_support_cases; proj_operational_measures</t>
  </si>
  <si>
    <t>ADM-033; DB-006; DB-139</t>
  </si>
  <si>
    <t>CMP-IMP-376</t>
  </si>
  <si>
    <t>Maintain each projection by a listener responding to domain events</t>
  </si>
  <si>
    <t>Listeners per projection; synchronous or job maintenance recorded per projection; maintenance instant on each row</t>
  </si>
  <si>
    <t>ADM-034; ADM-039; ADM-043; BE-119; BE-124</t>
  </si>
  <si>
    <t>CMP-IMP-377</t>
  </si>
  <si>
    <t>Make every projection rebuildable in full by truncate and replay</t>
  </si>
  <si>
    <t>Rebuild command; replay from authoritative state; executable without interrupting write traffic</t>
  </si>
  <si>
    <t>ADM-035; ADM-042; BE-120; BE-126</t>
  </si>
  <si>
    <t>CMP-IMP-378</t>
  </si>
  <si>
    <t>Ensure no projection is an input to a business decision</t>
  </si>
  <si>
    <t>Read-path separation; static check; negative test</t>
  </si>
  <si>
    <t>ADM-036; BE-121; DB-130</t>
  </si>
  <si>
    <t>CMP-IMP-379</t>
  </si>
  <si>
    <t>Ensure seat availability is never read from a projection, including by an operator</t>
  </si>
  <si>
    <t>Authoritative read enforced at every seat display; negative test in the admin surface</t>
  </si>
  <si>
    <t>ADM-037; ARCH-056; DB-131</t>
  </si>
  <si>
    <t>CMP-IMP-380</t>
  </si>
  <si>
    <t>Present each listing projection maintenance instant and mark it stale past its bound</t>
  </si>
  <si>
    <t>Maintenance instant on every listing; staleness treatment; distinct operational condition on maintenance failure</t>
  </si>
  <si>
    <t>ADM-046; ADM-047; ADM-050; UX-042; UX-044</t>
  </si>
  <si>
    <t>Projection staleness bounds are configuration and their values are unset (ADM-049).</t>
  </si>
  <si>
    <t>CMP-IMP-381</t>
  </si>
  <si>
    <t>Ensure an operator never acts on a listing value where the action requires a current value</t>
  </si>
  <si>
    <t>Action path forced through the detail view service read; negative test</t>
  </si>
  <si>
    <t>ADM-048; ADM-038</t>
  </si>
  <si>
    <t>CMP-IMP-382</t>
  </si>
  <si>
    <t>Implement cursor paging and fixed allow-list filtering and sorting on every listing</t>
  </si>
  <si>
    <t>Cursor paging; allow-list parameters never constructed from input; projection-supported parameters only</t>
  </si>
  <si>
    <t>ADM-023; ADM-024; ADM-025; SEC-121</t>
  </si>
  <si>
    <t>CMP-IMP-383</t>
  </si>
  <si>
    <t>Present a count only where the projection can produce it, and report unavailable never zero</t>
  </si>
  <si>
    <t>Count availability check; unavailable reporting; negative test against a zero substitution</t>
  </si>
  <si>
    <t>ADM-026; ADM-027; API-118; API-119</t>
  </si>
  <si>
    <t>CMP-IMP-384</t>
  </si>
  <si>
    <t>Give each resource validation identical to a client request</t>
  </si>
  <si>
    <t>Shared validation; no admin-only relaxation; negative test</t>
  </si>
  <si>
    <t>ADM-029; ARCH-132; API-042</t>
  </si>
  <si>
    <t>CMP-IMP-385</t>
  </si>
  <si>
    <t>Implement bulk operations as explicit bulk application services, atomic per record</t>
  </si>
  <si>
    <t>Bulk service; no iteration of a single-record service in the resource; per-record outcome recorded</t>
  </si>
  <si>
    <t>ADM-030; ADM-031; BE-053</t>
  </si>
  <si>
    <t>CMP-IMP-386</t>
  </si>
  <si>
    <t>Implement export as an application service operation under the same authorisation and evidencing as a read</t>
  </si>
  <si>
    <t>Export service; authorisation; evidential record</t>
  </si>
  <si>
    <t>ADM-032; ADMR-08</t>
  </si>
  <si>
    <t>CMP-IMP-387</t>
  </si>
  <si>
    <t>Implement the twelve-capability administrative role mechanism</t>
  </si>
  <si>
    <t>Capability set; role composition from capabilities; roles as versioned policy configuration; deny by default</t>
  </si>
  <si>
    <t>ADM-163; ADM-164; ADM-170; ADMR-12</t>
  </si>
  <si>
    <t>BLOCKED for deployment - the administrative surface cannot be deployed until at least one role exists (ADM-168). The role set is undecided (ADM-166, BAD-DEC-006).</t>
  </si>
  <si>
    <t>CMP-IMP-388</t>
  </si>
  <si>
    <t>Tell operators plainly that their actions, refusals and inspections are recorded</t>
  </si>
  <si>
    <t>Surface notice; placement; content review</t>
  </si>
  <si>
    <t>ADM-165; SEC-206; ADMR-06</t>
  </si>
  <si>
    <t>CMP-IMP-389</t>
  </si>
  <si>
    <t>Write admin foundation tests</t>
  </si>
  <si>
    <t>Negative ORM binding in a resource; negative projection read for seat availability; integration rebuild by replay; negative count reported as zero</t>
  </si>
  <si>
    <t>TC-029; TC-030; ADM 16</t>
  </si>
  <si>
    <t>CMP-IMP-390</t>
  </si>
  <si>
    <t>Admin Case Handling</t>
  </si>
  <si>
    <t>Allow an operator to locate a ride, ride request, booking or trip</t>
  </si>
  <si>
    <t>Listing search over projections; single-projection reads; no cross-projection join</t>
  </si>
  <si>
    <t>FRD-FR-209; ADM-020; ADM 7.1</t>
  </si>
  <si>
    <t>UC-070; UC-071</t>
  </si>
  <si>
    <t>FEAT-027</t>
  </si>
  <si>
    <t>CMP-IMP-391</t>
  </si>
  <si>
    <t>Present a located record with its parties, seats, status, state history, payment, messages and safety incidents</t>
  </si>
  <si>
    <t>One composing application service operation; not assembled from several service calls in the resource</t>
  </si>
  <si>
    <t>Page</t>
  </si>
  <si>
    <t>FRD-FR-210; ADM-021; ADM-022</t>
  </si>
  <si>
    <t>CMP-IMP-392</t>
  </si>
  <si>
    <t>Ensure inspecting a record does not alter it</t>
  </si>
  <si>
    <t>Read-only guarantee; negative test asserting no state change from inspection</t>
  </si>
  <si>
    <t>FRD-FR-211; ADM 7.3</t>
  </si>
  <si>
    <t>CMP-IMP-393</t>
  </si>
  <si>
    <t>Record an operator inspection of a record as an auditable event</t>
  </si>
  <si>
    <t>Evidential record on read; operator identity; subject</t>
  </si>
  <si>
    <t>FRD-FR-212; ADMR-08; ADM 14.1</t>
  </si>
  <si>
    <t>Open question - whether inspection should be audited or only state changes, and the audit volume consequence, is unresolved (FRD-OQ-006).</t>
  </si>
  <si>
    <t>CMP-IMP-394</t>
  </si>
  <si>
    <t>Refuse operator access where the role does not permit it and record the refusal</t>
  </si>
  <si>
    <t>Authorisation check; refusal record as fully as an application; negative test</t>
  </si>
  <si>
    <t>FRD-FR-213; ADMR-06; SEC-065</t>
  </si>
  <si>
    <t>CMP-IMP-395</t>
  </si>
  <si>
    <t>Present only the fields the operator role entitles them to</t>
  </si>
  <si>
    <t>Field-level entitlement; message content and position history as separate capabilities</t>
  </si>
  <si>
    <t>ADM-028; ADM-164; SEC-067</t>
  </si>
  <si>
    <t>CMP-IMP-396</t>
  </si>
  <si>
    <t>Allow an operator to apply an intervention to a booking or trip, stating the intervention and its reason</t>
  </si>
  <si>
    <t>Intervention action invoking the same application service; reason required; operator identity carried into the service</t>
  </si>
  <si>
    <t>FRD-FR-214; ADMR-04; ADMR-07; ADM 8.1</t>
  </si>
  <si>
    <t>CMP-IMP-397</t>
  </si>
  <si>
    <t>Refuse an operator intervention that would allow confirmed seats to exceed seats offered</t>
  </si>
  <si>
    <t>Same invariant path as a client request; capability never exemption; negative test</t>
  </si>
  <si>
    <t>FRD-FR-215; ADMR-05; ADM 8.3; BE-024</t>
  </si>
  <si>
    <t>CMP-IMP-398</t>
  </si>
  <si>
    <t>Refuse an operator intervention that would set payment status other than through verification or reconciliation</t>
  </si>
  <si>
    <t>Status write prohibition for operators; negative test</t>
  </si>
  <si>
    <t>FRD-FR-216; ADMR-05; BE-026</t>
  </si>
  <si>
    <t>CMP-IMP-399</t>
  </si>
  <si>
    <t>Record every refused operator intervention as an auditable event</t>
  </si>
  <si>
    <t>Refusal record; reason; operator identity</t>
  </si>
  <si>
    <t>FRD-FR-217; ADMR-06</t>
  </si>
  <si>
    <t>CMP-IMP-400</t>
  </si>
  <si>
    <t>Record an applied intervention with the identity of the operator who applied it</t>
  </si>
  <si>
    <t>Operator attribution; evidential record; inspection view</t>
  </si>
  <si>
    <t>FRD-FR-218; FRD-FR-246; ADM-165</t>
  </si>
  <si>
    <t>CMP-IMP-401</t>
  </si>
  <si>
    <t>Inform the parties affected by an applied intervention</t>
  </si>
  <si>
    <t>Notification issue to affected parties; category assignment</t>
  </si>
  <si>
    <t>FRD-FR-219; FRD-FR-197</t>
  </si>
  <si>
    <t>CMP-IMP-402</t>
  </si>
  <si>
    <t>Write admin inspection and intervention tests</t>
  </si>
  <si>
    <t>Negative invariant bypass by an operator; negative payment status set by an operator; integration refusal recording; negative alteration by inspection</t>
  </si>
  <si>
    <t>TC-029; TC-030; FR-04; ADM 16</t>
  </si>
  <si>
    <t>CMP-IMP-403</t>
  </si>
  <si>
    <t>Reconciliation</t>
  </si>
  <si>
    <t>Present pending payments to operators as a managed queue</t>
  </si>
  <si>
    <t>proj_reconciliation_queue resource; ordering; staleness marking; provenance on payment status</t>
  </si>
  <si>
    <t>FRD-FR-138; ADM-038; ADM 9.1</t>
  </si>
  <si>
    <t>UC-033; UC-072</t>
  </si>
  <si>
    <t>FEAT-027; FEAT-016</t>
  </si>
  <si>
    <t>CMP-IMP-404</t>
  </si>
  <si>
    <t>Allow an operator to record a determination against a pending payment and apply it to status and ledger</t>
  </si>
  <si>
    <t>Determination action; recorded basis; status transition through reconciliation only; ledger entry</t>
  </si>
  <si>
    <t>FRD-FR-139; PADR-13; ADM 9.2</t>
  </si>
  <si>
    <t>CMP-IMP-405</t>
  </si>
  <si>
    <t>Retain a payment in the queue with the investigation recorded where the outcome still cannot be established</t>
  </si>
  <si>
    <t>Retention in queue; investigation record; no forced resolution</t>
  </si>
  <si>
    <t>FRD-FR-140</t>
  </si>
  <si>
    <t>CMP-IMP-406</t>
  </si>
  <si>
    <t>Allow an operator to locate a payment, refund or settlement record</t>
  </si>
  <si>
    <t>Payment listing and search; refund and settlement records absent by decision</t>
  </si>
  <si>
    <t>FRD-FR-220; ADM 9</t>
  </si>
  <si>
    <t>No refund or settlement record exists - both are withheld (GAP-009, BAD-RULE-036, ADM-105).</t>
  </si>
  <si>
    <t>CMP-IMP-407</t>
  </si>
  <si>
    <t>Present a located payment with its amount, method, verification history, status and ledger entries</t>
  </si>
  <si>
    <t>Composed detail service; attempt history; ledger entries; as-of markings</t>
  </si>
  <si>
    <t>FRD-FR-221</t>
  </si>
  <si>
    <t>CMP-IMP-408</t>
  </si>
  <si>
    <t>Surface a ledger discrepancy rather than present a computed balance that conceals it</t>
  </si>
  <si>
    <t>Reconciliation check on display; discrepancy presentation; routing to the queue</t>
  </si>
  <si>
    <t>CMP-IMP-409</t>
  </si>
  <si>
    <t>Write reconciliation tests</t>
  </si>
  <si>
    <t>Negative status set outside verification or reconciliation; integration determination applied to ledger; negative concealed discrepancy</t>
  </si>
  <si>
    <t>CMP-IMP-410</t>
  </si>
  <si>
    <t>Safety &amp; Support Ops</t>
  </si>
  <si>
    <t>Present safety incidents to a safety responder as a queue</t>
  </si>
  <si>
    <t>proj_safety_queue resource; isolated from other administrative work; ordering</t>
  </si>
  <si>
    <t>FRD-FR-224; ADMR-13; ADM-044</t>
  </si>
  <si>
    <t>UC-073; UC-075</t>
  </si>
  <si>
    <t>FEAT-027; FEAT-025</t>
  </si>
  <si>
    <t>CMP-IMP-411</t>
  </si>
  <si>
    <t>Present a safety incident with its full captured context and the related trip, parties and records</t>
  </si>
  <si>
    <t>Composed detail service; missing context shown as missing; position history under its own capability</t>
  </si>
  <si>
    <t>FRD-FR-225; ADM-164</t>
  </si>
  <si>
    <t>CMP-IMP-412</t>
  </si>
  <si>
    <t>Allow a safety responder to record an assessment, each action taken and an outcome</t>
  </si>
  <si>
    <t>Assessment; action log; outcome record</t>
  </si>
  <si>
    <t>FRD-FR-226; ADM 10</t>
  </si>
  <si>
    <t>CMP-IMP-413</t>
  </si>
  <si>
    <t>Prevent a safety incident being closed without a recorded outcome</t>
  </si>
  <si>
    <t>Close guard; ADMR-09 conformance; negative test</t>
  </si>
  <si>
    <t>FRD-FR-227; BE-029; ADMR-09</t>
  </si>
  <si>
    <t>CMP-IMP-414</t>
  </si>
  <si>
    <t>Prevent a safety incident being closed by timeout</t>
  </si>
  <si>
    <t>No timeout closure path; negative test</t>
  </si>
  <si>
    <t>FRD-FR-228</t>
  </si>
  <si>
    <t>CMP-IMP-415</t>
  </si>
  <si>
    <t>Retain a closed safety incident for post-incident review</t>
  </si>
  <si>
    <t>Retention; review access; no deletion path</t>
  </si>
  <si>
    <t>FRD-FR-229</t>
  </si>
  <si>
    <t>CMP-IMP-416</t>
  </si>
  <si>
    <t>Create op_operator_cases and op_operator_actions migrations</t>
  </si>
  <si>
    <t>Tables; durable record of every operator action</t>
  </si>
  <si>
    <t>DB 6.9; NFR-125</t>
  </si>
  <si>
    <t>CMP-IMP-417</t>
  </si>
  <si>
    <t>Implement the OperatorCase aggregate with the close-requires-outcome invariant</t>
  </si>
  <si>
    <t>Aggregate; invariant; closure as unresolved permitted; negative test</t>
  </si>
  <si>
    <t>BE-030; FRD-FR-233</t>
  </si>
  <si>
    <t>CMP-IMP-418</t>
  </si>
  <si>
    <t>Allow a support agent to record a support case and its subject</t>
  </si>
  <si>
    <t>Case creation; subject; listing via proj_support_cases</t>
  </si>
  <si>
    <t>FRD-FR-230</t>
  </si>
  <si>
    <t>CMP-IMP-419</t>
  </si>
  <si>
    <t>Give a support agent access to the trip, payment, message and prior-case records relevant to their case</t>
  </si>
  <si>
    <t>Case-scoped access; capability-gated message content; reputation records absent by decision</t>
  </si>
  <si>
    <t>FRD-FR-231; ADM-127</t>
  </si>
  <si>
    <t>Reputation records within a support case are withheld (BAD-DEC-012, ADM-127).</t>
  </si>
  <si>
    <t>CMP-IMP-420</t>
  </si>
  <si>
    <t>Record each step an agent takes on a support case</t>
  </si>
  <si>
    <t>Step log; operator attribution; evidential record</t>
  </si>
  <si>
    <t>FRD-FR-232; FRD-FR-246</t>
  </si>
  <si>
    <t>CMP-IMP-421</t>
  </si>
  <si>
    <t>Prevent a support case being closed without a recorded outcome, permitting closure as unresolved</t>
  </si>
  <si>
    <t>Close guard; unresolved outcome allowed; negative test</t>
  </si>
  <si>
    <t>FRD-FR-233; ADMR-09</t>
  </si>
  <si>
    <t>CMP-IMP-422</t>
  </si>
  <si>
    <t>Write safety and support operations tests</t>
  </si>
  <si>
    <t>Negative incident closed without outcome; negative close by timeout; integration case step recording; capability gating of message content</t>
  </si>
  <si>
    <t>CMP-IMP-423</t>
  </si>
  <si>
    <t>Reporting</t>
  </si>
  <si>
    <t>Derive every reported measure from platform records</t>
  </si>
  <si>
    <t>proj_operational_measures maintenance; no external or estimated input</t>
  </si>
  <si>
    <t>Widget</t>
  </si>
  <si>
    <t>FRD-FR-234; ADM 12</t>
  </si>
  <si>
    <t>UC-076</t>
  </si>
  <si>
    <t>CMP-IMP-424</t>
  </si>
  <si>
    <t>Segment the zero-result search measure by corridor and time band</t>
  </si>
  <si>
    <t>Segmentation dimensions; no geography in any key or partition; measure computation</t>
  </si>
  <si>
    <t>FRD-FR-235; DB-020; DADR-14</t>
  </si>
  <si>
    <t>CMP-IMP-425</t>
  </si>
  <si>
    <t>Report a measure as unavailable rather than as zero where the behaviour it measures is not implemented</t>
  </si>
  <si>
    <t>Unavailable reporting; explicit list of unimplemented measures; negative test</t>
  </si>
  <si>
    <t>FRD-FR-236; ADM-027; ADMR-10</t>
  </si>
  <si>
    <t>FRD-FR-236 prevents a specific damaging defect - a dashboard reporting refunds zero when refunds are unimplemented reads as good news.</t>
  </si>
  <si>
    <t>CMP-IMP-426</t>
  </si>
  <si>
    <t>Make proj_operational_measures rebuildable independently of the other eight projections</t>
  </si>
  <si>
    <t>Independent rebuild command; replay; no coupling</t>
  </si>
  <si>
    <t>ADM-045; ADM-035</t>
  </si>
  <si>
    <t>CMP-IMP-427</t>
  </si>
  <si>
    <t>Write reporting tests</t>
  </si>
  <si>
    <t>Negative unimplemented measure reported as zero; integration segmentation; rebuild independence</t>
  </si>
  <si>
    <t>CMP-IMP-429</t>
  </si>
  <si>
    <t>Backend Authority</t>
  </si>
  <si>
    <t>Determine every value affecting shared business state from platform authoritative state</t>
  </si>
  <si>
    <t>Authority rule applied across all services; no derivation from client input; static review</t>
  </si>
  <si>
    <t>FRD-FR-237; SRS-REQ-176; ARCH-016</t>
  </si>
  <si>
    <t>UC-078</t>
  </si>
  <si>
    <t>CMP-IMP-430</t>
  </si>
  <si>
    <t>Reject any client-supplied value purporting to determine an authoritative business value</t>
  </si>
  <si>
    <t>Rejection of seat availability, booking status, payment status, fare, wallet balance, reward accrual, verification status; schema absence; negative test per field</t>
  </si>
  <si>
    <t>FRD-FR-238; AADR-06; API-037</t>
  </si>
  <si>
    <t>CMP-IMP-431</t>
  </si>
  <si>
    <t>Reject a request carrying such a value in its entirety and never partially apply it</t>
  </si>
  <si>
    <t>Whole-request rejection; no partial effect; negative test</t>
  </si>
  <si>
    <t>FRD-FR-239; BE-053</t>
  </si>
  <si>
    <t>CMP-IMP-432</t>
  </si>
  <si>
    <t>Record an attempt to assert an authoritative value as an auditable integrity event</t>
  </si>
  <si>
    <t>Security event as an evidential record; assertion attempt capture; alerting hook</t>
  </si>
  <si>
    <t>FRD-FR-240; SADR-08; SADR-15</t>
  </si>
  <si>
    <t>CMP-IMP-433</t>
  </si>
  <si>
    <t>Return the platform own determination as the authoritative result of every such request</t>
  </si>
  <si>
    <t>Response always carries the platform value; as-of marking; contract test</t>
  </si>
  <si>
    <t>FRD-FR-241; AADR-09</t>
  </si>
  <si>
    <t>CMP-IMP-434</t>
  </si>
  <si>
    <t>Permit a client to retain returned values for presentation only</t>
  </si>
  <si>
    <t>Presentation cache contract; no business decision from cached values; client static check</t>
  </si>
  <si>
    <t>FRD-FR-242; MOB-010; MADR-05</t>
  </si>
  <si>
    <t>CMP-IMP-435</t>
  </si>
  <si>
    <t>Resolve any client and platform state disagreement in favour of the platform and correct the client</t>
  </si>
  <si>
    <t>Correction response; client application of the correction; refresh or discard semantics</t>
  </si>
  <si>
    <t>FRD-FR-243; SRS-REQ-176</t>
  </si>
  <si>
    <t>Open question - whether correction requires the client to discard its cache or merely refresh is unresolved (FRD-OQ-010).</t>
  </si>
  <si>
    <t>CMP-IMP-436</t>
  </si>
  <si>
    <t>Require an idempotency key on every state-changing operation</t>
  </si>
  <si>
    <t>Mandatory key at the interface; rejection without one; replay semantics; contract test</t>
  </si>
  <si>
    <t>AADR-04; API-057; BE-045</t>
  </si>
  <si>
    <t>CMP-IMP-437</t>
  </si>
  <si>
    <t>Write backend authority tests</t>
  </si>
  <si>
    <t>Negative client assertion per authoritative field; integration whole-request rejection; integration idempotent replay</t>
  </si>
  <si>
    <t>CMP-IMP-438</t>
  </si>
  <si>
    <t>Evidential Log</t>
  </si>
  <si>
    <t>Create the ev_evidential_records append-only chained migration</t>
  </si>
  <si>
    <t>Table in ev_ domain; chain column; written only by the evidential writer; physical non-updatability</t>
  </si>
  <si>
    <t>DB-004; DB 9.1; DB 9.3; DADR-09</t>
  </si>
  <si>
    <t>UC-079</t>
  </si>
  <si>
    <t>CMP-IMP-439</t>
  </si>
  <si>
    <t>Implement one evidential writer as the only path into ev_</t>
  </si>
  <si>
    <t>Single writer component; append-only; dedicated database account; no other write path</t>
  </si>
  <si>
    <t>BADR-09; BE-105; DB-004</t>
  </si>
  <si>
    <t>CMP-IMP-440</t>
  </si>
  <si>
    <t>Enforce append-only at the database level</t>
  </si>
  <si>
    <t>Trigger or grant-based enforcement; no UPDATE or DELETE grant; constraint test</t>
  </si>
  <si>
    <t>DB 9.2; DB 9.3; DADR-09</t>
  </si>
  <si>
    <t>CMP-IMP-441</t>
  </si>
  <si>
    <t>Implement the keyed evidential chain with the key held outside the database</t>
  </si>
  <si>
    <t>Chain construction; keying; key custody outside the database; verification routine</t>
  </si>
  <si>
    <t>SADR-07; SEC 10; SEC 10.1</t>
  </si>
  <si>
    <t>CMP-IMP-442</t>
  </si>
  <si>
    <t>Record every ride, request, booking, payment, trip, safety incident and operator action as an auditable event</t>
  </si>
  <si>
    <t>Event coverage matrix; per-aggregate emission; coverage test</t>
  </si>
  <si>
    <t>FRD-FR-244</t>
  </si>
  <si>
    <t>CMP-IMP-443</t>
  </si>
  <si>
    <t>Record what occurred, when, its subject and the party responsible with each event</t>
  </si>
  <si>
    <t>Record content; operator named where an operator acted; content test</t>
  </si>
  <si>
    <t>FRD-FR-245; FRD-FR-246; BE-107</t>
  </si>
  <si>
    <t>CMP-IMP-444</t>
  </si>
  <si>
    <t>Retain records durably and prevent silent alteration or deletion</t>
  </si>
  <si>
    <t>Durability; alteration detection through the chain; negative test on tamper</t>
  </si>
  <si>
    <t>FRD-FR-247</t>
  </si>
  <si>
    <t>CMP-IMP-445</t>
  </si>
  <si>
    <t>Do not report an action as complete where its auditable record cannot be written</t>
  </si>
  <si>
    <t>Write-then-report ordering across every service; failure branch; negative test</t>
  </si>
  <si>
    <t>FRD-FR-248; BE-049</t>
  </si>
  <si>
    <t>CMP-IMP-446</t>
  </si>
  <si>
    <t>Raise for reconciliation any action that took effect but whose record could not be written</t>
  </si>
  <si>
    <t>Reconciliation raise; queue entry; operator visibility</t>
  </si>
  <si>
    <t>FRD-FR-249</t>
  </si>
  <si>
    <t>CMP-IMP-447</t>
  </si>
  <si>
    <t>Make auditable records available to operators for inspection</t>
  </si>
  <si>
    <t>Two audit views; operator access under capability; demonstration of how a matter was handled</t>
  </si>
  <si>
    <t>FRD-FR-250; ADM 14.3</t>
  </si>
  <si>
    <t>CMP-IMP-448</t>
  </si>
  <si>
    <t>Run evidential chain verification as scheduled reconciliation</t>
  </si>
  <si>
    <t>Scheduled job; chain walk; discrepancy raise</t>
  </si>
  <si>
    <t>BE-146; BE-115</t>
  </si>
  <si>
    <t>CMP-IMP-450</t>
  </si>
  <si>
    <t>Write evidential log tests</t>
  </si>
  <si>
    <t>Negative record update or delete; negative action reported complete without a record; integration chain verification; tamper detection</t>
  </si>
  <si>
    <t>CMP-IMP-451</t>
  </si>
  <si>
    <t>Degradation</t>
  </si>
  <si>
    <t>Detect the unavailability of a supporting service and determine which capabilities are affected</t>
  </si>
  <si>
    <t>Port health signalling; capability mapping; state propagation</t>
  </si>
  <si>
    <t>FRD-FR-255</t>
  </si>
  <si>
    <t>UC-081</t>
  </si>
  <si>
    <t>FEAT-032</t>
  </si>
  <si>
    <t>CMP-IMP-452</t>
  </si>
  <si>
    <t>Withdraw or mark an affected capability rather than present it as working</t>
  </si>
  <si>
    <t>Capability withdrawal; marking; negative test asserting no capability is presented as working while unavailable</t>
  </si>
  <si>
    <t>FRD-FR-256; UX-006</t>
  </si>
  <si>
    <t>CMP-IMP-453</t>
  </si>
  <si>
    <t>Inform the affected actor what is unavailable and what remains available</t>
  </si>
  <si>
    <t>Dependency-unavailable treatment; actionable message; client rendering</t>
  </si>
  <si>
    <t>FRD-FR-257; UXDR-03; UX 7.4</t>
  </si>
  <si>
    <t>CMP-IMP-454</t>
  </si>
  <si>
    <t>Never resolve an unknown outcome by assumption in either direction while a service is unavailable</t>
  </si>
  <si>
    <t>No optimistic or pessimistic resolution; pending semantics; negative test</t>
  </si>
  <si>
    <t>FRD-FR-258; PADR-06</t>
  </si>
  <si>
    <t>CMP-IMP-455</t>
  </si>
  <si>
    <t>Withdraw a capability entirely rather than degrade it where degrading would compromise an absolute rule</t>
  </si>
  <si>
    <t>Absolute-rule guard; withdrawal decision table; negative test</t>
  </si>
  <si>
    <t>FRD-FR-259</t>
  </si>
  <si>
    <t>CMP-IMP-456</t>
  </si>
  <si>
    <t>Resume normal behaviour and process deferred work when a service is restored</t>
  </si>
  <si>
    <t>Restore detection; deferred work drain; ordering guarantees</t>
  </si>
  <si>
    <t>FRD-FR-260</t>
  </si>
  <si>
    <t>CMP-IMP-457</t>
  </si>
  <si>
    <t>Implement GET /configuration delivering platform configuration to the client</t>
  </si>
  <si>
    <t>Configuration resource; delivered values per API 14.2; version marking; cache semantics</t>
  </si>
  <si>
    <t>AADR-13; API 14; API 14.1</t>
  </si>
  <si>
    <t>CMP-IMP-458</t>
  </si>
  <si>
    <t>Consume delivered configuration on the client for cadence and staleness bounds</t>
  </si>
  <si>
    <t>Configuration read at start and refresh; no client-chosen values; adjustable without a client release</t>
  </si>
  <si>
    <t>MOB 12.1; MOB-135; OPS-118; API-162</t>
  </si>
  <si>
    <t>CMP-IMP-459</t>
  </si>
  <si>
    <t>Implement GET /health distinguishing platform health from dependency health</t>
  </si>
  <si>
    <t>Health resource; per-dependency reporting; not conflated with readiness</t>
  </si>
  <si>
    <t>BE-203; API 11.13; OPS 12.3</t>
  </si>
  <si>
    <t>CMP-IMP-460</t>
  </si>
  <si>
    <t>Write degraded operation tests</t>
  </si>
  <si>
    <t>Induced failure per dependency; negative capability presented as working; negative assumption resolution; integration restore and drain</t>
  </si>
  <si>
    <t>TADR-09; TC 12.2; TC-030; FR-04</t>
  </si>
  <si>
    <t>CMP-IMP-461</t>
  </si>
  <si>
    <t>API Contract</t>
  </si>
  <si>
    <t>Implement URI path versioning supporting version N and N minus 1</t>
  </si>
  <si>
    <t>/api/v1 routing; dual-version support; deprecation posture</t>
  </si>
  <si>
    <t>AADR-03; API 5</t>
  </si>
  <si>
    <t>CMP-IMP-462</t>
  </si>
  <si>
    <t>Implement GET /versions reporting the supported version range</t>
  </si>
  <si>
    <t>Version resource; reachable without a session; client negotiation input</t>
  </si>
  <si>
    <t>API-027; API 11.13; API 9.1</t>
  </si>
  <si>
    <t>CMP-IMP-463</t>
  </si>
  <si>
    <t>Implement the four error branches with four distinct shapes</t>
  </si>
  <si>
    <t>Invalid request; business refusal; dependency unavailable; internal fault; classification rules; contract tests</t>
  </si>
  <si>
    <t>AADR-02; API 8; API 8.6</t>
  </si>
  <si>
    <t>CMP-IMP-464</t>
  </si>
  <si>
    <t>Identify refusal reasons rather than return free text</t>
  </si>
  <si>
    <t>Reason identifier registry; no free-text reason; client mapping to content</t>
  </si>
  <si>
    <t>AADR-14; API-014; UX 14</t>
  </si>
  <si>
    <t>CMP-IMP-465</t>
  </si>
  <si>
    <t>Carry an as-of marking on every business value in every representation</t>
  </si>
  <si>
    <t>Provenance envelope; as-of instant; contract test across resources</t>
  </si>
  <si>
    <t>AADR-09; API-047; UXDR-02</t>
  </si>
  <si>
    <t>CMP-IMP-466</t>
  </si>
  <si>
    <t>Vary representation by relationship rather than by role alone</t>
  </si>
  <si>
    <t>Relationship resolution; per-relationship field sets; disclosure limits</t>
  </si>
  <si>
    <t>AADR-08; API 6.3; API-051</t>
  </si>
  <si>
    <t>CMP-IMP-467</t>
  </si>
  <si>
    <t>Serve JSON only with one representation per resource</t>
  </si>
  <si>
    <t>Content negotiation refusal for other types; single representation rule</t>
  </si>
  <si>
    <t>AADR-05; API 6.1</t>
  </si>
  <si>
    <t>CMP-IMP-468</t>
  </si>
  <si>
    <t>Keep authoritative fields absent from every request schema</t>
  </si>
  <si>
    <t>Schema audit; absence rather than ignore-on-input; contract test per resource</t>
  </si>
  <si>
    <t>AADR-06; API-037; FRD-FR-238</t>
  </si>
  <si>
    <t>CMP-IMP-469</t>
  </si>
  <si>
    <t>Model intents as resources rather than as verbs on a resource</t>
  </si>
  <si>
    <t>Intent sub-resources; acceptance, cancellation, verification, completion, start; naming consistency</t>
  </si>
  <si>
    <t>AADR-07; API 4</t>
  </si>
  <si>
    <t>CMP-IMP-470</t>
  </si>
  <si>
    <t>Implement collections with cursor paging and allow-listed filtering</t>
  </si>
  <si>
    <t>Cursor contract; opaque cursors; filter allow-list; page size as configuration</t>
  </si>
  <si>
    <t>API 10; API-112; API-113; DADR-04</t>
  </si>
  <si>
    <t>No limit, window or page size value is stated anywhere in CMP-DOC-10 (API 0.8.4). Values are configuration and unset.</t>
  </si>
  <si>
    <t>CMP-IMP-471</t>
  </si>
  <si>
    <t>Write API contract tests asserting shape and not business behaviour</t>
  </si>
  <si>
    <t>Branch shapes; schema acceptance; response markings; no business assertion</t>
  </si>
  <si>
    <t>TADR-10; TC-031; API 19</t>
  </si>
  <si>
    <t>CMP-IMP-472</t>
  </si>
  <si>
    <t>Establish and enforce the four trust boundaries</t>
  </si>
  <si>
    <t>TB-1 client to platform; TB-2 operator to platform; TB-3 provider to platform; TB-4 platform to persistence; positional defence not perimeter</t>
  </si>
  <si>
    <t>SEC 4; SADR-01</t>
  </si>
  <si>
    <t>UC-080</t>
  </si>
  <si>
    <t>CMP-IMP-473</t>
  </si>
  <si>
    <t>Implement session bounds, refresh limits and non-replayable session material</t>
  </si>
  <si>
    <t>Absolute and idle bounds; refresh within the bound; nothing replayable in any store</t>
  </si>
  <si>
    <t>SEC 6; SADR-04; NFR-054; NFR-055</t>
  </si>
  <si>
    <t>Bound values are configuration and unset pending BAD-DEC-018.</t>
  </si>
  <si>
    <t>CMP-IMP-474</t>
  </si>
  <si>
    <t>Store authentication credentials in non-recoverable form</t>
  </si>
  <si>
    <t>Non-recoverable scheme; algorithm selection per SEC 14.2; never on op_users</t>
  </si>
  <si>
    <t>SEC 5.3; DB-036; DB-042</t>
  </si>
  <si>
    <t>CMP-IMP-475</t>
  </si>
  <si>
    <t>Implement attempt bounding on authentication and verification</t>
  </si>
  <si>
    <t>Attempt counting against state; lockout posture; recorded exhaustion</t>
  </si>
  <si>
    <t>SEC 5.2; FRD-FR-011; NFR-057</t>
  </si>
  <si>
    <t>Decision Required - limits and cool-off periods are unset (FRD-OQ-003).</t>
  </si>
  <si>
    <t>CMP-IMP-476</t>
  </si>
  <si>
    <t>Implement per-column protection at rest for identity evidence and payment-related data</t>
  </si>
  <si>
    <t>Column-level protection; key custody; no whole-database substitution</t>
  </si>
  <si>
    <t>SADR-05; SEC 8; DB-035</t>
  </si>
  <si>
    <t>CMP-IMP-477</t>
  </si>
  <si>
    <t>Implement protection in transit end to end</t>
  </si>
  <si>
    <t>Transport termination point; end-to-end property; recorded rather than assumed</t>
  </si>
  <si>
    <t>SEC 9; SEC-091; SEC-101; OPS-048</t>
  </si>
  <si>
    <t>Decision Required - protocol versions and cipher selection depend on the unselected hosting provider (OPS-049, BAD-DEP-009).</t>
  </si>
  <si>
    <t>CMP-IMP-478</t>
  </si>
  <si>
    <t>Prevent injection by construction across every data path</t>
  </si>
  <si>
    <t>Bound values only; no concatenated statements; allow-listed sort and filter; static check</t>
  </si>
  <si>
    <t>SADR-09; DB-038; SEC 11; SEC-119; SEC-121</t>
  </si>
  <si>
    <t>CMP-IMP-479</t>
  </si>
  <si>
    <t>Ensure no payment credential is ever received by any component</t>
  </si>
  <si>
    <t>No instrument field anywhere; provider response bodies containing one never stored; schema and log inspection</t>
  </si>
  <si>
    <t>SADR-10; SEC 12; DB-037; DB-068</t>
  </si>
  <si>
    <t>CMP-IMP-480</t>
  </si>
  <si>
    <t>Implement the client-side security posture: the device holds nothing worth stealing</t>
  </si>
  <si>
    <t>Session material; identity evidence; cache and outbox contents; logging and transport discipline; device integrity posture</t>
  </si>
  <si>
    <t>SADR-13; SEC 13; SEC 13.1; SEC 13.3; SEC 13.4</t>
  </si>
  <si>
    <t>CMP-IMP-481</t>
  </si>
  <si>
    <t>Supply secrets at deploy time and never in an artefact</t>
  </si>
  <si>
    <t>Secret inventory; injection at start; no secret in repository or build log; signing key custody</t>
  </si>
  <si>
    <t>SADR-14; SEC 14.1; SEC-163; SEC-165; OPS-098; OPS-116</t>
  </si>
  <si>
    <t>CMP-IMP-482</t>
  </si>
  <si>
    <t>Record security events as evidential records</t>
  </si>
  <si>
    <t>Event set; assertion attempts; authorisation refusals; chain inclusion</t>
  </si>
  <si>
    <t>SADR-15; SEC 17.1; FRD-FR-240</t>
  </si>
  <si>
    <t>CMP-IMP-483</t>
  </si>
  <si>
    <t>Implement the abuse and automated-access posture with bounds held as configuration</t>
  </si>
  <si>
    <t>Rate limiting on the general prefix only; quotas; tuning values as configuration; safety prefix exempt</t>
  </si>
  <si>
    <t>SEC 15; API 15; SEC-180; OPS-046</t>
  </si>
  <si>
    <t>All tuning values are unset (API 15.3, SEC 15).</t>
  </si>
  <si>
    <t>CMP-IMP-484</t>
  </si>
  <si>
    <t>Implement an executable check for every checkable security property</t>
  </si>
  <si>
    <t>Automated check set per SEC 19.1; build integration; four unmechanised properties recorded separately</t>
  </si>
  <si>
    <t>SADR-16; SEC 19.1; SEC 19.4; SEC-230</t>
  </si>
  <si>
    <t>CMP-IMP-486</t>
  </si>
  <si>
    <t>Write security verification tests</t>
  </si>
  <si>
    <t>Injection attempts; over-disclosure; session reuse; privilege escalation; secret presence in artefact; instrument surface presence</t>
  </si>
  <si>
    <t>SEC 19; TC 10; FR-04</t>
  </si>
  <si>
    <t>CMP-IMP-487</t>
  </si>
  <si>
    <t>Wire the six verification levels so that a failure at an earlier level stops the later ones</t>
  </si>
  <si>
    <t>Level 1 static; 2 unit and domain; 3 integration and service; 4 contract; 5 system behaviour; 6 manual review; ordered execution</t>
  </si>
  <si>
    <t>TC-025; TC-028; TADR-05</t>
  </si>
  <si>
    <t>FEAT-001; FEAT-002</t>
  </si>
  <si>
    <t>CMP-IMP-488</t>
  </si>
  <si>
    <t>Build the consolidated verification obligation register with owning levels</t>
  </si>
  <si>
    <t>99 obligations; one owning level each; secondary verification recorded; change control</t>
  </si>
  <si>
    <t>TC 4; TC-026; TC-027; TADR-01; TADR-02; TADR-14</t>
  </si>
  <si>
    <t>CMP-IMP-489</t>
  </si>
  <si>
    <t>Complete the integrity-critical mapping TC-017</t>
  </si>
  <si>
    <t>Map every one of the 1,412 integrity-critical statements to an owning obligation; report the residue</t>
  </si>
  <si>
    <t>TC-017; TC 4.3; TR criterion 6</t>
  </si>
  <si>
    <t>Release readiness criterion 6 (TR 10.1) - not started. This is analysis work, not construction, and it gates gate 4.</t>
  </si>
  <si>
    <t>CMP-IMP-490</t>
  </si>
  <si>
    <t>Implement the thirteen structural rules at gate 1 with no suppression path for the eight non-suppressible</t>
  </si>
  <si>
    <t>Rule implementation; fail not warn; eight rules with no suppression path in pipeline configuration</t>
  </si>
  <si>
    <t>TC-037; TC-038; TC-021; OPS-092; OPS-093</t>
  </si>
  <si>
    <t>CMP-IMP-491</t>
  </si>
  <si>
    <t>Establish domain test infrastructure running without a database, framework or network</t>
  </si>
  <si>
    <t>Test harness; isolation verification; fast feedback</t>
  </si>
  <si>
    <t>TC-029; BE-040; MOB-153</t>
  </si>
  <si>
    <t>CMP-IMP-492</t>
  </si>
  <si>
    <t>Establish integration test infrastructure against a real database</t>
  </si>
  <si>
    <t>Real MySQL instance; CHECK-enforcing version; no in-memory substitute; fixture strategy</t>
  </si>
  <si>
    <t>TC-030; TADR-08; DB-085; OPS-024</t>
  </si>
  <si>
    <t>CMP-IMP-493</t>
  </si>
  <si>
    <t>Establish contract test infrastructure asserting shape and not behaviour</t>
  </si>
  <si>
    <t>Schema assertions; branch shape assertions; prohibition on business assertions</t>
  </si>
  <si>
    <t>TC-031; TADR-10</t>
  </si>
  <si>
    <t>CMP-IMP-494</t>
  </si>
  <si>
    <t>Establish database constraint testing</t>
  </si>
  <si>
    <t>Constraint violation attempts; grant inspection; schema inspection</t>
  </si>
  <si>
    <t>TC 9; TC 6.2; DB 15</t>
  </si>
  <si>
    <t>CMP-IMP-495</t>
  </si>
  <si>
    <t>Establish concurrency testing under genuine parallelism</t>
  </si>
  <si>
    <t>Parallel execution harness; repeat runs; allocation and idempotency assertions</t>
  </si>
  <si>
    <t>TADR-08; TC 12.1</t>
  </si>
  <si>
    <t>CMP-IMP-496</t>
  </si>
  <si>
    <t>Establish induced-failure testing with hooks absent from the production artefact</t>
  </si>
  <si>
    <t>Failure injection at ports; hook removal verified by static analysis; per-dependency scenarios</t>
  </si>
  <si>
    <t>TADR-09; TC 12.2; TC-155; OPS-099</t>
  </si>
  <si>
    <t>CMP-IMP-497</t>
  </si>
  <si>
    <t>Establish client testing infrastructure</t>
  </si>
  <si>
    <t>State holder tests; Compose surface tests; gateway substitution; outbox tests</t>
  </si>
  <si>
    <t>TC 11; MOB 15</t>
  </si>
  <si>
    <t>CMP-IMP-498</t>
  </si>
  <si>
    <t>Require a negative test for every integrity-critical requirement</t>
  </si>
  <si>
    <t>Coverage measured against the integrity-critical set; positive and negative pair per marked requirement; gap report</t>
  </si>
  <si>
    <t>FR-04; TADR-04; TC 4.3</t>
  </si>
  <si>
    <t>CMP-IMP-499</t>
  </si>
  <si>
    <t>Establish accessibility verification as a specified procedure with a recorded outcome</t>
  </si>
  <si>
    <t>Walkthrough procedure; recorded outcome; not an instruction to look</t>
  </si>
  <si>
    <t>TC 13; TC-032; TADR-12</t>
  </si>
  <si>
    <t>MOB-OQ-002</t>
  </si>
  <si>
    <t>Decision Required - the accessibility conformance standard is unchosen (MOB-OQ-002, NFR-088, UX 15.3).</t>
  </si>
  <si>
    <t>CMP-IMP-500</t>
  </si>
  <si>
    <t>Generate test data only; never copy production personal data into any environment</t>
  </si>
  <si>
    <t>Generator; shape without volume; prohibition check</t>
  </si>
  <si>
    <t>TC 16; OPS-022; TC-203; TC-206</t>
  </si>
  <si>
    <t>CMP-IMP-501</t>
  </si>
  <si>
    <t>Implement the coverage and verification report shape</t>
  </si>
  <si>
    <t>Report per TC 15.2; no coverage percentage as a gate; untested-because-undecided set carried</t>
  </si>
  <si>
    <t>TC 15; TC-012; TC-020; TR-111; TR-119</t>
  </si>
  <si>
    <t>CMP-IMP-502</t>
  </si>
  <si>
    <t>Publish the untested-because-undecided set with every readiness statement</t>
  </si>
  <si>
    <t>Set maintenance; attachment rule; misrepresentation prohibition</t>
  </si>
  <si>
    <t>TC 14.3; TR-119; TR-120; TRDR-11</t>
  </si>
  <si>
    <t>CMP-IMP-503</t>
  </si>
  <si>
    <t>Delivery Pipeline</t>
  </si>
  <si>
    <t>Define the four environments with distinct secrets and no production data outside production</t>
  </si>
  <si>
    <t>Development, test, staging, production; own configuration each; CHECK-enforcing database everywhere; reconstructible from recorded configuration</t>
  </si>
  <si>
    <t>OPS 5.1; OPS-021; OPS-022; OPS-024; OPS-025; OPS-028</t>
  </si>
  <si>
    <t>FEAT-037</t>
  </si>
  <si>
    <t>Environment sizing is register decision 9 and is unresolved (OPS-027). Staging cannot be shaped like production in volume until GAP-016 is resolved (OPS-026).</t>
  </si>
  <si>
    <t>CMP-IMP-504</t>
  </si>
  <si>
    <t>Implement the four-gate pipeline running every level below each gate</t>
  </si>
  <si>
    <t>Gate 1 commit; gate 2 merge; gate 3 pre-release; gate 4 release; no bypass path; no emergency path</t>
  </si>
  <si>
    <t>OPS-089; OPS-090; OPS-105; OPS 9.1; TC 6.3</t>
  </si>
  <si>
    <t>CMP-IMP-505</t>
  </si>
  <si>
    <t>Require every non-suppressible obligation to pass at gate 4 with no exception</t>
  </si>
  <si>
    <t>25 non-suppressible obligations wired into gate 4; no suppression path</t>
  </si>
  <si>
    <t>OPS-091; TC-021; TC-200; TR-110</t>
  </si>
  <si>
    <t>CMP-IMP-506</t>
  </si>
  <si>
    <t>Build one artefact per unit per commit and promote it unchanged</t>
  </si>
  <si>
    <t>Per-unit build; bit-for-bit promotion; artefact identity recorded; reproducible from commit</t>
  </si>
  <si>
    <t>OPS-029; OPS-030; OPS-097; OPS-100; OPS-101</t>
  </si>
  <si>
    <t>CMP-IMP-507</t>
  </si>
  <si>
    <t>Ensure an artefact contains no environment value, endpoint or secret</t>
  </si>
  <si>
    <t>Artefact inspection check; build-time verification; failure-induction hooks absent</t>
  </si>
  <si>
    <t>OPS-098; OPS-099; NFR-108; SEC-163</t>
  </si>
  <si>
    <t>CMP-IMP-508</t>
  </si>
  <si>
    <t>Record each promotion with artefact identity, gate results and authorising person</t>
  </si>
  <si>
    <t>Promotion record; rollback as promotion of a previously passing artefact not a rebuild</t>
  </si>
  <si>
    <t>OPS-032; OPS-033; NFR-119</t>
  </si>
  <si>
    <t>CMP-IMP-509</t>
  </si>
  <si>
    <t>Handle migrations in deployment without rolling them back on rollback</t>
  </si>
  <si>
    <t>Migration execution; destructive migration recorded approval; no migration rewrites an evidential record; failed migration is a failed deployment</t>
  </si>
  <si>
    <t>OPS-034; OPS-104; DB-218; DB-219</t>
  </si>
  <si>
    <t>CMP-IMP-510</t>
  </si>
  <si>
    <t>Define and deploy the five deployment units</t>
  </si>
  <si>
    <t>Application; safety surface; general worker; safety worker; scheduler; each independently deployable and restartable</t>
  </si>
  <si>
    <t>OPS-037; ARCH-143</t>
  </si>
  <si>
    <t>CMP-IMP-511</t>
  </si>
  <si>
    <t>Ensure the application unit holds no session state in instance memory</t>
  </si>
  <si>
    <t>Stateless verification; interchangeable instances; horizontal scale readiness</t>
  </si>
  <si>
    <t>OPS-038; ARCH-138; ARCH-139</t>
  </si>
  <si>
    <t>CMP-IMP-512</t>
  </si>
  <si>
    <t>Ensure exactly one scheduler instance is active</t>
  </si>
  <si>
    <t>Single-active enforcement; duplicate triggering prevention; failover posture</t>
  </si>
  <si>
    <t>OPS-039; ARCH-140</t>
  </si>
  <si>
    <t>CMP-IMP-513</t>
  </si>
  <si>
    <t>Make each job family independently drainable and pausable in deployment</t>
  </si>
  <si>
    <t>Per-family controls; drain procedure; pause procedure</t>
  </si>
  <si>
    <t>OPS-043; BE-133</t>
  </si>
  <si>
    <t>CMP-IMP-514</t>
  </si>
  <si>
    <t>Implement the secret store with rotation and compromise procedures</t>
  </si>
  <si>
    <t>Store reachable only from the units; injection at start; rotation procedure; compromise procedure</t>
  </si>
  <si>
    <t>OPS 8; OPS-116; SEC 14.1; SADR-14</t>
  </si>
  <si>
    <t>Custody for six unselected suppliers is stated as a property, not a product (OPS 8.2).</t>
  </si>
  <si>
    <t>CMP-IMP-515</t>
  </si>
  <si>
    <t>Implement client build, signing and distribution verification</t>
  </si>
  <si>
    <t>Signing key in the store never in a repository or build log; distribution-platform technical requirements verified in the build</t>
  </si>
  <si>
    <t>OPS-107; OPS-115; OPS-116; MOB-168</t>
  </si>
  <si>
    <t>Distribution platform obligations beyond the technical are BAD-DEP-008 and are not specified (OPS-120).</t>
  </si>
  <si>
    <t>CMP-IMP-516</t>
  </si>
  <si>
    <t>Ensure a client release does not require a platform release and vice versa</t>
  </si>
  <si>
    <t>Independent release verification; version negotiation coverage</t>
  </si>
  <si>
    <t>OPS-117; MOB-131; SRS-REQ-011</t>
  </si>
  <si>
    <t>CMP-IMP-517</t>
  </si>
  <si>
    <t>Implement backup and the restore-versus-retention procedure</t>
  </si>
  <si>
    <t>Backup regime; restore procedure; retention re-applied before a restore is complete</t>
  </si>
  <si>
    <t>OPS 11.3; OPS 11.4; DDR-12</t>
  </si>
  <si>
    <t>BLOCKED - the restore reconciliation procedure cannot be completed until retention periods exist (BAD-DEC-021, OPS 15.2). Release readiness criterion 9.</t>
  </si>
  <si>
    <t>CMP-IMP-519</t>
  </si>
  <si>
    <t>Verify the pipeline gates themselves</t>
  </si>
  <si>
    <t>Gate bypass attempt; suppression path search; promotion skipping attempt; emergency path search</t>
  </si>
  <si>
    <t>OPS-031; OPS-090; OPS-105; TC-053; TC-054</t>
  </si>
  <si>
    <t>CMP-IMP-520</t>
  </si>
  <si>
    <t>Observability</t>
  </si>
  <si>
    <t>Instrument the eighteen measurement points required from first release</t>
  </si>
  <si>
    <t>Instrumentation; reporting; no threshold set; instrument first threshold later</t>
  </si>
  <si>
    <t>OPS 12.2; OPS-119; DDR-11; TR criterion 11</t>
  </si>
  <si>
    <t>FEAT-038</t>
  </si>
  <si>
    <t>CMP-IMP-521</t>
  </si>
  <si>
    <t>Instrument the nine mobile measurement points</t>
  </si>
  <si>
    <t>Battery, data, memory and start-up measurement; reporting; baseline capture</t>
  </si>
  <si>
    <t>MOB 13.1; OPS-119; GAP-015</t>
  </si>
  <si>
    <t>CMP-IMP-522</t>
  </si>
  <si>
    <t>Integrate crash reporting, performance monitoring and analytics on the client</t>
  </si>
  <si>
    <t>Firebase Crashlytics, Performance Monitoring and Analytics wiring; no personal data in events</t>
  </si>
  <si>
    <t>README 3; NFR series</t>
  </si>
  <si>
    <t>CMP-IMP-523</t>
  </si>
  <si>
    <t>Distinguish platform health from dependency health in operational reporting</t>
  </si>
  <si>
    <t>Separate signals; no conflation; operational dashboard inputs</t>
  </si>
  <si>
    <t>OPS 12.3; BE-203</t>
  </si>
  <si>
    <t>CMP-IMP-524</t>
  </si>
  <si>
    <t>Record the artefact identity in every operational log line</t>
  </si>
  <si>
    <t>Identity injection; log format; correlation with the deployment record</t>
  </si>
  <si>
    <t>OPS-100; BE-199</t>
  </si>
  <si>
    <t>CMP-IMP-525</t>
  </si>
  <si>
    <t>Establish the incident response structure and break-glass access</t>
  </si>
  <si>
    <t>Response structure; break-glass authorisation and recording; no operator path around the application</t>
  </si>
  <si>
    <t>OPS 14; OPS-092 break-glass; DDR-13; OPS-050</t>
  </si>
  <si>
    <t>SEC-OQ-07</t>
  </si>
  <si>
    <t>BLOCKED - incident response ownership is unanswered since CMP-DOC-13 (SEC-OQ-07). Release readiness criteria 9 and 10.</t>
  </si>
  <si>
    <t>CMP - FEATURE SUMMARY</t>
  </si>
  <si>
    <t>Entirely formula-driven from 02_Work_Items. Do not type counts into this sheet - they will be wrong the moment the tracker changes.</t>
  </si>
  <si>
    <t>Feature ID</t>
  </si>
  <si>
    <t>Other Statuses</t>
  </si>
  <si>
    <t>FEAT-001</t>
  </si>
  <si>
    <t>FEAT-005</t>
  </si>
  <si>
    <t>FEAT-008</t>
  </si>
  <si>
    <t>FEAT-010</t>
  </si>
  <si>
    <t>FEAT-013</t>
  </si>
  <si>
    <t>FEAT-015</t>
  </si>
  <si>
    <t>FEAT-016</t>
  </si>
  <si>
    <t>FEAT-017</t>
  </si>
  <si>
    <t>FEAT-020</t>
  </si>
  <si>
    <t>FEAT-021</t>
  </si>
  <si>
    <t>FEAT-022</t>
  </si>
  <si>
    <t>FEAT-023</t>
  </si>
  <si>
    <t>FEAT-024</t>
  </si>
  <si>
    <t>FEAT-026</t>
  </si>
  <si>
    <t>FEAT-028</t>
  </si>
  <si>
    <t>FEAT-029</t>
  </si>
  <si>
    <t>FEAT-030</t>
  </si>
  <si>
    <t>FEAT-031</t>
  </si>
  <si>
    <t>FEAT-033</t>
  </si>
  <si>
    <t>FEAT-034</t>
  </si>
  <si>
    <t>FEAT-035</t>
  </si>
  <si>
    <t>FEAT-036</t>
  </si>
  <si>
    <t>FEAT-039</t>
  </si>
  <si>
    <t>TOTAL</t>
  </si>
  <si>
    <t>All features</t>
  </si>
  <si>
    <t>CMP - DAILY PROGRESS</t>
  </si>
  <si>
    <t>Pre-seeded with the Day 1 to Day 15 plan derived from documentation sequencing. Day allocation is DEPENDENCY-ORDERED, not capacity-fitted - see 01_Dashboard, Project Health.</t>
  </si>
  <si>
    <t>OWNER-MAINTAINED LOG - add one row per event. Drop-downs are on 13_Dropdowns.</t>
  </si>
  <si>
    <t>Date</t>
  </si>
  <si>
    <t>Started</t>
  </si>
  <si>
    <t>Test</t>
  </si>
  <si>
    <t>Blocker</t>
  </si>
  <si>
    <t>CMP - COMMITS</t>
  </si>
  <si>
    <t>No commit hash is invented. Record TBD until a real commit exists. One row per commit.</t>
  </si>
  <si>
    <t>Commit ID</t>
  </si>
  <si>
    <t>Commit Message</t>
  </si>
  <si>
    <t>Branch</t>
  </si>
  <si>
    <t>Author</t>
  </si>
  <si>
    <t>Files Changed</t>
  </si>
  <si>
    <t>CMP - PUSHES</t>
  </si>
  <si>
    <t>A commit is not a push. Record the push separately so the two stages cannot be confused.</t>
  </si>
  <si>
    <t>Push ID</t>
  </si>
  <si>
    <t>Remote</t>
  </si>
  <si>
    <t>Push Status</t>
  </si>
  <si>
    <t>Push Date</t>
  </si>
  <si>
    <t>CMP - TESTING</t>
  </si>
  <si>
    <t>CMP-DOC-18 requires a negative test for every integrity-critical requirement (FR-04). Record positive and negative cases as separate rows.</t>
  </si>
  <si>
    <t>Test ID</t>
  </si>
  <si>
    <t>Test Type</t>
  </si>
  <si>
    <t>Environment</t>
  </si>
  <si>
    <t>Test Description</t>
  </si>
  <si>
    <t>Expected Result</t>
  </si>
  <si>
    <t>Actual Result</t>
  </si>
  <si>
    <t>Result</t>
  </si>
  <si>
    <t>Bug ID</t>
  </si>
  <si>
    <t>Tester</t>
  </si>
  <si>
    <t>CMP - BUGS ISSUES</t>
  </si>
  <si>
    <t>A defect in the requirement baseline is not a code bug. Two are already recorded on 09_Decisions - FRD-GAP-006 and FRD-GAP-014.</t>
  </si>
  <si>
    <t>Severity</t>
  </si>
  <si>
    <t>Description</t>
  </si>
  <si>
    <t>Steps to Reproduce</t>
  </si>
  <si>
    <t>Expected</t>
  </si>
  <si>
    <t>Actual</t>
  </si>
  <si>
    <t>Fixed</t>
  </si>
  <si>
    <t>Retested</t>
  </si>
  <si>
    <t>CMP - DECISIONS</t>
  </si>
  <si>
    <t>Seeded from the 24 business decisions of CMP-DOC-01 and the critical functional gaps of CMP-DOC-04. Nothing here has been decided by the documentation - all 24 are open.</t>
  </si>
  <si>
    <t>Decision ID</t>
  </si>
  <si>
    <t>Area</t>
  </si>
  <si>
    <t>Question</t>
  </si>
  <si>
    <t>Decision</t>
  </si>
  <si>
    <t>Reason</t>
  </si>
  <si>
    <t>Impact</t>
  </si>
  <si>
    <t>Owner</t>
  </si>
  <si>
    <t>Related Requirement</t>
  </si>
  <si>
    <t>Related Work ID</t>
  </si>
  <si>
    <t>BAD-DEC-001</t>
  </si>
  <si>
    <t>Legal</t>
  </si>
  <si>
    <t>Obtain a qualified legal opinion on the operating model, including the effect of platform-set fares and platform fees on how the service is characterised.</t>
  </si>
  <si>
    <t>Fare and fee design, launch, BAD-DEC-003, 004, 013</t>
  </si>
  <si>
    <t>Project Owner</t>
  </si>
  <si>
    <t>Open</t>
  </si>
  <si>
    <t>BAD-DEC-001; BAD-RISK-001</t>
  </si>
  <si>
    <t>BAD-DEC-002</t>
  </si>
  <si>
    <t>Product</t>
  </si>
  <si>
    <t>Commission validation research with real commuters and set a delivery horizon.</t>
  </si>
  <si>
    <t>Requirement confidence; roadmap dates</t>
  </si>
  <si>
    <t>Product Owner</t>
  </si>
  <si>
    <t>BAD-DEC-002; BAD-CON-017</t>
  </si>
  <si>
    <t>BAD-DEC-003</t>
  </si>
  <si>
    <t>Fare model: who sets the fare, any platform constraint, per-seat versus per-booking, and whether a platform fee exists and on what basis.</t>
  </si>
  <si>
    <t>FRD-GAP-005 and FRD-GAP-013 - Screen 7 cannot state the amount payable; payment composition unspecifiable</t>
  </si>
  <si>
    <t>FRD-GAP-005; FRD-GAP-013; BAD-RULE-035</t>
  </si>
  <si>
    <t>BAD-DEC-004</t>
  </si>
  <si>
    <t>Driver settlement: how and when drivers receive funds.</t>
  </si>
  <si>
    <t>FRD-GAP-015 - no settlement, earnings, payout or withdrawal view exists</t>
  </si>
  <si>
    <t>FRD-GAP-015; BAD-RULE-036; ADM-105</t>
  </si>
  <si>
    <t>BAD-DEC-005</t>
  </si>
  <si>
    <t>Trust</t>
  </si>
  <si>
    <t>Verification policy: levels, evidence accepted per level, and what each level permits for users and vehicles.</t>
  </si>
  <si>
    <t>FRD-GAP-002, 004, 023 - no operator can set a verification standing (ADM-195)</t>
  </si>
  <si>
    <t>FRD-GAP-002; FRD-GAP-004; FRD-GAP-023</t>
  </si>
  <si>
    <t>BAD-DEC-006</t>
  </si>
  <si>
    <t>Operations</t>
  </si>
  <si>
    <t>Permitted user account states and transitions, and the administrative role set.</t>
  </si>
  <si>
    <t>FRD-GAP-003, 024 - the admin surface cannot deploy until one role exists (ADM-168); a safety responder cannot act on an account (ADM-196)</t>
  </si>
  <si>
    <t>FRD-GAP-003; FRD-GAP-024; ADM-166; ADM-168</t>
  </si>
  <si>
    <t>BAD-DEC-007</t>
  </si>
  <si>
    <t>Booking</t>
  </si>
  <si>
    <t>Booking model: does a request require driver acceptance; are seats held during payment and for how long; is payment taken at booking or on completion.</t>
  </si>
  <si>
    <t>FRD-GAP-009, 010, 011 - the transition from interest to committed paid booking. The narrow waist of the product.</t>
  </si>
  <si>
    <t>FRD-GAP-009; FRD-GAP-010; FRD-GAP-011</t>
  </si>
  <si>
    <t>BAD-DEC-008</t>
  </si>
  <si>
    <t>Recurring commute rules: generation horizon, pause semantics, holiday handling, verified-peer auto-acceptance.</t>
  </si>
  <si>
    <t>Whole area carries zero functional requirements; no API resource, table or screen (API-138)</t>
  </si>
  <si>
    <t>CMP-DOC-04 9.2; API-138</t>
  </si>
  <si>
    <t>BAD-DEC-009</t>
  </si>
  <si>
    <t>Cancellation rules: windows, permitted parties, penalties, no-show treatment.</t>
  </si>
  <si>
    <t>LIVE DEFECT - FRD-GAP-006: a driver with confirmed bookings has no specified way to cancel. Also FRD-GAP-012, 017, 027.</t>
  </si>
  <si>
    <t>FRD-GAP-006; FRD-GAP-012; GAP-008</t>
  </si>
  <si>
    <t>BAD-DEC-010</t>
  </si>
  <si>
    <t>Refund policy and entitlement.</t>
  </si>
  <si>
    <t>LIVE DEFECT - FRD-GAP-014: the platform can hold a passenger money with no specified means of returning it.</t>
  </si>
  <si>
    <t>FRD-GAP-014; GAP-009</t>
  </si>
  <si>
    <t>BAD-DEC-011</t>
  </si>
  <si>
    <t>Safety</t>
  </si>
  <si>
    <t>Safety response protocol: what happens on SOS, who acts, in what time, with what authority, and whether emergency contacts are notified automatically.</t>
  </si>
  <si>
    <t>LAUNCH GATE - FRD-GAP-020. SOS must not ship (BAD-RISK-005). FRD-FR-195 keeps the control out testably.</t>
  </si>
  <si>
    <t>Trust &amp; Safety</t>
  </si>
  <si>
    <t>FRD-GAP-020; BAD-RISK-005</t>
  </si>
  <si>
    <t>BAD-DEC-012</t>
  </si>
  <si>
    <t>Rating and review rules: scale, who may rate whom, visibility, and whether ratings affect access or ranking.</t>
  </si>
  <si>
    <t>Zero functional requirements. Every trip completed before this produces no reputation, unrecoverably (FRD-RISK-004).</t>
  </si>
  <si>
    <t>CMP-DOC-04 9.2; FRD-GAP-018</t>
  </si>
  <si>
    <t>BAD-DEC-013</t>
  </si>
  <si>
    <t>Reward economics: nature of the wallet, earning and redemption rules, caps, expiry and total budget.</t>
  </si>
  <si>
    <t>Zero functional requirements. Uncapped financial liability if built without designed economics (BAD-RISK-010).</t>
  </si>
  <si>
    <t>CMP-DOC-04 9.2; FRD-GAP-026; NOTIF-082</t>
  </si>
  <si>
    <t>BAD-DEC-014</t>
  </si>
  <si>
    <t>Launch strategy: target corridors and how initial supply is seeded.</t>
  </si>
  <si>
    <t>BAD-RISK-002 corridor liquidity unmitigated</t>
  </si>
  <si>
    <t>BAD-DEC-014; BAD-RISK-002</t>
  </si>
  <si>
    <t>BAD-DEC-015</t>
  </si>
  <si>
    <t>Architecture</t>
  </si>
  <si>
    <t>Final booking and trip state models.</t>
  </si>
  <si>
    <t>FRD-GAP-016 - the state machine engine is buildable; the definitions are not (GPS 12.1).</t>
  </si>
  <si>
    <t>Solution Architect</t>
  </si>
  <si>
    <t>FRD-GAP-016; BADR-13</t>
  </si>
  <si>
    <t>BAD-DEC-016</t>
  </si>
  <si>
    <t>Moderation and enforcement policy: escalation tiers, penalties, appeal rights.</t>
  </si>
  <si>
    <t>FRD-GAP-022, 024, 025. ADM-192 additionally prohibits any content-scanning capability.</t>
  </si>
  <si>
    <t>FRD-GAP-022; FRD-GAP-025; ADM-192</t>
  </si>
  <si>
    <t>BAD-DEC-017</t>
  </si>
  <si>
    <t>Publishing</t>
  </si>
  <si>
    <t>Whether and how a driver may edit a ride after bookings exist.</t>
  </si>
  <si>
    <t>FRD-GAP-007</t>
  </si>
  <si>
    <t>BAD-DEC-018</t>
  </si>
  <si>
    <t>Quality</t>
  </si>
  <si>
    <t>Set KPI and quality targets.</t>
  </si>
  <si>
    <t>Blocks 69 quality targets, 11 of 21 sizing decisions, every alert threshold and 5 verification categories (TR-084, TR-085).</t>
  </si>
  <si>
    <t>GAP-012; TR-085</t>
  </si>
  <si>
    <t>BAD-DEC-019</t>
  </si>
  <si>
    <t>Position on insurance: what the platform does and does not provide, and how this is communicated.</t>
  </si>
  <si>
    <t>The prohibition on claiming cover applies today regardless (FRD 8.5). What the rules positively say is blocked.</t>
  </si>
  <si>
    <t>BAD-RISK-006; NFR-137</t>
  </si>
  <si>
    <t>BAD-DEC-020</t>
  </si>
  <si>
    <t>Approve or amend the proposed MVP scope in CMP-DOC-01 24.</t>
  </si>
  <si>
    <t>Phase 1 undefined. The proposed scope is a RECOMMENDATION; none of its six entry preconditions is satisfied.</t>
  </si>
  <si>
    <t>Privacy</t>
  </si>
  <si>
    <t>Data retention and deletion policy, and the account-closure path.</t>
  </si>
  <si>
    <t>FRD-GAP-028, 029. Location history accumulates without bound today (FRD-RISK-007). Blocks the restore reconciliation procedure.</t>
  </si>
  <si>
    <t>FRD-GAP-028; FRD-GAP-029; DB 13.2</t>
  </si>
  <si>
    <t>BAD-DEC-022</t>
  </si>
  <si>
    <t>Privacy boundaries between users: phone numbers, precise locations, home locations, live-share audience.</t>
  </si>
  <si>
    <t>FRD-GAP-001, 008, 019, 021. Screen 24 is Partial for this reason.</t>
  </si>
  <si>
    <t>FRD-GAP-001; FRD-GAP-008; FRD-GAP-019; FRD-GAP-021</t>
  </si>
  <si>
    <t>BAD-DEC-023</t>
  </si>
  <si>
    <t>Brand</t>
  </si>
  <si>
    <t>Final product and brand name.</t>
  </si>
  <si>
    <t>User-facing asset rework. All strings are in resources so the change is contained (MOB-012).</t>
  </si>
  <si>
    <t>BAD-DEC-024</t>
  </si>
  <si>
    <t>Governance</t>
  </si>
  <si>
    <t>Confirm the identifier convention.</t>
  </si>
  <si>
    <t>Potential renumbering under change control</t>
  </si>
  <si>
    <t>Documentation Manager</t>
  </si>
  <si>
    <t>Supplier</t>
  </si>
  <si>
    <t>Select the payment service provider.</t>
  </si>
  <si>
    <t>No payment adapter can be written. Seven selection gates are stated in CMP-DOC-14 14.1.</t>
  </si>
  <si>
    <t>PAY 14.1</t>
  </si>
  <si>
    <t>BAD-DEP-009</t>
  </si>
  <si>
    <t>Select the hosting provider.</t>
  </si>
  <si>
    <t>Sizing decision 10 and through it the other 20; protocol versions and cipher selection (OPS-049).</t>
  </si>
  <si>
    <t>OPS-049; GAP-014</t>
  </si>
  <si>
    <t>TECH-DEC-01</t>
  </si>
  <si>
    <t>Choose the route-overlap algorithm and any minimum overlap threshold.</t>
  </si>
  <si>
    <t>FRD-RISK-008 - otherwise chosen by whoever implements FRD-FR-077 first. This is the platform differentiating capability.</t>
  </si>
  <si>
    <t>BAD-RULE-023; FRD-FR-077</t>
  </si>
  <si>
    <t>TECH-DEC-02</t>
  </si>
  <si>
    <t>Mobile</t>
  </si>
  <si>
    <t>Choose the supported Android device range.</t>
  </si>
  <si>
    <t>OPS-111 declares a range nobody has chosen (OPS-112).</t>
  </si>
  <si>
    <t>MOB-OQ-001; NFR-094</t>
  </si>
  <si>
    <t>TECH-DEC-03</t>
  </si>
  <si>
    <t>Choose the accessibility conformance standard.</t>
  </si>
  <si>
    <t>Accessibility verification cannot be specified against a standard.</t>
  </si>
  <si>
    <t>MOB-OQ-002; NFR-088</t>
  </si>
  <si>
    <t>TECH-DEC-04</t>
  </si>
  <si>
    <t>Set monetary precision.</t>
  </si>
  <si>
    <t>DB-032 depends on the largest plausible amount, which depends on scale figures not supplied (GAP-016).</t>
  </si>
  <si>
    <t>DB-032; GAP-016</t>
  </si>
  <si>
    <t>TECH-DEC-05</t>
  </si>
  <si>
    <t>Set phone verification attempt limits and the cool-off period.</t>
  </si>
  <si>
    <t>FRD-FR-010 and 011 are testable once the value is set.</t>
  </si>
  <si>
    <t>Security Analyst</t>
  </si>
  <si>
    <t>FRD-OQ-003; NFR-057</t>
  </si>
  <si>
    <t>TECH-DEC-06</t>
  </si>
  <si>
    <t>Answer who owns incident response.</t>
  </si>
  <si>
    <t>Release readiness criteria 9 and 10 (TR 10.1).</t>
  </si>
  <si>
    <t>GAP-013</t>
  </si>
  <si>
    <t>Own fraud detection and response.</t>
  </si>
  <si>
    <t>Unowned through the whole chain: no requirement, no software element, no reservation, no component.</t>
  </si>
  <si>
    <t>GAP-005; GAP-013</t>
  </si>
  <si>
    <t>GAP-016</t>
  </si>
  <si>
    <t>Supply launch scale figures: concurrent bookings, rides per day, active users.</t>
  </si>
  <si>
    <t>Three backend architectural assumptions hold only at launch scale; index and partitioning strategy needs the same figure.</t>
  </si>
  <si>
    <t>BE-OQ-01; GAP-016</t>
  </si>
  <si>
    <t>GAP-017</t>
  </si>
  <si>
    <t>Trip</t>
  </si>
  <si>
    <t>Decide pickup and drop sequencing on a multi-passenger trip.</t>
  </si>
  <si>
    <t>FRD-FR-159 is unimplementable for a multi-passenger trip until decided - which is the product premise.</t>
  </si>
  <si>
    <t>GAP-017; FRD-FR-159</t>
  </si>
  <si>
    <t>GAP-018</t>
  </si>
  <si>
    <t>Compliance</t>
  </si>
  <si>
    <t>Decide how user agreement to the rules of participation is recorded.</t>
  </si>
  <si>
    <t>Integrity-critical and not carried forward. Needs a functional requirement, an operation and a table.</t>
  </si>
  <si>
    <t>GAP-018; NFR-138</t>
  </si>
  <si>
    <t>GAP-019</t>
  </si>
  <si>
    <t>Audit</t>
  </si>
  <si>
    <t>Decide whether the evidential record carries the originating element, or amend SRS-REQ-128.</t>
  </si>
  <si>
    <t>Blocking baselining of CMP-DOC-06.</t>
  </si>
  <si>
    <t>GAP-019; SRS-REQ-128</t>
  </si>
  <si>
    <t>GAP-020</t>
  </si>
  <si>
    <t>Search</t>
  </si>
  <si>
    <t>State explicitly that a ride with fewer available seats than requested is excluded from results.</t>
  </si>
  <si>
    <t>A decision record prose is not a specification. Blocking baselining of CMP-DOC-04.</t>
  </si>
  <si>
    <t>Backend Lead</t>
  </si>
  <si>
    <t>GAP-020; FRD-FR-083</t>
  </si>
  <si>
    <t>DOC-CONFLICT-01</t>
  </si>
  <si>
    <t>Reconcile the ratings interface and table in CMP-DOC-10 and CMP-DOC-11 against the zero-requirement position in CMP-DOC-04.</t>
  </si>
  <si>
    <t>CMP-DOC-10 11.9 lists POST /trips/{id}/ratings citing FRD-FR-172 (a messaging requirement) and CMP-DOC-11 6.7 lists op_trip_ratings. A developer following CMP-DOC-10 would build a withheld feature.</t>
  </si>
  <si>
    <t>API 11.9; DB 6.7; CMP-DOC-04 9.2</t>
  </si>
  <si>
    <t>REL-DEC-01</t>
  </si>
  <si>
    <t>Decide what constitutes a release gate beyond the 25 non-suppressible obligations.</t>
  </si>
  <si>
    <t>A build gate is technical; a release gate is a business decision (TR-118).</t>
  </si>
  <si>
    <t>TR-115; TC-201</t>
  </si>
  <si>
    <t>CMP - DEPENDENCIES</t>
  </si>
  <si>
    <t>Feature-level build order plus the decision, supplier and approval dependencies that gate construction.</t>
  </si>
  <si>
    <t>Dependency ID</t>
  </si>
  <si>
    <t>Dependency Type</t>
  </si>
  <si>
    <t>Required By</t>
  </si>
  <si>
    <t>DEP-001</t>
  </si>
  <si>
    <t>Work Item</t>
  </si>
  <si>
    <t>FEAT-002 Laravel foundation; FEAT-003 database foundation</t>
  </si>
  <si>
    <t>Not Ready</t>
  </si>
  <si>
    <t>Delivery</t>
  </si>
  <si>
    <t>Build order derived from the architecture and requirement chain.</t>
  </si>
  <si>
    <t>DEP-002</t>
  </si>
  <si>
    <t>FEAT-004 authentication and session</t>
  </si>
  <si>
    <t>DEP-003</t>
  </si>
  <si>
    <t>DEP-004</t>
  </si>
  <si>
    <t>FEAT-002 Laravel foundation; FEAT-004 authentication</t>
  </si>
  <si>
    <t>DEP-005</t>
  </si>
  <si>
    <t>FEAT-007 roles and authorisation</t>
  </si>
  <si>
    <t>DEP-006</t>
  </si>
  <si>
    <t>FEAT-008 vehicle management; FEAT-032 backend authority</t>
  </si>
  <si>
    <t>DEP-007</t>
  </si>
  <si>
    <t>FEAT-009 ride publishing</t>
  </si>
  <si>
    <t>DEP-008</t>
  </si>
  <si>
    <t>DEP-009</t>
  </si>
  <si>
    <t>FEAT-011 search and matching</t>
  </si>
  <si>
    <t>DEP-010</t>
  </si>
  <si>
    <t>FEAT-012 ride detail and commitment surface</t>
  </si>
  <si>
    <t>DEP-011</t>
  </si>
  <si>
    <t>FEAT-013 ride request; FEAT-016 payment verification</t>
  </si>
  <si>
    <t>DEP-012</t>
  </si>
  <si>
    <t>FEAT-014 booking and seat allocation</t>
  </si>
  <si>
    <t>DEP-013</t>
  </si>
  <si>
    <t>FEAT-015 fare and payment initiation; FEAT-017 ledger</t>
  </si>
  <si>
    <t>DEP-014</t>
  </si>
  <si>
    <t>FEAT-003 database foundation</t>
  </si>
  <si>
    <t>DEP-015</t>
  </si>
  <si>
    <t>DEP-016</t>
  </si>
  <si>
    <t>FEAT-018 trip execution</t>
  </si>
  <si>
    <t>DEP-017</t>
  </si>
  <si>
    <t>FEAT-019 live position tracking</t>
  </si>
  <si>
    <t>DEP-018</t>
  </si>
  <si>
    <t>DEP-019</t>
  </si>
  <si>
    <t>DEP-020</t>
  </si>
  <si>
    <t>FEAT-002 Laravel foundation</t>
  </si>
  <si>
    <t>DEP-021</t>
  </si>
  <si>
    <t>FEAT-006 profile</t>
  </si>
  <si>
    <t>DEP-022</t>
  </si>
  <si>
    <t>FEAT-002 Laravel foundation; FEAT-033 evidential log</t>
  </si>
  <si>
    <t>DEP-023</t>
  </si>
  <si>
    <t>FEAT-025 safety incident pipeline</t>
  </si>
  <si>
    <t>DEP-024</t>
  </si>
  <si>
    <t>DEP-025</t>
  </si>
  <si>
    <t>FEAT-027 admin foundation and projections</t>
  </si>
  <si>
    <t>DEP-026</t>
  </si>
  <si>
    <t>FEAT-027 admin foundation; FEAT-016 payment verification</t>
  </si>
  <si>
    <t>DEP-027</t>
  </si>
  <si>
    <t>FEAT-027 admin foundation; FEAT-025 safety pipeline</t>
  </si>
  <si>
    <t>DEP-028</t>
  </si>
  <si>
    <t>DEP-029</t>
  </si>
  <si>
    <t>DEP-030</t>
  </si>
  <si>
    <t>DEP-031</t>
  </si>
  <si>
    <t>FEAT-032 backend authority</t>
  </si>
  <si>
    <t>DEP-032</t>
  </si>
  <si>
    <t>DEP-033</t>
  </si>
  <si>
    <t>DEP-034</t>
  </si>
  <si>
    <t>FEAT-001 Android foundation; FEAT-002 Laravel foundation</t>
  </si>
  <si>
    <t>DEP-035</t>
  </si>
  <si>
    <t>FEAT-037 verification and test infrastructure</t>
  </si>
  <si>
    <t>DEP-036</t>
  </si>
  <si>
    <t>FEAT-038 build, pipeline and environments</t>
  </si>
  <si>
    <t>DEP-037</t>
  </si>
  <si>
    <t>Business Decision</t>
  </si>
  <si>
    <t>BAD-DEC-003 fare model</t>
  </si>
  <si>
    <t>FEAT-009 Ride Publishing; FEAT-015 Fare &amp; Payment Initiation</t>
  </si>
  <si>
    <t>Screen 7 cannot state the amount payable until this is taken (FRD-GAP-005, FRD-GAP-013).</t>
  </si>
  <si>
    <t>DEP-038</t>
  </si>
  <si>
    <t>BAD-DEC-007 booking model</t>
  </si>
  <si>
    <t>FEAT-013 Ride Request; FEAT-014 Booking</t>
  </si>
  <si>
    <t>Three critical gaps from one decision: acceptance, seat holding and payment timing.</t>
  </si>
  <si>
    <t>DEP-039</t>
  </si>
  <si>
    <t>BAD-DEC-009 cancellation and no-show</t>
  </si>
  <si>
    <t>FEAT-009; FEAT-014; FEAT-018; FEAT-043</t>
  </si>
  <si>
    <t>Live product defect - a driver with confirmed bookings has no way out.</t>
  </si>
  <si>
    <t>DEP-040</t>
  </si>
  <si>
    <t>BAD-DEC-010 refund policy</t>
  </si>
  <si>
    <t>FEAT-014; FEAT-016; FEAT-029; FEAT-043</t>
  </si>
  <si>
    <t>Live product defect - the platform can hold money it cannot return.</t>
  </si>
  <si>
    <t>DEP-041</t>
  </si>
  <si>
    <t>BAD-DEC-005 verification policy</t>
  </si>
  <si>
    <t>FEAT-007; FEAT-008; FEAT-044</t>
  </si>
  <si>
    <t>Nothing can set a verification standing until this is taken.</t>
  </si>
  <si>
    <t>DEP-042</t>
  </si>
  <si>
    <t>BAD-DEC-006 account states and admin role set</t>
  </si>
  <si>
    <t>FEAT-027 Admin Foundation; FEAT-044</t>
  </si>
  <si>
    <t>The administrative surface cannot deploy until at least one role exists (ADM-168).</t>
  </si>
  <si>
    <t>DEP-043</t>
  </si>
  <si>
    <t>BAD-DEC-011 safety response protocol</t>
  </si>
  <si>
    <t>FEAT-026 Safety Centre</t>
  </si>
  <si>
    <t>Launch gate. Do not ship SOS. A response capability must also be staffed.</t>
  </si>
  <si>
    <t>DEP-044</t>
  </si>
  <si>
    <t>BAD-DEC-018 KPI and quality targets</t>
  </si>
  <si>
    <t>FEAT-031; FEAT-038; FEAT-039</t>
  </si>
  <si>
    <t>Blocks 69 quality targets, 11 sizing decisions and every alert threshold.</t>
  </si>
  <si>
    <t>DEP-045</t>
  </si>
  <si>
    <t>BAD-DEC-021 retention and closure</t>
  </si>
  <si>
    <t>FEAT-019; FEAT-038; FEAT-039; FEAT-044</t>
  </si>
  <si>
    <t>Location history accumulates without bound until this is set (FRD-RISK-007).</t>
  </si>
  <si>
    <t>DEP-046</t>
  </si>
  <si>
    <t>BAD-DEC-022 privacy boundaries</t>
  </si>
  <si>
    <t>FEAT-006; FEAT-012; FEAT-022; FEAT-026</t>
  </si>
  <si>
    <t>Closes four gaps across disclosure, result precision, messaging availability and trip sharing.</t>
  </si>
  <si>
    <t>DEP-047</t>
  </si>
  <si>
    <t>Supplier Selection</t>
  </si>
  <si>
    <t>BAD-DEP-004 payment service provider</t>
  </si>
  <si>
    <t>FEAT-016 Payment Verification</t>
  </si>
  <si>
    <t>The port is buildable; the adapter needs a provider. Seven gates in CMP-DOC-14 14.1.</t>
  </si>
  <si>
    <t>DEP-048</t>
  </si>
  <si>
    <t>SMS/OTP provider</t>
  </si>
  <si>
    <t>Unselected. The port is buildable; the adapter is not.</t>
  </si>
  <si>
    <t>DEP-049</t>
  </si>
  <si>
    <t>BAD-DEP-009 hosting provider</t>
  </si>
  <si>
    <t>Sizing decision 10 and through it the other 20. Blocks all provisioning (OPS-014).</t>
  </si>
  <si>
    <t>DEP-050</t>
  </si>
  <si>
    <t>Transactional email provider</t>
  </si>
  <si>
    <t>Unselected (README 3.2).</t>
  </si>
  <si>
    <t>DEP-051</t>
  </si>
  <si>
    <t>Technical Decision</t>
  </si>
  <si>
    <t>Route-overlap algorithm and threshold</t>
  </si>
  <si>
    <t>Route to CMP-DOC-07 as a named decision before building 5.1 (FR-06, FRD-RISK-008).</t>
  </si>
  <si>
    <t>DEP-052</t>
  </si>
  <si>
    <t>Monetary precision</t>
  </si>
  <si>
    <t>FEAT-003 Database Foundation</t>
  </si>
  <si>
    <t>Depends on launch scale figures (GAP-016).</t>
  </si>
  <si>
    <t>DEP-053</t>
  </si>
  <si>
    <t>Launch scale figures</t>
  </si>
  <si>
    <t>FEAT-003; FEAT-011; FEAT-038</t>
  </si>
  <si>
    <t>Concurrent bookings, rides per day, active users. Three architectural assumptions depend on it.</t>
  </si>
  <si>
    <t>DEP-054</t>
  </si>
  <si>
    <t>Document Approval</t>
  </si>
  <si>
    <t>CMP-DOC-01 to CMP-DOC-20 approval in chain order</t>
  </si>
  <si>
    <t>Zero of twenty approved. Do not baseline for construction until approved (FRD-RISK-001).</t>
  </si>
  <si>
    <t>DEP-055</t>
  </si>
  <si>
    <t>Infrastructure</t>
  </si>
  <si>
    <t>The 21 sizing decisions</t>
  </si>
  <si>
    <t>FEAT-038; FEAT-039</t>
  </si>
  <si>
    <t>Project Owner / DevOps</t>
  </si>
  <si>
    <t>The sizing class blocks everything downstream of it (TR-081, OPS-014).</t>
  </si>
  <si>
    <t>DEP-056</t>
  </si>
  <si>
    <t>External Service</t>
  </si>
  <si>
    <t>Google Maps Platform, Places and Routes access</t>
  </si>
  <si>
    <t>FEAT-009; FEAT-011; FEAT-019; FEAT-020</t>
  </si>
  <si>
    <t>Route resolution, search matching and estimates all depend on it. Cost is attributed (GADR-12).</t>
  </si>
  <si>
    <t>DEP-057</t>
  </si>
  <si>
    <t>Firebase Cloud Messaging, Crashlytics, Performance</t>
  </si>
  <si>
    <t>FEAT-023; FEAT-039</t>
  </si>
  <si>
    <t>Notification delivery and client observability.</t>
  </si>
  <si>
    <t>CMP - RISKS</t>
  </si>
  <si>
    <t>Seeded from the risk registers of CMP-DOC-04, CMP-DOC-20 and CMP-DOC-01. 36 of 183 chain risks are rated at severity 20 or above.</t>
  </si>
  <si>
    <t>Risk ID</t>
  </si>
  <si>
    <t>Risk</t>
  </si>
  <si>
    <t>Probability</t>
  </si>
  <si>
    <t>Risk Level</t>
  </si>
  <si>
    <t>Mitigation</t>
  </si>
  <si>
    <t>RISK-001</t>
  </si>
  <si>
    <t>Requirements</t>
  </si>
  <si>
    <t>Twenty unapproved predecessor documents. Changes in review propagate into build instructions already acted on.</t>
  </si>
  <si>
    <t>Do not baseline for construction until the chain is approved in order. Track approval as release criterion 1.</t>
  </si>
  <si>
    <t>FRD-RISK-001; TR criterion 1</t>
  </si>
  <si>
    <t>RISK-002</t>
  </si>
  <si>
    <t>A developer implements a gap. Faced with an undecided behaviour, someone writes a reasonable-looking flow and business policy is set by default.</t>
  </si>
  <si>
    <t>Every blocked work item in 02_Work_Items names its decision. Escalate, never infer. This is the highest-severity risk in CMP-DOC-04.</t>
  </si>
  <si>
    <t>Delivery Lead</t>
  </si>
  <si>
    <t>FRD-RISK-002; FR-10</t>
  </si>
  <si>
    <t>RISK-003</t>
  </si>
  <si>
    <t>The two live product defects ship: a driver strands passengers, or the platform holds money it cannot return.</t>
  </si>
  <si>
    <t>Close BAD-DEC-009 and BAD-DEC-010 before the first real booking. Neither requires engineering.</t>
  </si>
  <si>
    <t>FRD-RISK-003; GAP-008; GAP-009</t>
  </si>
  <si>
    <t>RISK-004</t>
  </si>
  <si>
    <t>Reputation is never captured. Trips complete while rating is withheld and the history cannot be reconstructed.</t>
  </si>
  <si>
    <t>Resolve BAD-DEC-012 before first release.</t>
  </si>
  <si>
    <t>FRD-RISK-004</t>
  </si>
  <si>
    <t>RISK-005</t>
  </si>
  <si>
    <t>The SOS control is built because the safety pipeline is fully specified and looks complete.</t>
  </si>
  <si>
    <t>FRD-FR-195 states the prohibition as a testable requirement. FEAT-026 records it as DO NOT BUILD.</t>
  </si>
  <si>
    <t>FRD-RISK-005; BAD-RISK-005</t>
  </si>
  <si>
    <t>RISK-006</t>
  </si>
  <si>
    <t>Integrity requirements are descoped under delivery pressure. 1,412 integrity-critical statements exist across the chain.</t>
  </si>
  <si>
    <t>Every integrity-critical requirement needs a negative test (FR-04). 25 obligations are non-suppressible at gate 4.</t>
  </si>
  <si>
    <t>QA Analyst</t>
  </si>
  <si>
    <t>FRD-RISK-006; TC-021</t>
  </si>
  <si>
    <t>RISK-007</t>
  </si>
  <si>
    <t>Location history accumulates without bound. FRD-FR-148 records position on every trip and no retention rule exists.</t>
  </si>
  <si>
    <t>Resolve BAD-DEC-021 before real trips are tracked. Position history is already separable for independent removal (DB-073).</t>
  </si>
  <si>
    <t>FRD-RISK-007; FRD-GAP-028</t>
  </si>
  <si>
    <t>RISK-008</t>
  </si>
  <si>
    <t>The route-overlap algorithm is chosen implicitly by whoever implements FRD-FR-077 first.</t>
  </si>
  <si>
    <t>Route explicitly to CMP-DOC-07 as a named technical decision before building the search feature.</t>
  </si>
  <si>
    <t>FRD-RISK-008; FR-06</t>
  </si>
  <si>
    <t>RISK-009</t>
  </si>
  <si>
    <t>Requirements are treated as complete because the count is large, masking that three functional areas are empty.</t>
  </si>
  <si>
    <t>CMP-DOC-04 9.2 states the empty areas. FEAT-040 to FEAT-042 carry them as explicitly withheld.</t>
  </si>
  <si>
    <t>FRD-RISK-009</t>
  </si>
  <si>
    <t>RISK-010</t>
  </si>
  <si>
    <t>A structural rule is relaxed under delivery pressure. Recorded independently by six documents - the most common severity-20 risk in the chain.</t>
  </si>
  <si>
    <t>Eight of thirteen structural rules have no suppression path in the pipeline. Gate 4 admits no exception.</t>
  </si>
  <si>
    <t>TR-087; TC-038; OPS-093</t>
  </si>
  <si>
    <t>RISK-011</t>
  </si>
  <si>
    <t>An unresolved decision is resolved by default rather than decided - the second most common severity-20 theme.</t>
  </si>
  <si>
    <t>66 work items are marked Blocked with the deciding item named. None may be started.</t>
  </si>
  <si>
    <t>TR-088; TR-084</t>
  </si>
  <si>
    <t>RISK-012</t>
  </si>
  <si>
    <t>A distinction collapses in implementation - implemented read as committed, committed read as pushed, a passing test read as readiness.</t>
  </si>
  <si>
    <t>The tracker separates Implemented, Committed, Pushed, Tested, Reviewed and Completed as independent stages, each with its own log sheet.</t>
  </si>
  <si>
    <t>TR-121; TC-181</t>
  </si>
  <si>
    <t>RISK-013</t>
  </si>
  <si>
    <t>Planning</t>
  </si>
  <si>
    <t>The 15-day sprint is read as a capacity commitment. Day allocation here is dependency-ordered, not capacity-fitted, and no team size has been supplied.</t>
  </si>
  <si>
    <t>01_Dashboard states total effort against the 15-day window. BAD-CON-017 records that no budget, timeline or team composition exists.</t>
  </si>
  <si>
    <t>BAD-CON-017; BAD-DEC-002</t>
  </si>
  <si>
    <t>RISK-014</t>
  </si>
  <si>
    <t>Nothing can be provisioned. All 21 sizing decisions are open and the hosting provider is unselected.</t>
  </si>
  <si>
    <t>Resolve BAD-DEP-009 first; it unblocks sizing decision 10 and through it the other 20.</t>
  </si>
  <si>
    <t>TR-081; OPS-014</t>
  </si>
  <si>
    <t>RISK-015</t>
  </si>
  <si>
    <t>Fraud is unowned through the entire chain - no requirement, no software element, no reservation, no component.</t>
  </si>
  <si>
    <t>Own it before any real money moves. Recorded as GAP-013 and carried since CMP-DOC-06.</t>
  </si>
  <si>
    <t>RISK-016</t>
  </si>
  <si>
    <t>A safety responder can close an incident and take no action against the account involved.</t>
  </si>
  <si>
    <t>Resolve BAD-DEC-006. Until then the operational consequence must be understood, not worked around.</t>
  </si>
  <si>
    <t>ADM-196; FRD-GAP-024</t>
  </si>
  <si>
    <t>RISK-017</t>
  </si>
  <si>
    <t>A dashboard reports zero for a behaviour that is not implemented, and zero reads as good news.</t>
  </si>
  <si>
    <t>FRD-FR-236 requires a measure to be reported unavailable, never zero. Same rule applied to this workbook.</t>
  </si>
  <si>
    <t>Product Analyst</t>
  </si>
  <si>
    <t>FRD-FR-236; ADM-027</t>
  </si>
  <si>
    <t>RISK-018</t>
  </si>
  <si>
    <t>A developer follows CMP-DOC-10 and builds a ratings feature that CMP-DOC-04 withholds.</t>
  </si>
  <si>
    <t>Recorded as DOC-CONFLICT-01 on 09_Decisions. Reconcile before construction of the trip feature.</t>
  </si>
  <si>
    <t>API 11.9; DB 6.7</t>
  </si>
  <si>
    <t>RISK-019</t>
  </si>
  <si>
    <t>Regulatory characterisation is unknown, particularly if the platform sets fares or takes a fee.</t>
  </si>
  <si>
    <t>Obtain the legal opinion before build (BAD-DEC-001). Do not finalise fare or fee design until then.</t>
  </si>
  <si>
    <t>BAD-RISK-001</t>
  </si>
  <si>
    <t>RISK-020</t>
  </si>
  <si>
    <t>A passing test suite is read as readiness, when the largest known risks are undecided rather than defective.</t>
  </si>
  <si>
    <t>Any readiness statement must carry the untested-because-undecided set with it.</t>
  </si>
  <si>
    <t>TR-119; TR-121</t>
  </si>
  <si>
    <t>CMP - DOCUMENT TRACEABILITY</t>
  </si>
  <si>
    <t>One row per work item. Implementation Status is a live reference to 02_Work_Items - it is never typed here. All source documents are at v0.1 Draft; none is approved.</t>
  </si>
  <si>
    <t>DERIVED SHEET - the only editable column is Notes. Every other value comes from the documentation or from 02_Work_Items.</t>
  </si>
  <si>
    <t>Document</t>
  </si>
  <si>
    <t>Document Version</t>
  </si>
  <si>
    <t>Section / Statement</t>
  </si>
  <si>
    <t>Implementation Status</t>
  </si>
  <si>
    <t>CMP-DOC-08 Mobile Architecture</t>
  </si>
  <si>
    <t>v0.1 Draft</t>
  </si>
  <si>
    <t>MOB-001; MOB-002; MOB-003</t>
  </si>
  <si>
    <t>MOB-007; MOB-161; OPS-108</t>
  </si>
  <si>
    <t>MOB-009; MADR-02; UXDR-02</t>
  </si>
  <si>
    <t>MOB-013; MOB-162; MOB-163</t>
  </si>
  <si>
    <t>MOB-010; MOB-011; OPS-110</t>
  </si>
  <si>
    <t>MOB-164; OPS-111; NFR-093</t>
  </si>
  <si>
    <t>MOB-057; API-024; API-025</t>
  </si>
  <si>
    <t>CMP-DOC-12 UI/UX Specification</t>
  </si>
  <si>
    <t>MOB-015; MOB-016; MOB-017</t>
  </si>
  <si>
    <t>UXDR-03; UX 7; MADR-10</t>
  </si>
  <si>
    <t>CMP-DOC-09 Backend Architecture</t>
  </si>
  <si>
    <t>BE-001; BE-004; BADR-01</t>
  </si>
  <si>
    <t>BE-002; BE-003; BE-014</t>
  </si>
  <si>
    <t>BE-041; BE-042; BE-043</t>
  </si>
  <si>
    <t>BE-047; BE-054; ARCH-032</t>
  </si>
  <si>
    <t>BE-045; BE-051; BADR-08</t>
  </si>
  <si>
    <t>BE-020; BE-022; BE-039</t>
  </si>
  <si>
    <t>BE-135; BE-136; BE-137</t>
  </si>
  <si>
    <t>BE-143; BE-145; BE-146</t>
  </si>
  <si>
    <t>BE 13.1; BADR-12; ARCH-146</t>
  </si>
  <si>
    <t>BE-038; BADR-13; ARCH-037</t>
  </si>
  <si>
    <t>BE-044; BADR-14; SADR-06</t>
  </si>
  <si>
    <t>BADR-16; BE-191; OPS-041</t>
  </si>
  <si>
    <t>BE-009; BE-010; BE-011</t>
  </si>
  <si>
    <t>CMP-DOC-11 Database Design</t>
  </si>
  <si>
    <t>DB-001; DB-009; DB-010</t>
  </si>
  <si>
    <t>DB-002; DB-003; DB-014</t>
  </si>
  <si>
    <t>DB-021; DB-022; DB-023</t>
  </si>
  <si>
    <t>DB-025; DB-026; DB-027</t>
  </si>
  <si>
    <t>DB-031; DB-033; DB-034</t>
  </si>
  <si>
    <t>DB-038; SADR-09; SEC-119</t>
  </si>
  <si>
    <t>DB-015; DB-016; DB-017</t>
  </si>
  <si>
    <t>DB 16; DB-218; DB-219</t>
  </si>
  <si>
    <t>DB-012; DB-013; DB-029</t>
  </si>
  <si>
    <t>DB-040; DB-058; DB-063</t>
  </si>
  <si>
    <t>DB-041; DB-042; DB-044</t>
  </si>
  <si>
    <t>CMP-DOC-04 Functional Requirements</t>
  </si>
  <si>
    <t>FRD-FR-014; FRD-FR-016; API 11.1</t>
  </si>
  <si>
    <t>CMP-DOC-05 Non-Functional Requirements</t>
  </si>
  <si>
    <t>FRD-FR-019; DB-044; NFR-054</t>
  </si>
  <si>
    <t>SEC 13.1; SADR-04; SADR-13</t>
  </si>
  <si>
    <t>CMP-DOC-18 Testing &amp; QA</t>
  </si>
  <si>
    <t>TC-025; TC-029; TC-030</t>
  </si>
  <si>
    <t>FRD-FR-005; DB-022; DB-023</t>
  </si>
  <si>
    <t>FRD-FR-009; API-125; DB-041</t>
  </si>
  <si>
    <t>FRD-FR-027; API-128; API-129</t>
  </si>
  <si>
    <t>TC-029; TC-030; SEC 19.1</t>
  </si>
  <si>
    <t>DB-047; DB-048; DB-049</t>
  </si>
  <si>
    <t>FRD-FR-033; FRD-FR-034; FRD-FR-035</t>
  </si>
  <si>
    <t>FRD-FR-039; FRD-FR-040; FRD-FR-041</t>
  </si>
  <si>
    <t>FRD-FR-043; FRD-FR-044; FRD-FR-045</t>
  </si>
  <si>
    <t>DB-051; DB-052; DB-057</t>
  </si>
  <si>
    <t>DB-050; DADR-05; DB 7</t>
  </si>
  <si>
    <t>BE-017; BE-018; BADR-02</t>
  </si>
  <si>
    <t>FRD-FR-049; FRD-FR-050; FRD-FR-054</t>
  </si>
  <si>
    <t>FRD-FR-051; DB-051; DB-052</t>
  </si>
  <si>
    <t>FRD-FR-058; FRD-FR-059; BE-023</t>
  </si>
  <si>
    <t>CMP-DOC-07 System Architecture</t>
  </si>
  <si>
    <t>ARCH-080; API-135; API-048</t>
  </si>
  <si>
    <t>CMP-DOC-10 API Specification</t>
  </si>
  <si>
    <t>AADR-10; API-140; API-143</t>
  </si>
  <si>
    <t>BE-034; BE-035; BE-040</t>
  </si>
  <si>
    <t>DB-059; DB-060; DB-061</t>
  </si>
  <si>
    <t>BE-025; BE-012; BAD-RULE-028</t>
  </si>
  <si>
    <t>BE-024; FRD-FR-107; DB 7</t>
  </si>
  <si>
    <t>BADR-04; DADR-05; BE-054</t>
  </si>
  <si>
    <t>FRD-FR-104; FRD-FR-238; FRD-FR-239</t>
  </si>
  <si>
    <t>BE-048; BE-049; BE-050</t>
  </si>
  <si>
    <t>TADR-08; TC 12.1; BE-024</t>
  </si>
  <si>
    <t>FRD-FR-117; BE-032; ARCH-083</t>
  </si>
  <si>
    <t>FRD-FR-118; API-150; FRD-FR-238</t>
  </si>
  <si>
    <t>CMP-DOC-14 Payment &amp; UPI</t>
  </si>
  <si>
    <t>FRD-FR-122; API 11.8; BE-050</t>
  </si>
  <si>
    <t>FRD-FR-124; PADR-03; API-154</t>
  </si>
  <si>
    <t>PADR-08; DB-037; DB-068</t>
  </si>
  <si>
    <t>TC-029; TC-030; TC-031</t>
  </si>
  <si>
    <t>DB-065; DB-066; DB-067</t>
  </si>
  <si>
    <t>BE-026; BE-027; PADR-07</t>
  </si>
  <si>
    <t>BE-131; BE-135; BE-137</t>
  </si>
  <si>
    <t>FRD-FR-130; FRD-FR-131; FRD-FR-258</t>
  </si>
  <si>
    <t>PADR-10; BE-036; PAY 9</t>
  </si>
  <si>
    <t>API-153; DB-066; AADR-06</t>
  </si>
  <si>
    <t>TC-029; TC-030; FR-03</t>
  </si>
  <si>
    <t>DB-005; DB 8; DADR-07</t>
  </si>
  <si>
    <t>DB-071; DB-072; DB-075</t>
  </si>
  <si>
    <t>BE-028; BE-012; SRS-REQ-159</t>
  </si>
  <si>
    <t>FRD-FR-141; FRD-FR-143; API-159</t>
  </si>
  <si>
    <t>MADR-07; GADR-01; GADR-04</t>
  </si>
  <si>
    <t>CMP-DOC-15 GPS / Live Trip</t>
  </si>
  <si>
    <t>GADR-06; API-162; MOB-135</t>
  </si>
  <si>
    <t>UX 4.1 Screen 21; UXDR-11; UX-009</t>
  </si>
  <si>
    <t>CMP-DOC-16 Communication &amp; Notifications</t>
  </si>
  <si>
    <t>NADR-02; NADR-03; NADR-06</t>
  </si>
  <si>
    <t>FRD-FR-179; MADR-05; MADR-06</t>
  </si>
  <si>
    <t>FRD-FR-201; NOTIF-084; NOTIF-088</t>
  </si>
  <si>
    <t>FRD-FR-202; NOTIF-085; NOTIF-086</t>
  </si>
  <si>
    <t>BE-029; FRD-FR-227; FRD-FR-228</t>
  </si>
  <si>
    <t>CMP-DOC-19 DevOps / Deployment</t>
  </si>
  <si>
    <t>OPS-045; OPS-046; OPS-047</t>
  </si>
  <si>
    <t>FRD-FR-195; UX-006; UXDR-13</t>
  </si>
  <si>
    <t>FRD 8.5 prohibition; BRD-REQ-187; BAD-RISK-006</t>
  </si>
  <si>
    <t>CMP-DOC-17 Admin / Filament</t>
  </si>
  <si>
    <t>ADMR-01; ADM-017; ADM-018</t>
  </si>
  <si>
    <t>ADM-034; ADM-039; ADM-043</t>
  </si>
  <si>
    <t>ADM-035; ADM-042; BE-120</t>
  </si>
  <si>
    <t>ADM-046; ADM-047; ADM-050</t>
  </si>
  <si>
    <t>ADM-023; ADM-024; ADM-025</t>
  </si>
  <si>
    <t>ADM-026; ADM-027; API-118</t>
  </si>
  <si>
    <t>ADM-163; ADM-164; ADM-170</t>
  </si>
  <si>
    <t>FRD-FR-214; ADMR-04; ADMR-07</t>
  </si>
  <si>
    <t>FRD-FR-215; ADMR-05; ADM 8.3</t>
  </si>
  <si>
    <t>DB-004; DB 9.1; DB 9.3</t>
  </si>
  <si>
    <t>CMP-DOC-13 Security Design</t>
  </si>
  <si>
    <t>MOB 12.1; MOB-135; OPS-118</t>
  </si>
  <si>
    <t>TADR-09; TC 12.2; TC-030</t>
  </si>
  <si>
    <t>API 10; API-112; API-113</t>
  </si>
  <si>
    <t>SEC 6; SADR-04; NFR-054</t>
  </si>
  <si>
    <t>SEC 9; SEC-091; SEC-101</t>
  </si>
  <si>
    <t>SADR-09; DB-038; SEC 11</t>
  </si>
  <si>
    <t>SADR-10; SEC 12; DB-037</t>
  </si>
  <si>
    <t>SADR-13; SEC 13; SEC 13.1</t>
  </si>
  <si>
    <t>SADR-14; SEC 14.1; SEC-163</t>
  </si>
  <si>
    <t>SEC 15; API 15; SEC-180</t>
  </si>
  <si>
    <t>SADR-16; SEC 19.1; SEC 19.4</t>
  </si>
  <si>
    <t>TC 4; TC-026; TC-027</t>
  </si>
  <si>
    <t>TC-037; TC-038; TC-021</t>
  </si>
  <si>
    <t>TC-030; TADR-08; DB-085</t>
  </si>
  <si>
    <t>TADR-09; TC 12.2; TC-155</t>
  </si>
  <si>
    <t>TC 16; OPS-022; TC-203</t>
  </si>
  <si>
    <t>TC 15; TC-012; TC-020</t>
  </si>
  <si>
    <t>TC 14.3; TR-119; TR-120</t>
  </si>
  <si>
    <t>OPS 5.1; OPS-021; OPS-022</t>
  </si>
  <si>
    <t>OPS-089; OPS-090; OPS-105</t>
  </si>
  <si>
    <t>OPS-091; TC-021; TC-200</t>
  </si>
  <si>
    <t>OPS-029; OPS-030; OPS-097</t>
  </si>
  <si>
    <t>OPS-098; OPS-099; NFR-108</t>
  </si>
  <si>
    <t>OPS-034; OPS-104; DB-218</t>
  </si>
  <si>
    <t>OPS 8; OPS-116; SEC 14.1</t>
  </si>
  <si>
    <t>OPS-107; OPS-115; OPS-116</t>
  </si>
  <si>
    <t>OPS-031; OPS-090; OPS-105</t>
  </si>
  <si>
    <t>OPS 12.2; OPS-119; DDR-11</t>
  </si>
  <si>
    <t>Project Control - README</t>
  </si>
  <si>
    <t>OPS 14; OPS-092 break-glass; DDR-13</t>
  </si>
  <si>
    <t>Yes/No</t>
  </si>
  <si>
    <t>Bug Status</t>
  </si>
  <si>
    <t>Decision Status</t>
  </si>
  <si>
    <t>Dependency Status</t>
  </si>
  <si>
    <t>Probability/Impact</t>
  </si>
  <si>
    <t>Not Pushed</t>
  </si>
  <si>
    <t>Unit</t>
  </si>
  <si>
    <t>Pass</t>
  </si>
  <si>
    <t>Decided</t>
  </si>
  <si>
    <t>N/A</t>
  </si>
  <si>
    <t>Fail</t>
  </si>
  <si>
    <t>Deferred</t>
  </si>
  <si>
    <t>Reverted</t>
  </si>
  <si>
    <t>Retest</t>
  </si>
  <si>
    <t>Resolved</t>
  </si>
  <si>
    <t>End-to-End</t>
  </si>
  <si>
    <t>Closed</t>
  </si>
  <si>
    <t>Firebase</t>
  </si>
  <si>
    <t>Regression</t>
  </si>
  <si>
    <t>Won't Fix</t>
  </si>
  <si>
    <t>Manual</t>
  </si>
  <si>
    <t>Performance</t>
  </si>
  <si>
    <t>Bug Fix</t>
  </si>
  <si>
    <t>Index</t>
  </si>
  <si>
    <t>Seed</t>
  </si>
  <si>
    <t>Action</t>
  </si>
  <si>
    <t>Policy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</si>
</sst>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0.0"/>
    <numFmt numFmtId="166" formatCode="yyyy-mm-dd"/>
  </numFmts>
  <fonts count="2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5A6672"/>
      <sz val="9"/>
    </font>
    <font>
      <b/>
      <color rgb="FFFFFFFF"/>
      <sz val="11"/>
    </font>
    <font>
      <b/>
      <color rgb="FF5A6672"/>
      <sz val="9"/>
      <name val="Calibri"/>
    </font>
    <font>
      <sz val="9"/>
      <name val="Calibri"/>
    </font>
    <font>
      <b/>
      <color rgb="FF5A6672"/>
      <sz val="8"/>
      <name val="Calibri"/>
    </font>
    <font>
      <b/>
      <color rgb="FF1F2933"/>
      <sz val="20"/>
      <name val="Calibri"/>
    </font>
    <font>
      <b/>
      <color rgb="FFFFFFFF"/>
      <sz val="9"/>
      <name val="Calibri"/>
    </font>
    <font>
      <b/>
      <sz val="9"/>
      <name val="Calibri"/>
    </font>
    <font>
      <color rgb="FF5A6672"/>
      <sz val="9"/>
      <name val="Calibri"/>
    </font>
    <font>
      <b/>
      <color rgb="FF1D6F8C"/>
      <sz val="9"/>
      <name val="Calibri"/>
    </font>
    <font>
      <sz val="10"/>
      <name val="Calibri"/>
    </font>
    <font>
      <color rgb="FF5A6672"/>
      <sz val="8"/>
      <name val="Calibri"/>
    </font>
    <font>
      <color rgb="FF1F2933"/>
      <sz val="9"/>
    </font>
    <font>
      <b/>
      <color rgb="FFFFFFFF"/>
      <sz val="14"/>
      <name val="Calibri"/>
    </font>
    <font>
      <i/>
      <color rgb="FF5A6672"/>
      <sz val="9"/>
      <name val="Calibri"/>
    </font>
    <font>
      <b/>
      <color rgb="FF5A6672"/>
      <sz val="9"/>
    </font>
    <font>
      <b/>
      <color rgb="FF1B4B6B"/>
      <sz val="9"/>
    </font>
    <font>
      <b/>
      <color rgb="FFFFFFFF"/>
      <sz val="10"/>
      <name val="Calibri"/>
    </font>
    <font>
      <b/>
      <color rgb="FF1D6F8C"/>
      <sz val="9"/>
    </font>
    <font>
      <sz val="9"/>
    </font>
    <font>
      <b/>
      <color rgb="FFFFFFFF"/>
      <sz val="10"/>
    </font>
    <font>
      <sz val="10"/>
    </font>
  </fonts>
  <fills count="13">
    <fill>
      <patternFill patternType="none"/>
    </fill>
    <fill>
      <patternFill patternType="gray125"/>
    </fill>
    <fill>
      <patternFill patternType="solid">
        <fgColor rgb="FF17313F"/>
      </patternFill>
    </fill>
    <fill>
      <patternFill patternType="solid">
        <fgColor rgb="FFF3F6F8"/>
      </patternFill>
    </fill>
    <fill>
      <patternFill patternType="solid">
        <fgColor rgb="FFEAF2F5"/>
      </patternFill>
    </fill>
    <fill>
      <patternFill patternType="solid">
        <fgColor rgb="FFDDF0E3"/>
      </patternFill>
    </fill>
    <fill>
      <patternFill patternType="solid">
        <fgColor rgb="FFFDF1D8"/>
      </patternFill>
    </fill>
    <fill>
      <patternFill patternType="solid">
        <fgColor rgb="FFF9DCDC"/>
      </patternFill>
    </fill>
    <fill>
      <patternFill patternType="solid">
        <fgColor rgb="FFE4EDF5"/>
      </patternFill>
    </fill>
    <fill>
      <patternFill patternType="solid">
        <fgColor rgb="FF1D6F8C"/>
      </patternFill>
    </fill>
    <fill>
      <patternFill patternType="solid">
        <fgColor rgb="FFEFEFEF"/>
      </patternFill>
    </fill>
    <fill>
      <patternFill patternType="solid">
        <fgColor rgb="FFFFFFFF"/>
      </patternFill>
    </fill>
    <fill>
      <patternFill patternType="solid">
        <fgColor rgb="FFDCE7ED"/>
      </patternFill>
    </fill>
  </fills>
  <borders count="2">
    <border>
      <left/>
      <right/>
      <top/>
      <bottom/>
      <diagonal/>
    </border>
    <border>
      <left style="thin">
        <color rgb="FFC7D0D6"/>
      </left>
      <right style="thin">
        <color rgb="FFC7D0D6"/>
      </right>
      <top style="thin">
        <color rgb="FFC7D0D6"/>
      </top>
      <bottom style="thin">
        <color rgb="FFC7D0D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3" borderId="0" xfId="0" applyFont="1" applyFill="1" applyAlignment="1">
      <alignment horizontal="left" vertical="center" indent="2"/>
    </xf>
    <xf numFmtId="0" fontId="3" fillId="2" borderId="0" xfId="0" applyFont="1" applyFill="1" applyAlignment="1">
      <alignment horizontal="left" vertical="center" indent="1"/>
    </xf>
    <xf numFmtId="0" fontId="4" fillId="3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wrapText="1" indent="1"/>
    </xf>
    <xf numFmtId="0" fontId="6" fillId="3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indent="1"/>
    </xf>
    <xf numFmtId="3" fontId="9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indent="1"/>
    </xf>
    <xf numFmtId="0" fontId="10" fillId="0" borderId="1" xfId="0" applyFont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left" vertical="center" indent="1"/>
    </xf>
    <xf numFmtId="0" fontId="5" fillId="10" borderId="1" xfId="0" applyFont="1" applyFill="1" applyBorder="1" applyAlignment="1">
      <alignment horizontal="left" vertical="center" indent="1"/>
    </xf>
    <xf numFmtId="0" fontId="2" fillId="0" borderId="1" xfId="0" applyFont="1" applyBorder="1" applyAlignment="1">
      <alignment horizontal="left" vertical="top" wrapText="1" indent="1"/>
    </xf>
    <xf numFmtId="0" fontId="12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horizontal="left" vertical="center" indent="1"/>
    </xf>
    <xf numFmtId="9" fontId="9" fillId="0" borderId="1" xfId="0" applyNumberFormat="1" applyFont="1" applyBorder="1" applyAlignment="1">
      <alignment horizontal="center" vertical="center"/>
    </xf>
    <xf numFmtId="0" fontId="13" fillId="3" borderId="1" xfId="0" applyFont="1" applyFill="1" applyBorder="1" applyAlignment="1">
      <alignment horizontal="left" vertical="center" indent="1"/>
    </xf>
    <xf numFmtId="0" fontId="14" fillId="11" borderId="1" xfId="0" applyFont="1" applyFill="1" applyBorder="1" applyAlignment="1">
      <alignment horizontal="left" vertical="top" wrapText="1" indent="1"/>
    </xf>
    <xf numFmtId="0" fontId="14" fillId="3" borderId="1" xfId="0" applyFont="1" applyFill="1" applyBorder="1" applyAlignment="1">
      <alignment horizontal="left" vertical="top" wrapText="1" indent="1"/>
    </xf>
    <xf numFmtId="0" fontId="15" fillId="9" borderId="0" xfId="0" applyFont="1" applyFill="1" applyAlignment="1">
      <alignment horizontal="left" vertical="center" indent="1"/>
    </xf>
    <xf numFmtId="0" fontId="16" fillId="3" borderId="0" xfId="0" applyFont="1" applyFill="1" applyAlignment="1">
      <alignment horizontal="left" vertical="center" indent="1"/>
    </xf>
    <xf numFmtId="0" fontId="17" fillId="12" borderId="0" xfId="0" applyFont="1" applyFill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left" vertical="top" indent="1"/>
    </xf>
    <xf numFmtId="0" fontId="5" fillId="0" borderId="1" xfId="0" applyFont="1" applyBorder="1" applyAlignment="1">
      <alignment horizontal="left" vertical="top" wrapText="1" indent="1"/>
    </xf>
    <xf numFmtId="0" fontId="5" fillId="0" borderId="1" xfId="0" applyFont="1" applyBorder="1" applyAlignment="1">
      <alignment horizontal="left" vertical="top" indent="1"/>
    </xf>
    <xf numFmtId="0" fontId="5" fillId="0" borderId="1" xfId="0" applyFont="1" applyBorder="1" applyAlignment="1">
      <alignment horizontal="center" vertical="top"/>
    </xf>
    <xf numFmtId="165" fontId="5" fillId="0" borderId="1" xfId="0" applyNumberFormat="1" applyFont="1" applyBorder="1" applyAlignment="1">
      <alignment horizontal="center" vertical="top"/>
    </xf>
    <xf numFmtId="1" fontId="5" fillId="0" borderId="1" xfId="0" applyNumberFormat="1" applyFont="1" applyBorder="1" applyAlignment="1">
      <alignment horizontal="center" vertical="top"/>
    </xf>
    <xf numFmtId="166" fontId="5" fillId="0" borderId="1" xfId="0" applyNumberFormat="1" applyFont="1" applyBorder="1" applyAlignment="1">
      <alignment horizontal="left" vertical="top" indent="1"/>
    </xf>
    <xf numFmtId="0" fontId="20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horizontal="left" vertical="top" wrapText="1" indent="1"/>
    </xf>
    <xf numFmtId="0" fontId="5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horizontal="center" vertical="top"/>
    </xf>
    <xf numFmtId="165" fontId="5" fillId="3" borderId="1" xfId="0" applyNumberFormat="1" applyFont="1" applyFill="1" applyBorder="1" applyAlignment="1">
      <alignment horizontal="center" vertical="top"/>
    </xf>
    <xf numFmtId="0" fontId="20" fillId="0" borderId="1" xfId="0" applyFont="1" applyBorder="1" applyAlignment="1">
      <alignment horizontal="left" vertical="center" indent="1"/>
    </xf>
    <xf numFmtId="0" fontId="21" fillId="0" borderId="1" xfId="0" applyFont="1" applyBorder="1" applyAlignment="1">
      <alignment horizontal="left" vertical="center" wrapText="1" indent="1"/>
    </xf>
    <xf numFmtId="0" fontId="21" fillId="0" borderId="1" xfId="0" applyFont="1" applyBorder="1" applyAlignment="1">
      <alignment horizontal="center" vertical="center"/>
    </xf>
    <xf numFmtId="9" fontId="21" fillId="0" borderId="1" xfId="0" applyNumberFormat="1" applyFont="1" applyBorder="1" applyAlignment="1">
      <alignment horizontal="center" vertical="center"/>
    </xf>
    <xf numFmtId="0" fontId="20" fillId="3" borderId="1" xfId="0" applyFont="1" applyFill="1" applyBorder="1" applyAlignment="1">
      <alignment horizontal="left" vertical="center" indent="1"/>
    </xf>
    <xf numFmtId="0" fontId="21" fillId="3" borderId="1" xfId="0" applyFont="1" applyFill="1" applyBorder="1" applyAlignment="1">
      <alignment horizontal="left" vertical="center" wrapText="1" indent="1"/>
    </xf>
    <xf numFmtId="0" fontId="22" fillId="2" borderId="1" xfId="0" applyFont="1" applyFill="1" applyBorder="1" applyAlignment="1">
      <alignment horizontal="left" vertical="center" indent="1"/>
    </xf>
    <xf numFmtId="0" fontId="22" fillId="2" borderId="1" xfId="0" applyFont="1" applyFill="1" applyBorder="1" applyAlignment="1">
      <alignment horizontal="center" vertical="center"/>
    </xf>
    <xf numFmtId="9" fontId="22" fillId="2" borderId="1" xfId="0" applyNumberFormat="1" applyFont="1" applyFill="1" applyBorder="1" applyAlignment="1">
      <alignment horizontal="center" vertical="center"/>
    </xf>
    <xf numFmtId="0" fontId="18" fillId="8" borderId="0" xfId="0" applyFont="1" applyFill="1" applyAlignment="1">
      <alignment horizontal="left" vertical="center" indent="1"/>
    </xf>
    <xf numFmtId="166" fontId="21" fillId="3" borderId="1" xfId="0" applyNumberFormat="1" applyFont="1" applyFill="1" applyBorder="1" applyAlignment="1">
      <alignment vertical="top" wrapText="1" indent="1"/>
    </xf>
    <xf numFmtId="0" fontId="21" fillId="3" borderId="1" xfId="0" applyFont="1" applyFill="1" applyBorder="1" applyAlignment="1">
      <alignment vertical="top" wrapText="1" indent="1"/>
    </xf>
    <xf numFmtId="0" fontId="20" fillId="3" borderId="1" xfId="0" applyFont="1" applyFill="1" applyBorder="1" applyAlignment="1">
      <alignment vertical="top" wrapText="1" indent="1"/>
    </xf>
    <xf numFmtId="0" fontId="21" fillId="3" borderId="1" xfId="0" applyFont="1" applyFill="1" applyBorder="1" applyAlignment="1">
      <alignment horizontal="center" vertical="top"/>
    </xf>
    <xf numFmtId="166" fontId="21" fillId="0" borderId="1" xfId="0" applyNumberFormat="1" applyFont="1" applyBorder="1" applyAlignment="1">
      <alignment vertical="top" wrapText="1" indent="1"/>
    </xf>
    <xf numFmtId="0" fontId="21" fillId="0" borderId="1" xfId="0" applyFont="1" applyBorder="1" applyAlignment="1">
      <alignment vertical="top" wrapText="1" indent="1"/>
    </xf>
    <xf numFmtId="0" fontId="20" fillId="0" borderId="1" xfId="0" applyFont="1" applyBorder="1" applyAlignment="1">
      <alignment vertical="top" wrapText="1" indent="1"/>
    </xf>
    <xf numFmtId="0" fontId="21" fillId="0" borderId="1" xfId="0" applyFont="1" applyBorder="1" applyAlignment="1">
      <alignment horizontal="center" vertical="top"/>
    </xf>
    <xf numFmtId="1" fontId="21" fillId="3" borderId="1" xfId="0" applyNumberFormat="1" applyFont="1" applyFill="1" applyBorder="1" applyAlignment="1">
      <alignment vertical="top" wrapText="1" indent="1"/>
    </xf>
    <xf numFmtId="1" fontId="21" fillId="0" borderId="1" xfId="0" applyNumberFormat="1" applyFont="1" applyBorder="1" applyAlignment="1">
      <alignment vertical="top" wrapText="1" indent="1"/>
    </xf>
    <xf numFmtId="0" fontId="20" fillId="0" borderId="1" xfId="0" applyFont="1" applyBorder="1" applyAlignment="1">
      <alignment horizontal="left" vertical="top" wrapText="1" indent="1"/>
    </xf>
    <xf numFmtId="0" fontId="21" fillId="0" borderId="1" xfId="0" applyFont="1" applyBorder="1" applyAlignment="1">
      <alignment horizontal="left" vertical="top" wrapText="1" indent="1"/>
    </xf>
    <xf numFmtId="0" fontId="21" fillId="0" borderId="1" xfId="0" applyFont="1" applyBorder="1" applyAlignment="1">
      <alignment horizontal="center" vertical="top" wrapText="1"/>
    </xf>
    <xf numFmtId="0" fontId="20" fillId="3" borderId="1" xfId="0" applyFont="1" applyFill="1" applyBorder="1" applyAlignment="1">
      <alignment horizontal="left" vertical="top" wrapText="1" indent="1"/>
    </xf>
    <xf numFmtId="0" fontId="21" fillId="3" borderId="1" xfId="0" applyFont="1" applyFill="1" applyBorder="1" applyAlignment="1">
      <alignment horizontal="left" vertical="top" wrapText="1" indent="1"/>
    </xf>
    <xf numFmtId="0" fontId="21" fillId="3" borderId="1" xfId="0" applyFont="1" applyFill="1" applyBorder="1" applyAlignment="1">
      <alignment horizontal="center" vertical="top" wrapText="1"/>
    </xf>
    <xf numFmtId="0" fontId="22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left" indent="1"/>
    </xf>
  </cellXfs>
  <cellStyles count="1">
    <cellStyle name="Normal" xfId="0" builtinId="0"/>
  </cellStyles>
  <dxfs count="52"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7A5300"/>
      </font>
      <fill>
        <patternFill patternType="solid">
          <bgColor rgb="FFFDF1D8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color rgb="FF5A6672"/>
      </font>
      <fill>
        <patternFill patternType="solid">
          <bgColor rgb="FFEFEFEF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color rgb="FF7A5300"/>
      </font>
      <fill>
        <patternFill patternType="solid">
          <bgColor rgb="FFFDF1D8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color rgb="FF1B5E33"/>
      </font>
      <fill>
        <patternFill patternType="solid">
          <bgColor rgb="FFDDF0E3"/>
        </patternFill>
      </fill>
    </dxf>
    <dxf>
      <font>
        <color rgb="FF1B4B6B"/>
      </font>
      <fill>
        <patternFill patternType="solid">
          <bgColor rgb="FFE4EDF5"/>
        </patternFill>
      </fill>
    </dxf>
    <dxf>
      <font>
        <color rgb="FF1B4B6B"/>
      </font>
      <fill>
        <patternFill patternType="solid">
          <bgColor rgb="FFE4EDF5"/>
        </patternFill>
      </fill>
    </dxf>
    <dxf>
      <font>
        <color rgb="FF1B4B6B"/>
      </font>
      <fill>
        <patternFill patternType="solid">
          <bgColor rgb="FFE4EDF5"/>
        </patternFill>
      </fill>
    </dxf>
    <dxf>
      <font>
        <color rgb="FF7A5300"/>
      </font>
      <fill>
        <patternFill patternType="solid">
          <bgColor rgb="FFFDF1D8"/>
        </patternFill>
      </fill>
    </dxf>
    <dxf>
      <font>
        <color rgb="FF5A6672"/>
      </font>
      <fill>
        <patternFill patternType="solid">
          <bgColor rgb="FFEFEFEF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color rgb="FF7A5300"/>
      </font>
      <fill>
        <patternFill patternType="solid">
          <bgColor rgb="FFFDF1D8"/>
        </patternFill>
      </fill>
    </dxf>
    <dxf>
      <font>
        <color rgb="FF5A6672"/>
      </font>
      <fill>
        <patternFill patternType="solid">
          <bgColor rgb="FFEFEFEF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7A5300"/>
      </font>
      <fill>
        <patternFill patternType="solid">
          <bgColor rgb="FFFDF1D8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color rgb="FF7A5300"/>
      </font>
      <fill>
        <patternFill patternType="solid">
          <bgColor rgb="FFFDF1D8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7A5300"/>
      </font>
      <fill>
        <patternFill patternType="solid">
          <bgColor rgb="FFFDF1D8"/>
        </patternFill>
      </fill>
    </dxf>
    <dxf>
      <font>
        <color rgb="FF1B5E33"/>
      </font>
      <fill>
        <patternFill patternType="solid">
          <bgColor rgb="FFDDF0E3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7A5300"/>
      </font>
      <fill>
        <patternFill patternType="solid">
          <bgColor rgb="FFFDF1D8"/>
        </patternFill>
      </fill>
    </dxf>
    <dxf>
      <font>
        <color rgb="FF7A5300"/>
      </font>
      <fill>
        <patternFill patternType="solid">
          <bgColor rgb="FFFDF1D8"/>
        </patternFill>
      </fill>
    </dxf>
    <dxf>
      <font>
        <color rgb="FF1B5E33"/>
      </font>
      <fill>
        <patternFill patternType="solid">
          <bgColor rgb="FFDDF0E3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7A5300"/>
      </font>
      <fill>
        <patternFill patternType="solid">
          <bgColor rgb="FFFDF1D8"/>
        </patternFill>
      </fill>
    </dxf>
    <dxf>
      <font>
        <color rgb="FF1B5E33"/>
      </font>
      <fill>
        <patternFill patternType="solid">
          <bgColor rgb="FFDDF0E3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color rgb="FF7A5300"/>
      </font>
      <fill>
        <patternFill patternType="solid">
          <bgColor rgb="FFFDF1D8"/>
        </patternFill>
      </fill>
    </dxf>
    <dxf>
      <font>
        <color rgb="FF1B5E33"/>
      </font>
      <fill>
        <patternFill patternType="solid">
          <bgColor rgb="FFDDF0E3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color rgb="FF7A5300"/>
      </font>
      <fill>
        <patternFill patternType="solid">
          <bgColor rgb="FFFDF1D8"/>
        </patternFill>
      </fill>
    </dxf>
    <dxf>
      <font>
        <color rgb="FF1B5E33"/>
      </font>
      <fill>
        <patternFill patternType="solid">
          <bgColor rgb="FFDDF0E3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7A5300"/>
      </font>
      <fill>
        <patternFill patternType="solid">
          <bgColor rgb="FFFDF1D8"/>
        </patternFill>
      </fill>
    </dxf>
    <dxf>
      <font>
        <color rgb="FF1B4B6B"/>
      </font>
      <fill>
        <patternFill patternType="solid">
          <bgColor rgb="FFE4EDF5"/>
        </patternFill>
      </fill>
    </dxf>
    <dxf>
      <font>
        <b/>
        <color rgb="FF8E1C1C"/>
      </font>
      <fill>
        <patternFill patternType="solid">
          <bgColor rgb="FFF9DCDC"/>
        </patternFill>
      </fill>
    </dxf>
    <dxf>
      <font>
        <b/>
        <color rgb="FF1B5E33"/>
      </font>
      <fill>
        <patternFill patternType="solid">
          <bgColor rgb="FFDDF0E3"/>
        </patternFill>
      </fill>
    </dxf>
    <dxf>
      <font>
        <color rgb="FF5A6672"/>
      </font>
      <fill>
        <patternFill patternType="solid"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c:chart>
    <c:title>
      <c:tx>
        <c:rich>
          <a:bodyPr/>
          <a:lstStyle/>
          <a:p>
            <a:pPr>
              <a:defRPr sz="1100" b="1">
                <a:solidFill>
                  <a:srgbClr val="17313F"/>
                </a:solidFill>
                <a:latin typeface="Calibri"/>
              </a:defRPr>
            </a:pPr>
            <a:r>
              <a:rPr lang="en-GB" sz="1100" b="1"/>
              <a:t>Status distribution - all 507 implementation work items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Work items</c:v>
          </c:tx>
          <c:spPr>
            <a:solidFill>
              <a:srgbClr val="1D6F8C"/>
            </a:solidFill>
            <a:ln>
              <a:noFill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1F2933"/>
                    </a:solidFill>
                    <a:latin typeface="Calibri"/>
                  </a:defRPr>
                </a:pPr>
                <a:endParaRPr lang="en-GB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'01_Dashboard'!$A$31:$A$43</c:f>
              <c:strCache>
                <c:ptCount val="13"/>
                <c:pt idx="0">
                  <c:v>Not Started</c:v>
                </c:pt>
                <c:pt idx="1">
                  <c:v>In Analysis</c:v>
                </c:pt>
                <c:pt idx="2">
                  <c:v>Ready</c:v>
                </c:pt>
                <c:pt idx="3">
                  <c:v>In Progress</c:v>
                </c:pt>
                <c:pt idx="4">
                  <c:v>Implemented</c:v>
                </c:pt>
                <c:pt idx="5">
                  <c:v>Committed</c:v>
                </c:pt>
                <c:pt idx="6">
                  <c:v>Pushed</c:v>
                </c:pt>
                <c:pt idx="7">
                  <c:v>Testing</c:v>
                </c:pt>
                <c:pt idx="8">
                  <c:v>Tested</c:v>
                </c:pt>
                <c:pt idx="9">
                  <c:v>Reviewed</c:v>
                </c:pt>
                <c:pt idx="10">
                  <c:v>Completed</c:v>
                </c:pt>
                <c:pt idx="11">
                  <c:v>Blocked</c:v>
                </c:pt>
                <c:pt idx="12">
                  <c:v>Cancelled</c:v>
                </c:pt>
              </c:strCache>
            </c:strRef>
          </c:cat>
          <c:val>
            <c:numRef>
              <c:f>'01_Dashboard'!$B$31:$B$43</c:f>
              <c:numCache>
                <c:formatCode>General</c:formatCode>
                <c:ptCount val="13"/>
                <c:pt idx="0">
                  <c:v>496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11</c:v>
                </c:pt>
                <c:pt idx="12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5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C7D0D6"/>
            </a:solidFill>
          </a:ln>
        </c:spPr>
        <c:txPr>
          <a:bodyPr/>
          <a:lstStyle/>
          <a:p>
            <a:pPr>
              <a:defRPr sz="900" b="0">
                <a:solidFill>
                  <a:srgbClr val="1F2933"/>
                </a:solidFill>
                <a:latin typeface="Calibri"/>
              </a:defRPr>
            </a:pPr>
            <a:endParaRPr lang="en-GB"/>
          </a:p>
        </c:txPr>
        <c:crossAx val="222222222"/>
        <c:crosses val="autoZero"/>
        <c:auto val="1"/>
        <c:lblAlgn val="ctr"/>
        <c:lblOffset val="100"/>
        <c:noMultiLvlLbl val="0"/>
      </c:catAx>
      <c:valAx>
        <c:axId val="222222222"/>
        <c:scaling>
          <c:orientation val="minMax"/>
        </c:scaling>
        <c:delete val="0"/>
        <c:axPos val="b"/>
        <c:majorGridlines>
          <c:spPr>
            <a:ln>
              <a:solidFill>
                <a:srgbClr val="E6EBEE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="0">
                <a:solidFill>
                  <a:srgbClr val="1F2933"/>
                </a:solidFill>
                <a:latin typeface="Calibri"/>
              </a:defRPr>
            </a:pPr>
            <a:endParaRPr lang="en-GB"/>
          </a:p>
        </c:txPr>
        <c:crossAx val="11111111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C7D0D6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c:chart>
    <c:title>
      <c:tx>
        <c:rich>
          <a:bodyPr/>
          <a:lstStyle/>
          <a:p>
            <a:pPr>
              <a:defRPr sz="1100" b="1">
                <a:solidFill>
                  <a:srgbClr val="17313F"/>
                </a:solidFill>
                <a:latin typeface="Calibri"/>
              </a:defRPr>
            </a:pPr>
            <a:r>
              <a:rPr lang="en-GB" sz="1100" b="1"/>
              <a:t>Daily progress - planned versus actual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Planned</c:v>
          </c:tx>
          <c:spPr>
            <a:ln w="22225" cap="rnd">
              <a:solidFill>
                <a:srgbClr val="1D6F8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D6F8C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'01_Dashboard'!$A$48:$A$64</c:f>
              <c:strCache>
                <c:ptCount val="17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  <c:pt idx="15">
                  <c:v>Post-MVP</c:v>
                </c:pt>
                <c:pt idx="16">
                  <c:v>TBD</c:v>
                </c:pt>
              </c:strCache>
            </c:strRef>
          </c:cat>
          <c:val>
            <c:numRef>
              <c:f>'01_Dashboard'!$B$48:$B$64</c:f>
              <c:numCache>
                <c:formatCode>General</c:formatCode>
                <c:ptCount val="17"/>
                <c:pt idx="0">
                  <c:v>7</c:v>
                </c:pt>
                <c:pt idx="1">
                  <c:v>10</c:v>
                </c:pt>
                <c:pt idx="2">
                  <c:v>12</c:v>
                </c:pt>
                <c:pt idx="3">
                  <c:v>17</c:v>
                </c:pt>
                <c:pt idx="4">
                  <c:v>22</c:v>
                </c:pt>
                <c:pt idx="5">
                  <c:v>24</c:v>
                </c:pt>
                <c:pt idx="6">
                  <c:v>26</c:v>
                </c:pt>
                <c:pt idx="7">
                  <c:v>23</c:v>
                </c:pt>
                <c:pt idx="8">
                  <c:v>26</c:v>
                </c:pt>
                <c:pt idx="9">
                  <c:v>32</c:v>
                </c:pt>
                <c:pt idx="10">
                  <c:v>25</c:v>
                </c:pt>
                <c:pt idx="11">
                  <c:v>38</c:v>
                </c:pt>
                <c:pt idx="12">
                  <c:v>30</c:v>
                </c:pt>
                <c:pt idx="13">
                  <c:v>26</c:v>
                </c:pt>
                <c:pt idx="14">
                  <c:v>18</c:v>
                </c:pt>
                <c:pt idx="15">
                  <c:v>161</c:v>
                </c:pt>
                <c:pt idx="16">
                  <c:v>10</c:v>
                </c:pt>
              </c:numCache>
            </c:numRef>
          </c:val>
          <c:smooth val="0"/>
        </c:ser>
        <c:ser>
          <c:idx val="1"/>
          <c:order val="1"/>
          <c:tx>
            <c:v>Implemented</c:v>
          </c:tx>
          <c:spPr>
            <a:ln w="22225" cap="rnd">
              <a:solidFill>
                <a:srgbClr val="B5761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5761F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'01_Dashboard'!$A$48:$A$64</c:f>
              <c:strCache>
                <c:ptCount val="17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  <c:pt idx="15">
                  <c:v>Post-MVP</c:v>
                </c:pt>
                <c:pt idx="16">
                  <c:v>TBD</c:v>
                </c:pt>
              </c:strCache>
            </c:strRef>
          </c:cat>
          <c:val>
            <c:numRef>
              <c:f>'01_Dashboard'!$C$48:$C$64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v>Completed</c:v>
          </c:tx>
          <c:spPr>
            <a:ln w="22225" cap="rnd">
              <a:solidFill>
                <a:srgbClr val="2E8B5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E8B57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'01_Dashboard'!$A$48:$A$64</c:f>
              <c:strCache>
                <c:ptCount val="17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  <c:pt idx="15">
                  <c:v>Post-MVP</c:v>
                </c:pt>
                <c:pt idx="16">
                  <c:v>TBD</c:v>
                </c:pt>
              </c:strCache>
            </c:strRef>
          </c:cat>
          <c:val>
            <c:numRef>
              <c:f>'01_Dashboard'!$G$48:$G$64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v>Blocked</c:v>
          </c:tx>
          <c:spPr>
            <a:ln w="22225" cap="rnd">
              <a:solidFill>
                <a:srgbClr val="B0303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03030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'01_Dashboard'!$A$48:$A$64</c:f>
              <c:strCache>
                <c:ptCount val="17"/>
                <c:pt idx="0">
                  <c:v>Day 1</c:v>
                </c:pt>
                <c:pt idx="1">
                  <c:v>Day 2</c:v>
                </c:pt>
                <c:pt idx="2">
                  <c:v>Day 3</c:v>
                </c:pt>
                <c:pt idx="3">
                  <c:v>Day 4</c:v>
                </c:pt>
                <c:pt idx="4">
                  <c:v>Day 5</c:v>
                </c:pt>
                <c:pt idx="5">
                  <c:v>Day 6</c:v>
                </c:pt>
                <c:pt idx="6">
                  <c:v>Day 7</c:v>
                </c:pt>
                <c:pt idx="7">
                  <c:v>Day 8</c:v>
                </c:pt>
                <c:pt idx="8">
                  <c:v>Day 9</c:v>
                </c:pt>
                <c:pt idx="9">
                  <c:v>Day 10</c:v>
                </c:pt>
                <c:pt idx="10">
                  <c:v>Day 11</c:v>
                </c:pt>
                <c:pt idx="11">
                  <c:v>Day 12</c:v>
                </c:pt>
                <c:pt idx="12">
                  <c:v>Day 13</c:v>
                </c:pt>
                <c:pt idx="13">
                  <c:v>Day 14</c:v>
                </c:pt>
                <c:pt idx="14">
                  <c:v>Day 15</c:v>
                </c:pt>
                <c:pt idx="15">
                  <c:v>Post-MVP</c:v>
                </c:pt>
                <c:pt idx="16">
                  <c:v>TBD</c:v>
                </c:pt>
              </c:strCache>
            </c:strRef>
          </c:cat>
          <c:val>
            <c:numRef>
              <c:f>'01_Dashboard'!$I$48:$I$64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</c:numCache>
            </c:numRef>
          </c:val>
          <c:smooth val="0"/>
        </c:ser>
        <c:marker val="1"/>
        <c:axId val="333333333"/>
        <c:axId val="444444444"/>
      </c:lineChart>
      <c:catAx>
        <c:axId val="3333333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C7D0D6"/>
            </a:solidFill>
          </a:ln>
        </c:spPr>
        <c:txPr>
          <a:bodyPr/>
          <a:lstStyle/>
          <a:p>
            <a:pPr>
              <a:defRPr sz="900" b="0">
                <a:solidFill>
                  <a:srgbClr val="1F2933"/>
                </a:solidFill>
                <a:latin typeface="Calibri"/>
              </a:defRPr>
            </a:pPr>
            <a:endParaRPr lang="en-GB"/>
          </a:p>
        </c:txPr>
        <c:crossAx val="444444444"/>
        <c:crosses val="autoZero"/>
        <c:auto val="1"/>
        <c:lblAlgn val="ctr"/>
        <c:lblOffset val="100"/>
        <c:noMultiLvlLbl val="0"/>
      </c:catAx>
      <c:valAx>
        <c:axId val="444444444"/>
        <c:scaling>
          <c:orientation val="minMax"/>
        </c:scaling>
        <c:delete val="0"/>
        <c:axPos val="l"/>
        <c:majorGridlines>
          <c:spPr>
            <a:ln>
              <a:solidFill>
                <a:srgbClr val="E6EBEE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="0">
                <a:solidFill>
                  <a:srgbClr val="1F2933"/>
                </a:solidFill>
                <a:latin typeface="Calibri"/>
              </a:defRPr>
            </a:pPr>
            <a:endParaRPr lang="en-GB"/>
          </a:p>
        </c:txPr>
        <c:crossAx val="333333333"/>
        <c:crosses val="autoZero"/>
        <c:crossBetween val="between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>
      <a:solidFill>
        <a:srgbClr val="C7D0D6"/>
      </a:solidFill>
    </a:ln>
  </c:spPr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19050</xdr:colOff>
      <xdr:row>28</xdr:row>
      <xdr:rowOff>19050</xdr:rowOff>
    </xdr:from>
    <xdr:to>
      <xdr:col>14</xdr:col>
      <xdr:colOff>0</xdr:colOff>
      <xdr:row>45</xdr:row>
      <xdr:rowOff>0</xdr:rowOff>
    </xdr:to>
    <xdr:graphicFrame macro="">
      <xdr:nvGraphicFramePr>
        <xdr:cNvPr id="2" name="Status distributi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19050</xdr:colOff>
      <xdr:row>141</xdr:row>
      <xdr:rowOff>19050</xdr:rowOff>
    </xdr:from>
    <xdr:to>
      <xdr:col>14</xdr:col>
      <xdr:colOff>0</xdr:colOff>
      <xdr:row>163</xdr:row>
      <xdr:rowOff>0</xdr:rowOff>
    </xdr:to>
    <xdr:graphicFrame macro="">
      <xdr:nvGraphicFramePr>
        <xdr:cNvPr id="3" name="Daily progres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A5B1"/>
  </sheetPr>
  <dimension ref="A1:Q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1" width="16" customWidth="1"/>
    <col min="12" max="12" width="19" customWidth="1"/>
    <col min="13" max="13" width="21" customWidth="1"/>
    <col min="14" max="14" width="19" customWidth="1"/>
    <col min="15" max="15" width="16" customWidth="1"/>
    <col min="16" max="16" width="22" customWidth="1"/>
    <col min="17" max="17" width="16" customWidth="1"/>
  </cols>
  <sheetData>
    <row r="1" ht="28" customHeight="1" spans="1:17" x14ac:dyDescent="0.25">
      <c r="A1" s="76" t="s">
        <v>63</v>
      </c>
      <c r="B1" s="76" t="s">
        <v>211</v>
      </c>
      <c r="C1" s="76" t="s">
        <v>120</v>
      </c>
      <c r="D1" s="76" t="s">
        <v>214</v>
      </c>
      <c r="E1" s="76" t="s">
        <v>118</v>
      </c>
      <c r="F1" s="76" t="s">
        <v>3086</v>
      </c>
      <c r="G1" s="76" t="s">
        <v>2475</v>
      </c>
      <c r="H1" s="76" t="s">
        <v>224</v>
      </c>
      <c r="I1" s="76" t="s">
        <v>2480</v>
      </c>
      <c r="J1" s="76" t="s">
        <v>2490</v>
      </c>
      <c r="K1" s="76" t="s">
        <v>3087</v>
      </c>
      <c r="L1" s="76" t="s">
        <v>3088</v>
      </c>
      <c r="M1" s="76" t="s">
        <v>3089</v>
      </c>
      <c r="N1" s="76" t="s">
        <v>2690</v>
      </c>
      <c r="O1" s="76" t="s">
        <v>2848</v>
      </c>
      <c r="P1" s="76" t="s">
        <v>3090</v>
      </c>
      <c r="Q1" s="76" t="s">
        <v>218</v>
      </c>
    </row>
    <row r="2" spans="1:17" x14ac:dyDescent="0.25">
      <c r="A2" s="77" t="s">
        <v>66</v>
      </c>
      <c r="B2" s="77" t="s">
        <v>135</v>
      </c>
      <c r="C2" s="77" t="s">
        <v>123</v>
      </c>
      <c r="D2" s="77" t="s">
        <v>135</v>
      </c>
      <c r="E2" s="77" t="s">
        <v>122</v>
      </c>
      <c r="F2" s="77" t="s">
        <v>273</v>
      </c>
      <c r="G2" s="77" t="s">
        <v>3091</v>
      </c>
      <c r="H2" s="77" t="s">
        <v>113</v>
      </c>
      <c r="I2" s="77" t="s">
        <v>3092</v>
      </c>
      <c r="J2" s="77" t="s">
        <v>107</v>
      </c>
      <c r="K2" s="77" t="s">
        <v>2513</v>
      </c>
      <c r="L2" s="77" t="s">
        <v>2513</v>
      </c>
      <c r="M2" s="77" t="s">
        <v>2695</v>
      </c>
      <c r="N2" s="77" t="s">
        <v>2758</v>
      </c>
      <c r="O2" s="77" t="s">
        <v>112</v>
      </c>
      <c r="P2" s="77" t="s">
        <v>112</v>
      </c>
      <c r="Q2" s="77" t="s">
        <v>80</v>
      </c>
    </row>
    <row r="3" spans="1:17" x14ac:dyDescent="0.25">
      <c r="A3" s="77" t="s">
        <v>67</v>
      </c>
      <c r="B3" s="77" t="s">
        <v>289</v>
      </c>
      <c r="C3" s="77" t="s">
        <v>126</v>
      </c>
      <c r="D3" s="77" t="s">
        <v>307</v>
      </c>
      <c r="E3" s="77" t="s">
        <v>125</v>
      </c>
      <c r="F3" s="77" t="s">
        <v>234</v>
      </c>
      <c r="G3" s="77" t="s">
        <v>71</v>
      </c>
      <c r="H3" s="77" t="s">
        <v>3093</v>
      </c>
      <c r="I3" s="77" t="s">
        <v>295</v>
      </c>
      <c r="J3" s="77" t="s">
        <v>109</v>
      </c>
      <c r="K3" s="77" t="s">
        <v>30</v>
      </c>
      <c r="L3" s="77" t="s">
        <v>3094</v>
      </c>
      <c r="M3" s="77" t="s">
        <v>68</v>
      </c>
      <c r="N3" s="77" t="s">
        <v>2813</v>
      </c>
      <c r="O3" s="77" t="s">
        <v>110</v>
      </c>
      <c r="P3" s="77" t="s">
        <v>110</v>
      </c>
      <c r="Q3" s="77" t="s">
        <v>81</v>
      </c>
    </row>
    <row r="4" spans="1:17" x14ac:dyDescent="0.25">
      <c r="A4" s="77" t="s">
        <v>68</v>
      </c>
      <c r="B4" s="77" t="s">
        <v>123</v>
      </c>
      <c r="C4" s="77" t="s">
        <v>128</v>
      </c>
      <c r="D4" s="77" t="s">
        <v>246</v>
      </c>
      <c r="E4" s="77" t="s">
        <v>127</v>
      </c>
      <c r="F4" s="77" t="s">
        <v>3095</v>
      </c>
      <c r="G4" s="77" t="s">
        <v>108</v>
      </c>
      <c r="H4" s="77" t="s">
        <v>3096</v>
      </c>
      <c r="I4" s="77" t="s">
        <v>131</v>
      </c>
      <c r="J4" s="77" t="s">
        <v>110</v>
      </c>
      <c r="K4" s="77" t="s">
        <v>2495</v>
      </c>
      <c r="L4" s="77" t="s">
        <v>3097</v>
      </c>
      <c r="M4" s="77" t="s">
        <v>31</v>
      </c>
      <c r="N4" s="77" t="s">
        <v>2799</v>
      </c>
      <c r="O4" s="77" t="s">
        <v>109</v>
      </c>
      <c r="P4" s="77" t="s">
        <v>109</v>
      </c>
      <c r="Q4" s="77" t="s">
        <v>82</v>
      </c>
    </row>
    <row r="5" spans="1:17" x14ac:dyDescent="0.25">
      <c r="A5" s="77" t="s">
        <v>30</v>
      </c>
      <c r="B5" s="77" t="s">
        <v>124</v>
      </c>
      <c r="C5" s="77" t="s">
        <v>130</v>
      </c>
      <c r="D5" s="77" t="s">
        <v>342</v>
      </c>
      <c r="G5" s="77" t="s">
        <v>3098</v>
      </c>
      <c r="H5" s="77" t="s">
        <v>31</v>
      </c>
      <c r="I5" s="77" t="s">
        <v>135</v>
      </c>
      <c r="J5" s="77" t="s">
        <v>112</v>
      </c>
      <c r="K5" s="77" t="s">
        <v>3099</v>
      </c>
      <c r="M5" s="77" t="s">
        <v>3100</v>
      </c>
      <c r="N5" s="77" t="s">
        <v>2825</v>
      </c>
      <c r="O5" s="77" t="s">
        <v>107</v>
      </c>
      <c r="Q5" s="77" t="s">
        <v>83</v>
      </c>
    </row>
    <row r="6" spans="1:17" x14ac:dyDescent="0.25">
      <c r="A6" s="77" t="s">
        <v>69</v>
      </c>
      <c r="B6" s="77" t="s">
        <v>131</v>
      </c>
      <c r="C6" s="77" t="s">
        <v>131</v>
      </c>
      <c r="D6" s="77" t="s">
        <v>495</v>
      </c>
      <c r="H6" s="77" t="s">
        <v>111</v>
      </c>
      <c r="I6" s="77" t="s">
        <v>3101</v>
      </c>
      <c r="K6" s="77" t="s">
        <v>3102</v>
      </c>
      <c r="N6" s="77" t="s">
        <v>2693</v>
      </c>
      <c r="Q6" s="77" t="s">
        <v>84</v>
      </c>
    </row>
    <row r="7" spans="1:17" x14ac:dyDescent="0.25">
      <c r="A7" s="77" t="s">
        <v>70</v>
      </c>
      <c r="B7" s="77" t="s">
        <v>398</v>
      </c>
      <c r="C7" s="77" t="s">
        <v>3103</v>
      </c>
      <c r="D7" s="77" t="s">
        <v>513</v>
      </c>
      <c r="I7" s="77" t="s">
        <v>3104</v>
      </c>
      <c r="K7" s="77" t="s">
        <v>3105</v>
      </c>
      <c r="N7" s="77" t="s">
        <v>2835</v>
      </c>
      <c r="Q7" s="77" t="s">
        <v>85</v>
      </c>
    </row>
    <row r="8" spans="1:17" x14ac:dyDescent="0.25">
      <c r="A8" s="77" t="s">
        <v>71</v>
      </c>
      <c r="B8" s="77" t="s">
        <v>133</v>
      </c>
      <c r="C8" s="77" t="s">
        <v>2835</v>
      </c>
      <c r="D8" s="77" t="s">
        <v>298</v>
      </c>
      <c r="I8" s="77" t="s">
        <v>3106</v>
      </c>
      <c r="K8" s="77" t="s">
        <v>3097</v>
      </c>
      <c r="N8" s="77" t="s">
        <v>495</v>
      </c>
      <c r="Q8" s="77" t="s">
        <v>86</v>
      </c>
    </row>
    <row r="9" spans="1:17" x14ac:dyDescent="0.25">
      <c r="A9" s="77" t="s">
        <v>56</v>
      </c>
      <c r="B9" s="77" t="s">
        <v>129</v>
      </c>
      <c r="C9" s="77" t="s">
        <v>132</v>
      </c>
      <c r="D9" s="77" t="s">
        <v>469</v>
      </c>
      <c r="I9" s="77" t="s">
        <v>129</v>
      </c>
      <c r="N9" s="77" t="s">
        <v>2829</v>
      </c>
      <c r="Q9" s="77" t="s">
        <v>87</v>
      </c>
    </row>
    <row r="10" spans="1:17" x14ac:dyDescent="0.25">
      <c r="A10" s="77" t="s">
        <v>72</v>
      </c>
      <c r="B10" s="77" t="s">
        <v>1179</v>
      </c>
      <c r="D10" s="77" t="s">
        <v>325</v>
      </c>
      <c r="I10" s="77" t="s">
        <v>1179</v>
      </c>
      <c r="Q10" s="77" t="s">
        <v>88</v>
      </c>
    </row>
    <row r="11" spans="1:17" x14ac:dyDescent="0.25">
      <c r="A11" s="77" t="s">
        <v>73</v>
      </c>
      <c r="B11" s="77" t="s">
        <v>1390</v>
      </c>
      <c r="D11" s="77" t="s">
        <v>364</v>
      </c>
      <c r="I11" s="77" t="s">
        <v>1390</v>
      </c>
      <c r="Q11" s="77" t="s">
        <v>89</v>
      </c>
    </row>
    <row r="12" spans="1:17" x14ac:dyDescent="0.25">
      <c r="A12" s="77" t="s">
        <v>28</v>
      </c>
      <c r="B12" s="77" t="s">
        <v>1531</v>
      </c>
      <c r="D12" s="77" t="s">
        <v>522</v>
      </c>
      <c r="I12" s="77" t="s">
        <v>3107</v>
      </c>
      <c r="Q12" s="77" t="s">
        <v>90</v>
      </c>
    </row>
    <row r="13" spans="1:17" x14ac:dyDescent="0.25">
      <c r="A13" s="77" t="s">
        <v>31</v>
      </c>
      <c r="B13" s="77" t="s">
        <v>584</v>
      </c>
      <c r="D13" s="77" t="s">
        <v>455</v>
      </c>
      <c r="Q13" s="77" t="s">
        <v>91</v>
      </c>
    </row>
    <row r="14" spans="1:17" x14ac:dyDescent="0.25">
      <c r="A14" s="77" t="s">
        <v>74</v>
      </c>
      <c r="B14" s="77" t="s">
        <v>56</v>
      </c>
      <c r="D14" s="77" t="s">
        <v>378</v>
      </c>
      <c r="Q14" s="77" t="s">
        <v>92</v>
      </c>
    </row>
    <row r="15" spans="2:17" x14ac:dyDescent="0.25">
      <c r="B15" s="77" t="s">
        <v>136</v>
      </c>
      <c r="D15" s="77" t="s">
        <v>351</v>
      </c>
      <c r="Q15" s="77" t="s">
        <v>93</v>
      </c>
    </row>
    <row r="16" spans="2:17" x14ac:dyDescent="0.25">
      <c r="B16" s="77" t="s">
        <v>134</v>
      </c>
      <c r="D16" s="77" t="s">
        <v>584</v>
      </c>
      <c r="Q16" s="77" t="s">
        <v>94</v>
      </c>
    </row>
    <row r="17" spans="2:17" x14ac:dyDescent="0.25">
      <c r="B17" s="77" t="s">
        <v>3108</v>
      </c>
      <c r="D17" s="77" t="s">
        <v>401</v>
      </c>
      <c r="Q17" s="77" t="s">
        <v>95</v>
      </c>
    </row>
    <row r="18" spans="2:17" x14ac:dyDescent="0.25">
      <c r="B18" s="77" t="s">
        <v>295</v>
      </c>
      <c r="D18" s="77" t="s">
        <v>436</v>
      </c>
      <c r="Q18" s="77" t="s">
        <v>97</v>
      </c>
    </row>
    <row r="19" spans="2:4" x14ac:dyDescent="0.25">
      <c r="B19" s="77" t="s">
        <v>229</v>
      </c>
      <c r="D19" s="77" t="s">
        <v>414</v>
      </c>
    </row>
    <row r="20" spans="4:4" x14ac:dyDescent="0.25">
      <c r="D20" s="77" t="s">
        <v>3109</v>
      </c>
    </row>
    <row r="21" spans="4:4" x14ac:dyDescent="0.25">
      <c r="D21" s="77" t="s">
        <v>3110</v>
      </c>
    </row>
    <row r="22" spans="4:4" x14ac:dyDescent="0.25">
      <c r="D22" s="77" t="s">
        <v>1791</v>
      </c>
    </row>
    <row r="23" spans="4:4" x14ac:dyDescent="0.25">
      <c r="D23" s="77" t="s">
        <v>1870</v>
      </c>
    </row>
    <row r="24" spans="4:4" x14ac:dyDescent="0.25">
      <c r="D24" s="77" t="s">
        <v>2006</v>
      </c>
    </row>
    <row r="25" spans="4:4" x14ac:dyDescent="0.25">
      <c r="D25" s="77" t="s">
        <v>3111</v>
      </c>
    </row>
    <row r="26" spans="4:4" x14ac:dyDescent="0.25">
      <c r="D26" s="77" t="s">
        <v>3112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6F8C"/>
  </sheetPr>
  <dimension ref="A1:AC511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30" customWidth="1"/>
    <col min="3" max="3" width="34" customWidth="1"/>
    <col min="4" max="4" width="20" customWidth="1"/>
    <col min="5" max="5" width="14" customWidth="1"/>
    <col min="6" max="7" width="58" customWidth="1"/>
    <col min="8" max="8" width="15" customWidth="1"/>
    <col min="9" max="9" width="14" customWidth="1"/>
    <col min="10" max="10" width="30" customWidth="1"/>
    <col min="11" max="11" width="16" customWidth="1"/>
    <col min="13" max="13" width="26" customWidth="1"/>
    <col min="14" max="14" width="12" customWidth="1"/>
    <col min="15" max="15" width="11" customWidth="1"/>
    <col min="16" max="16" width="16" customWidth="1"/>
    <col min="17" max="17" width="14" customWidth="1"/>
    <col min="18" max="18" width="13" customWidth="1"/>
    <col min="19" max="19" width="12" customWidth="1"/>
    <col min="20" max="21" width="10" customWidth="1"/>
    <col min="22" max="22" width="11" customWidth="1"/>
    <col min="23" max="24" width="10" customWidth="1"/>
    <col min="25" max="26" width="16" customWidth="1"/>
    <col min="27" max="27" width="15" customWidth="1"/>
    <col min="28" max="28" width="60" customWidth="1"/>
    <col min="29" max="29" width="14" customWidth="1"/>
  </cols>
  <sheetData>
    <row r="1" ht="26" customHeight="1" spans="1:29" x14ac:dyDescent="0.25">
      <c r="A1" s="33" t="s">
        <v>205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</row>
    <row r="2" ht="18" customHeight="1" spans="1:29" x14ac:dyDescent="0.25">
      <c r="A2" s="34" t="s">
        <v>206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ht="16" customHeight="1" spans="1:29" x14ac:dyDescent="0.25">
      <c r="A3" s="35" t="s">
        <v>207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6" t="s">
        <v>208</v>
      </c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</row>
    <row r="4" ht="34" customHeight="1" spans="1:29" x14ac:dyDescent="0.25">
      <c r="A4" s="37" t="s">
        <v>209</v>
      </c>
      <c r="B4" s="37" t="s">
        <v>139</v>
      </c>
      <c r="C4" s="37" t="s">
        <v>138</v>
      </c>
      <c r="D4" s="37" t="s">
        <v>210</v>
      </c>
      <c r="E4" s="37" t="s">
        <v>211</v>
      </c>
      <c r="F4" s="37" t="s">
        <v>212</v>
      </c>
      <c r="G4" s="37" t="s">
        <v>213</v>
      </c>
      <c r="H4" s="37" t="s">
        <v>120</v>
      </c>
      <c r="I4" s="37" t="s">
        <v>214</v>
      </c>
      <c r="J4" s="37" t="s">
        <v>215</v>
      </c>
      <c r="K4" s="37" t="s">
        <v>216</v>
      </c>
      <c r="L4" s="37" t="s">
        <v>118</v>
      </c>
      <c r="M4" s="37" t="s">
        <v>217</v>
      </c>
      <c r="N4" s="37" t="s">
        <v>218</v>
      </c>
      <c r="O4" s="37" t="s">
        <v>219</v>
      </c>
      <c r="P4" s="37" t="s">
        <v>220</v>
      </c>
      <c r="Q4" s="37" t="s">
        <v>63</v>
      </c>
      <c r="R4" s="37" t="s">
        <v>69</v>
      </c>
      <c r="S4" s="37" t="s">
        <v>70</v>
      </c>
      <c r="T4" s="37" t="s">
        <v>71</v>
      </c>
      <c r="U4" s="37" t="s">
        <v>72</v>
      </c>
      <c r="V4" s="37" t="s">
        <v>73</v>
      </c>
      <c r="W4" s="37" t="s">
        <v>31</v>
      </c>
      <c r="X4" s="37" t="s">
        <v>221</v>
      </c>
      <c r="Y4" s="37" t="s">
        <v>222</v>
      </c>
      <c r="Z4" s="37" t="s">
        <v>223</v>
      </c>
      <c r="AA4" s="37" t="s">
        <v>224</v>
      </c>
      <c r="AB4" s="37" t="s">
        <v>225</v>
      </c>
      <c r="AC4" s="37" t="s">
        <v>226</v>
      </c>
    </row>
    <row r="5" spans="1:29" x14ac:dyDescent="0.25">
      <c r="A5" s="38" t="s">
        <v>227</v>
      </c>
      <c r="B5" s="39" t="s">
        <v>145</v>
      </c>
      <c r="C5" s="39" t="s">
        <v>144</v>
      </c>
      <c r="D5" s="40" t="s">
        <v>228</v>
      </c>
      <c r="E5" s="40" t="s">
        <v>229</v>
      </c>
      <c r="F5" s="39" t="s">
        <v>230</v>
      </c>
      <c r="G5" s="39" t="s">
        <v>231</v>
      </c>
      <c r="H5" s="40" t="s">
        <v>123</v>
      </c>
      <c r="I5" s="40" t="s">
        <v>135</v>
      </c>
      <c r="J5" s="39" t="s">
        <v>232</v>
      </c>
      <c r="K5" s="40" t="s">
        <v>233</v>
      </c>
      <c r="L5" s="41" t="s">
        <v>122</v>
      </c>
      <c r="M5" s="39" t="s">
        <v>233</v>
      </c>
      <c r="N5" s="41" t="s">
        <v>80</v>
      </c>
      <c r="O5" s="42">
        <v>6</v>
      </c>
      <c r="P5" s="41" t="s">
        <v>46</v>
      </c>
      <c r="Q5" s="41" t="s">
        <v>66</v>
      </c>
      <c r="R5" s="41" t="s">
        <v>234</v>
      </c>
      <c r="S5" s="41" t="s">
        <v>234</v>
      </c>
      <c r="T5" s="41" t="s">
        <v>234</v>
      </c>
      <c r="U5" s="41" t="s">
        <v>234</v>
      </c>
      <c r="V5" s="41" t="s">
        <v>234</v>
      </c>
      <c r="W5" s="41" t="s">
        <v>234</v>
      </c>
      <c r="X5" s="43">
        <v>0</v>
      </c>
      <c r="Y5" s="41" t="s">
        <v>97</v>
      </c>
      <c r="Z5" s="41" t="s">
        <v>97</v>
      </c>
      <c r="AA5" s="41" t="s">
        <v>113</v>
      </c>
      <c r="AB5" s="39" t="s">
        <v>46</v>
      </c>
      <c r="AC5" s="44" t="s">
        <v>46</v>
      </c>
    </row>
    <row r="6" spans="1:29" x14ac:dyDescent="0.25">
      <c r="A6" s="45" t="s">
        <v>235</v>
      </c>
      <c r="B6" s="46" t="s">
        <v>145</v>
      </c>
      <c r="C6" s="46" t="s">
        <v>144</v>
      </c>
      <c r="D6" s="47" t="s">
        <v>228</v>
      </c>
      <c r="E6" s="47" t="s">
        <v>229</v>
      </c>
      <c r="F6" s="46" t="s">
        <v>236</v>
      </c>
      <c r="G6" s="46" t="s">
        <v>237</v>
      </c>
      <c r="H6" s="47" t="s">
        <v>123</v>
      </c>
      <c r="I6" s="47" t="s">
        <v>135</v>
      </c>
      <c r="J6" s="46" t="s">
        <v>238</v>
      </c>
      <c r="K6" s="47" t="s">
        <v>233</v>
      </c>
      <c r="L6" s="48" t="s">
        <v>122</v>
      </c>
      <c r="M6" s="46" t="s">
        <v>233</v>
      </c>
      <c r="N6" s="48" t="s">
        <v>80</v>
      </c>
      <c r="O6" s="49">
        <v>6</v>
      </c>
      <c r="P6" s="48" t="s">
        <v>46</v>
      </c>
      <c r="Q6" s="41" t="s">
        <v>66</v>
      </c>
      <c r="R6" s="41" t="s">
        <v>234</v>
      </c>
      <c r="S6" s="41" t="s">
        <v>234</v>
      </c>
      <c r="T6" s="41" t="s">
        <v>234</v>
      </c>
      <c r="U6" s="41" t="s">
        <v>234</v>
      </c>
      <c r="V6" s="41" t="s">
        <v>234</v>
      </c>
      <c r="W6" s="41" t="s">
        <v>234</v>
      </c>
      <c r="X6" s="43">
        <v>0</v>
      </c>
      <c r="Y6" s="41" t="s">
        <v>97</v>
      </c>
      <c r="Z6" s="41" t="s">
        <v>97</v>
      </c>
      <c r="AA6" s="41" t="s">
        <v>113</v>
      </c>
      <c r="AB6" s="39" t="s">
        <v>46</v>
      </c>
      <c r="AC6" s="44" t="s">
        <v>46</v>
      </c>
    </row>
    <row r="7" spans="1:29" x14ac:dyDescent="0.25">
      <c r="A7" s="38" t="s">
        <v>239</v>
      </c>
      <c r="B7" s="39" t="s">
        <v>145</v>
      </c>
      <c r="C7" s="39" t="s">
        <v>144</v>
      </c>
      <c r="D7" s="40" t="s">
        <v>228</v>
      </c>
      <c r="E7" s="40" t="s">
        <v>136</v>
      </c>
      <c r="F7" s="39" t="s">
        <v>240</v>
      </c>
      <c r="G7" s="39" t="s">
        <v>241</v>
      </c>
      <c r="H7" s="40" t="s">
        <v>123</v>
      </c>
      <c r="I7" s="40" t="s">
        <v>135</v>
      </c>
      <c r="J7" s="39" t="s">
        <v>242</v>
      </c>
      <c r="K7" s="40" t="s">
        <v>233</v>
      </c>
      <c r="L7" s="41" t="s">
        <v>122</v>
      </c>
      <c r="M7" s="39" t="s">
        <v>233</v>
      </c>
      <c r="N7" s="41" t="s">
        <v>81</v>
      </c>
      <c r="O7" s="42">
        <v>8</v>
      </c>
      <c r="P7" s="41" t="s">
        <v>46</v>
      </c>
      <c r="Q7" s="41" t="s">
        <v>66</v>
      </c>
      <c r="R7" s="41" t="s">
        <v>234</v>
      </c>
      <c r="S7" s="41" t="s">
        <v>234</v>
      </c>
      <c r="T7" s="41" t="s">
        <v>234</v>
      </c>
      <c r="U7" s="41" t="s">
        <v>234</v>
      </c>
      <c r="V7" s="41" t="s">
        <v>234</v>
      </c>
      <c r="W7" s="41" t="s">
        <v>234</v>
      </c>
      <c r="X7" s="43">
        <v>0</v>
      </c>
      <c r="Y7" s="41" t="s">
        <v>97</v>
      </c>
      <c r="Z7" s="41" t="s">
        <v>97</v>
      </c>
      <c r="AA7" s="41" t="s">
        <v>113</v>
      </c>
      <c r="AB7" s="39" t="s">
        <v>46</v>
      </c>
      <c r="AC7" s="44" t="s">
        <v>46</v>
      </c>
    </row>
    <row r="8" spans="1:29" x14ac:dyDescent="0.25">
      <c r="A8" s="45" t="s">
        <v>243</v>
      </c>
      <c r="B8" s="46" t="s">
        <v>145</v>
      </c>
      <c r="C8" s="46" t="s">
        <v>144</v>
      </c>
      <c r="D8" s="47" t="s">
        <v>228</v>
      </c>
      <c r="E8" s="47" t="s">
        <v>123</v>
      </c>
      <c r="F8" s="46" t="s">
        <v>244</v>
      </c>
      <c r="G8" s="46" t="s">
        <v>245</v>
      </c>
      <c r="H8" s="47" t="s">
        <v>123</v>
      </c>
      <c r="I8" s="47" t="s">
        <v>246</v>
      </c>
      <c r="J8" s="46" t="s">
        <v>247</v>
      </c>
      <c r="K8" s="47" t="s">
        <v>233</v>
      </c>
      <c r="L8" s="48" t="s">
        <v>122</v>
      </c>
      <c r="M8" s="46" t="s">
        <v>233</v>
      </c>
      <c r="N8" s="48" t="s">
        <v>80</v>
      </c>
      <c r="O8" s="49">
        <v>6</v>
      </c>
      <c r="P8" s="48" t="s">
        <v>46</v>
      </c>
      <c r="Q8" s="41" t="s">
        <v>66</v>
      </c>
      <c r="R8" s="41" t="s">
        <v>234</v>
      </c>
      <c r="S8" s="41" t="s">
        <v>234</v>
      </c>
      <c r="T8" s="41" t="s">
        <v>234</v>
      </c>
      <c r="U8" s="41" t="s">
        <v>234</v>
      </c>
      <c r="V8" s="41" t="s">
        <v>234</v>
      </c>
      <c r="W8" s="41" t="s">
        <v>234</v>
      </c>
      <c r="X8" s="43">
        <v>0</v>
      </c>
      <c r="Y8" s="41" t="s">
        <v>97</v>
      </c>
      <c r="Z8" s="41" t="s">
        <v>97</v>
      </c>
      <c r="AA8" s="41" t="s">
        <v>113</v>
      </c>
      <c r="AB8" s="39" t="s">
        <v>46</v>
      </c>
      <c r="AC8" s="44" t="s">
        <v>46</v>
      </c>
    </row>
    <row r="9" spans="1:29" x14ac:dyDescent="0.25">
      <c r="A9" s="38" t="s">
        <v>248</v>
      </c>
      <c r="B9" s="39" t="s">
        <v>145</v>
      </c>
      <c r="C9" s="39" t="s">
        <v>144</v>
      </c>
      <c r="D9" s="40" t="s">
        <v>228</v>
      </c>
      <c r="E9" s="40" t="s">
        <v>123</v>
      </c>
      <c r="F9" s="39" t="s">
        <v>249</v>
      </c>
      <c r="G9" s="39" t="s">
        <v>250</v>
      </c>
      <c r="H9" s="40" t="s">
        <v>123</v>
      </c>
      <c r="I9" s="40" t="s">
        <v>246</v>
      </c>
      <c r="J9" s="39" t="s">
        <v>251</v>
      </c>
      <c r="K9" s="40" t="s">
        <v>233</v>
      </c>
      <c r="L9" s="41" t="s">
        <v>122</v>
      </c>
      <c r="M9" s="39" t="s">
        <v>233</v>
      </c>
      <c r="N9" s="41" t="s">
        <v>80</v>
      </c>
      <c r="O9" s="42">
        <v>6</v>
      </c>
      <c r="P9" s="41" t="s">
        <v>46</v>
      </c>
      <c r="Q9" s="41" t="s">
        <v>66</v>
      </c>
      <c r="R9" s="41" t="s">
        <v>234</v>
      </c>
      <c r="S9" s="41" t="s">
        <v>234</v>
      </c>
      <c r="T9" s="41" t="s">
        <v>234</v>
      </c>
      <c r="U9" s="41" t="s">
        <v>234</v>
      </c>
      <c r="V9" s="41" t="s">
        <v>234</v>
      </c>
      <c r="W9" s="41" t="s">
        <v>234</v>
      </c>
      <c r="X9" s="43">
        <v>0</v>
      </c>
      <c r="Y9" s="41" t="s">
        <v>97</v>
      </c>
      <c r="Z9" s="41" t="s">
        <v>97</v>
      </c>
      <c r="AA9" s="41" t="s">
        <v>113</v>
      </c>
      <c r="AB9" s="39" t="s">
        <v>46</v>
      </c>
      <c r="AC9" s="44" t="s">
        <v>46</v>
      </c>
    </row>
    <row r="10" spans="1:29" x14ac:dyDescent="0.25">
      <c r="A10" s="45" t="s">
        <v>252</v>
      </c>
      <c r="B10" s="46" t="s">
        <v>145</v>
      </c>
      <c r="C10" s="46" t="s">
        <v>144</v>
      </c>
      <c r="D10" s="47" t="s">
        <v>228</v>
      </c>
      <c r="E10" s="47" t="s">
        <v>229</v>
      </c>
      <c r="F10" s="46" t="s">
        <v>253</v>
      </c>
      <c r="G10" s="46" t="s">
        <v>254</v>
      </c>
      <c r="H10" s="47" t="s">
        <v>123</v>
      </c>
      <c r="I10" s="47" t="s">
        <v>135</v>
      </c>
      <c r="J10" s="46" t="s">
        <v>255</v>
      </c>
      <c r="K10" s="47" t="s">
        <v>233</v>
      </c>
      <c r="L10" s="48" t="s">
        <v>122</v>
      </c>
      <c r="M10" s="46" t="s">
        <v>233</v>
      </c>
      <c r="N10" s="48" t="s">
        <v>81</v>
      </c>
      <c r="O10" s="49">
        <v>6</v>
      </c>
      <c r="P10" s="48" t="s">
        <v>46</v>
      </c>
      <c r="Q10" s="41" t="s">
        <v>66</v>
      </c>
      <c r="R10" s="41" t="s">
        <v>234</v>
      </c>
      <c r="S10" s="41" t="s">
        <v>234</v>
      </c>
      <c r="T10" s="41" t="s">
        <v>234</v>
      </c>
      <c r="U10" s="41" t="s">
        <v>234</v>
      </c>
      <c r="V10" s="41" t="s">
        <v>234</v>
      </c>
      <c r="W10" s="41" t="s">
        <v>234</v>
      </c>
      <c r="X10" s="43">
        <v>0</v>
      </c>
      <c r="Y10" s="41" t="s">
        <v>97</v>
      </c>
      <c r="Z10" s="41" t="s">
        <v>97</v>
      </c>
      <c r="AA10" s="41" t="s">
        <v>113</v>
      </c>
      <c r="AB10" s="39" t="s">
        <v>46</v>
      </c>
      <c r="AC10" s="44" t="s">
        <v>46</v>
      </c>
    </row>
    <row r="11" spans="1:29" x14ac:dyDescent="0.25">
      <c r="A11" s="38" t="s">
        <v>256</v>
      </c>
      <c r="B11" s="39" t="s">
        <v>145</v>
      </c>
      <c r="C11" s="39" t="s">
        <v>144</v>
      </c>
      <c r="D11" s="40" t="s">
        <v>228</v>
      </c>
      <c r="E11" s="40" t="s">
        <v>123</v>
      </c>
      <c r="F11" s="39" t="s">
        <v>257</v>
      </c>
      <c r="G11" s="39" t="s">
        <v>258</v>
      </c>
      <c r="H11" s="40" t="s">
        <v>123</v>
      </c>
      <c r="I11" s="40" t="s">
        <v>246</v>
      </c>
      <c r="J11" s="39" t="s">
        <v>259</v>
      </c>
      <c r="K11" s="40" t="s">
        <v>233</v>
      </c>
      <c r="L11" s="41" t="s">
        <v>122</v>
      </c>
      <c r="M11" s="39" t="s">
        <v>233</v>
      </c>
      <c r="N11" s="41" t="s">
        <v>81</v>
      </c>
      <c r="O11" s="42">
        <v>6</v>
      </c>
      <c r="P11" s="41" t="s">
        <v>46</v>
      </c>
      <c r="Q11" s="41" t="s">
        <v>66</v>
      </c>
      <c r="R11" s="41" t="s">
        <v>234</v>
      </c>
      <c r="S11" s="41" t="s">
        <v>234</v>
      </c>
      <c r="T11" s="41" t="s">
        <v>234</v>
      </c>
      <c r="U11" s="41" t="s">
        <v>234</v>
      </c>
      <c r="V11" s="41" t="s">
        <v>234</v>
      </c>
      <c r="W11" s="41" t="s">
        <v>234</v>
      </c>
      <c r="X11" s="43">
        <v>0</v>
      </c>
      <c r="Y11" s="41" t="s">
        <v>97</v>
      </c>
      <c r="Z11" s="41" t="s">
        <v>97</v>
      </c>
      <c r="AA11" s="41" t="s">
        <v>113</v>
      </c>
      <c r="AB11" s="39" t="s">
        <v>46</v>
      </c>
      <c r="AC11" s="44" t="s">
        <v>46</v>
      </c>
    </row>
    <row r="12" spans="1:29" x14ac:dyDescent="0.25">
      <c r="A12" s="45" t="s">
        <v>260</v>
      </c>
      <c r="B12" s="46" t="s">
        <v>145</v>
      </c>
      <c r="C12" s="46" t="s">
        <v>144</v>
      </c>
      <c r="D12" s="47" t="s">
        <v>228</v>
      </c>
      <c r="E12" s="47" t="s">
        <v>136</v>
      </c>
      <c r="F12" s="46" t="s">
        <v>261</v>
      </c>
      <c r="G12" s="46" t="s">
        <v>262</v>
      </c>
      <c r="H12" s="47" t="s">
        <v>123</v>
      </c>
      <c r="I12" s="47" t="s">
        <v>135</v>
      </c>
      <c r="J12" s="46" t="s">
        <v>263</v>
      </c>
      <c r="K12" s="47" t="s">
        <v>233</v>
      </c>
      <c r="L12" s="48" t="s">
        <v>122</v>
      </c>
      <c r="M12" s="46" t="s">
        <v>233</v>
      </c>
      <c r="N12" s="48" t="s">
        <v>81</v>
      </c>
      <c r="O12" s="49">
        <v>6</v>
      </c>
      <c r="P12" s="48" t="s">
        <v>46</v>
      </c>
      <c r="Q12" s="41" t="s">
        <v>66</v>
      </c>
      <c r="R12" s="41" t="s">
        <v>234</v>
      </c>
      <c r="S12" s="41" t="s">
        <v>234</v>
      </c>
      <c r="T12" s="41" t="s">
        <v>234</v>
      </c>
      <c r="U12" s="41" t="s">
        <v>234</v>
      </c>
      <c r="V12" s="41" t="s">
        <v>234</v>
      </c>
      <c r="W12" s="41" t="s">
        <v>234</v>
      </c>
      <c r="X12" s="43">
        <v>0</v>
      </c>
      <c r="Y12" s="41" t="s">
        <v>97</v>
      </c>
      <c r="Z12" s="41" t="s">
        <v>97</v>
      </c>
      <c r="AA12" s="41" t="s">
        <v>113</v>
      </c>
      <c r="AB12" s="39" t="s">
        <v>46</v>
      </c>
      <c r="AC12" s="44" t="s">
        <v>46</v>
      </c>
    </row>
    <row r="13" spans="1:29" x14ac:dyDescent="0.25">
      <c r="A13" s="38" t="s">
        <v>264</v>
      </c>
      <c r="B13" s="39" t="s">
        <v>145</v>
      </c>
      <c r="C13" s="39" t="s">
        <v>144</v>
      </c>
      <c r="D13" s="40" t="s">
        <v>228</v>
      </c>
      <c r="E13" s="40" t="s">
        <v>56</v>
      </c>
      <c r="F13" s="39" t="s">
        <v>265</v>
      </c>
      <c r="G13" s="39" t="s">
        <v>266</v>
      </c>
      <c r="H13" s="40" t="s">
        <v>123</v>
      </c>
      <c r="I13" s="40" t="s">
        <v>135</v>
      </c>
      <c r="J13" s="39" t="s">
        <v>267</v>
      </c>
      <c r="K13" s="40" t="s">
        <v>233</v>
      </c>
      <c r="L13" s="41" t="s">
        <v>122</v>
      </c>
      <c r="M13" s="39" t="s">
        <v>233</v>
      </c>
      <c r="N13" s="41" t="s">
        <v>82</v>
      </c>
      <c r="O13" s="42">
        <v>8</v>
      </c>
      <c r="P13" s="41" t="s">
        <v>46</v>
      </c>
      <c r="Q13" s="41" t="s">
        <v>66</v>
      </c>
      <c r="R13" s="41" t="s">
        <v>234</v>
      </c>
      <c r="S13" s="41" t="s">
        <v>234</v>
      </c>
      <c r="T13" s="41" t="s">
        <v>234</v>
      </c>
      <c r="U13" s="41" t="s">
        <v>234</v>
      </c>
      <c r="V13" s="41" t="s">
        <v>234</v>
      </c>
      <c r="W13" s="41" t="s">
        <v>234</v>
      </c>
      <c r="X13" s="43">
        <v>0</v>
      </c>
      <c r="Y13" s="41" t="s">
        <v>97</v>
      </c>
      <c r="Z13" s="41" t="s">
        <v>97</v>
      </c>
      <c r="AA13" s="41" t="s">
        <v>113</v>
      </c>
      <c r="AB13" s="39" t="s">
        <v>46</v>
      </c>
      <c r="AC13" s="44" t="s">
        <v>46</v>
      </c>
    </row>
    <row r="14" spans="1:29" x14ac:dyDescent="0.25">
      <c r="A14" s="45" t="s">
        <v>268</v>
      </c>
      <c r="B14" s="46" t="s">
        <v>145</v>
      </c>
      <c r="C14" s="46" t="s">
        <v>144</v>
      </c>
      <c r="D14" s="47" t="s">
        <v>228</v>
      </c>
      <c r="E14" s="47" t="s">
        <v>229</v>
      </c>
      <c r="F14" s="46" t="s">
        <v>269</v>
      </c>
      <c r="G14" s="46" t="s">
        <v>270</v>
      </c>
      <c r="H14" s="47" t="s">
        <v>123</v>
      </c>
      <c r="I14" s="47" t="s">
        <v>135</v>
      </c>
      <c r="J14" s="46" t="s">
        <v>271</v>
      </c>
      <c r="K14" s="47" t="s">
        <v>233</v>
      </c>
      <c r="L14" s="48" t="s">
        <v>122</v>
      </c>
      <c r="M14" s="46" t="s">
        <v>272</v>
      </c>
      <c r="N14" s="48" t="s">
        <v>97</v>
      </c>
      <c r="O14" s="49">
        <v>3</v>
      </c>
      <c r="P14" s="48" t="s">
        <v>46</v>
      </c>
      <c r="Q14" s="41" t="s">
        <v>31</v>
      </c>
      <c r="R14" s="41" t="s">
        <v>234</v>
      </c>
      <c r="S14" s="41" t="s">
        <v>234</v>
      </c>
      <c r="T14" s="41" t="s">
        <v>234</v>
      </c>
      <c r="U14" s="41" t="s">
        <v>234</v>
      </c>
      <c r="V14" s="41" t="s">
        <v>234</v>
      </c>
      <c r="W14" s="41" t="s">
        <v>273</v>
      </c>
      <c r="X14" s="43">
        <v>0</v>
      </c>
      <c r="Y14" s="41" t="s">
        <v>97</v>
      </c>
      <c r="Z14" s="41" t="s">
        <v>97</v>
      </c>
      <c r="AA14" s="41" t="s">
        <v>113</v>
      </c>
      <c r="AB14" s="39" t="s">
        <v>274</v>
      </c>
      <c r="AC14" s="44" t="s">
        <v>46</v>
      </c>
    </row>
    <row r="15" spans="1:29" x14ac:dyDescent="0.25">
      <c r="A15" s="38" t="s">
        <v>275</v>
      </c>
      <c r="B15" s="39" t="s">
        <v>145</v>
      </c>
      <c r="C15" s="39" t="s">
        <v>144</v>
      </c>
      <c r="D15" s="40" t="s">
        <v>228</v>
      </c>
      <c r="E15" s="40" t="s">
        <v>136</v>
      </c>
      <c r="F15" s="39" t="s">
        <v>276</v>
      </c>
      <c r="G15" s="39" t="s">
        <v>277</v>
      </c>
      <c r="H15" s="40" t="s">
        <v>123</v>
      </c>
      <c r="I15" s="40" t="s">
        <v>135</v>
      </c>
      <c r="J15" s="39" t="s">
        <v>278</v>
      </c>
      <c r="K15" s="40" t="s">
        <v>233</v>
      </c>
      <c r="L15" s="41" t="s">
        <v>122</v>
      </c>
      <c r="M15" s="39" t="s">
        <v>233</v>
      </c>
      <c r="N15" s="41" t="s">
        <v>82</v>
      </c>
      <c r="O15" s="42">
        <v>3</v>
      </c>
      <c r="P15" s="41" t="s">
        <v>46</v>
      </c>
      <c r="Q15" s="41" t="s">
        <v>66</v>
      </c>
      <c r="R15" s="41" t="s">
        <v>234</v>
      </c>
      <c r="S15" s="41" t="s">
        <v>234</v>
      </c>
      <c r="T15" s="41" t="s">
        <v>234</v>
      </c>
      <c r="U15" s="41" t="s">
        <v>234</v>
      </c>
      <c r="V15" s="41" t="s">
        <v>234</v>
      </c>
      <c r="W15" s="41" t="s">
        <v>234</v>
      </c>
      <c r="X15" s="43">
        <v>0</v>
      </c>
      <c r="Y15" s="41" t="s">
        <v>97</v>
      </c>
      <c r="Z15" s="41" t="s">
        <v>97</v>
      </c>
      <c r="AA15" s="41" t="s">
        <v>113</v>
      </c>
      <c r="AB15" s="39" t="s">
        <v>279</v>
      </c>
      <c r="AC15" s="44" t="s">
        <v>46</v>
      </c>
    </row>
    <row r="16" spans="1:29" x14ac:dyDescent="0.25">
      <c r="A16" s="45" t="s">
        <v>280</v>
      </c>
      <c r="B16" s="46" t="s">
        <v>145</v>
      </c>
      <c r="C16" s="46" t="s">
        <v>144</v>
      </c>
      <c r="D16" s="47" t="s">
        <v>228</v>
      </c>
      <c r="E16" s="47" t="s">
        <v>135</v>
      </c>
      <c r="F16" s="46" t="s">
        <v>281</v>
      </c>
      <c r="G16" s="46" t="s">
        <v>282</v>
      </c>
      <c r="H16" s="47" t="s">
        <v>123</v>
      </c>
      <c r="I16" s="47" t="s">
        <v>135</v>
      </c>
      <c r="J16" s="46" t="s">
        <v>283</v>
      </c>
      <c r="K16" s="47" t="s">
        <v>233</v>
      </c>
      <c r="L16" s="48" t="s">
        <v>122</v>
      </c>
      <c r="M16" s="46" t="s">
        <v>233</v>
      </c>
      <c r="N16" s="48" t="s">
        <v>82</v>
      </c>
      <c r="O16" s="49">
        <v>8</v>
      </c>
      <c r="P16" s="48" t="s">
        <v>46</v>
      </c>
      <c r="Q16" s="41" t="s">
        <v>66</v>
      </c>
      <c r="R16" s="41" t="s">
        <v>234</v>
      </c>
      <c r="S16" s="41" t="s">
        <v>234</v>
      </c>
      <c r="T16" s="41" t="s">
        <v>234</v>
      </c>
      <c r="U16" s="41" t="s">
        <v>234</v>
      </c>
      <c r="V16" s="41" t="s">
        <v>234</v>
      </c>
      <c r="W16" s="41" t="s">
        <v>234</v>
      </c>
      <c r="X16" s="43">
        <v>0</v>
      </c>
      <c r="Y16" s="41" t="s">
        <v>97</v>
      </c>
      <c r="Z16" s="41" t="s">
        <v>97</v>
      </c>
      <c r="AA16" s="41" t="s">
        <v>113</v>
      </c>
      <c r="AB16" s="39" t="s">
        <v>46</v>
      </c>
      <c r="AC16" s="44" t="s">
        <v>46</v>
      </c>
    </row>
    <row r="17" spans="1:29" x14ac:dyDescent="0.25">
      <c r="A17" s="38" t="s">
        <v>284</v>
      </c>
      <c r="B17" s="39" t="s">
        <v>145</v>
      </c>
      <c r="C17" s="39" t="s">
        <v>144</v>
      </c>
      <c r="D17" s="40" t="s">
        <v>228</v>
      </c>
      <c r="E17" s="40" t="s">
        <v>135</v>
      </c>
      <c r="F17" s="39" t="s">
        <v>285</v>
      </c>
      <c r="G17" s="39" t="s">
        <v>286</v>
      </c>
      <c r="H17" s="40" t="s">
        <v>123</v>
      </c>
      <c r="I17" s="40" t="s">
        <v>135</v>
      </c>
      <c r="J17" s="39" t="s">
        <v>287</v>
      </c>
      <c r="K17" s="40" t="s">
        <v>233</v>
      </c>
      <c r="L17" s="41" t="s">
        <v>122</v>
      </c>
      <c r="M17" s="39" t="s">
        <v>233</v>
      </c>
      <c r="N17" s="41" t="s">
        <v>82</v>
      </c>
      <c r="O17" s="42">
        <v>4</v>
      </c>
      <c r="P17" s="41" t="s">
        <v>46</v>
      </c>
      <c r="Q17" s="41" t="s">
        <v>66</v>
      </c>
      <c r="R17" s="41" t="s">
        <v>234</v>
      </c>
      <c r="S17" s="41" t="s">
        <v>234</v>
      </c>
      <c r="T17" s="41" t="s">
        <v>234</v>
      </c>
      <c r="U17" s="41" t="s">
        <v>234</v>
      </c>
      <c r="V17" s="41" t="s">
        <v>234</v>
      </c>
      <c r="W17" s="41" t="s">
        <v>234</v>
      </c>
      <c r="X17" s="43">
        <v>0</v>
      </c>
      <c r="Y17" s="41" t="s">
        <v>97</v>
      </c>
      <c r="Z17" s="41" t="s">
        <v>97</v>
      </c>
      <c r="AA17" s="41" t="s">
        <v>113</v>
      </c>
      <c r="AB17" s="39" t="s">
        <v>46</v>
      </c>
      <c r="AC17" s="44" t="s">
        <v>46</v>
      </c>
    </row>
    <row r="18" spans="1:29" x14ac:dyDescent="0.25">
      <c r="A18" s="45" t="s">
        <v>288</v>
      </c>
      <c r="B18" s="46" t="s">
        <v>145</v>
      </c>
      <c r="C18" s="46" t="s">
        <v>144</v>
      </c>
      <c r="D18" s="47" t="s">
        <v>228</v>
      </c>
      <c r="E18" s="47" t="s">
        <v>289</v>
      </c>
      <c r="F18" s="46" t="s">
        <v>290</v>
      </c>
      <c r="G18" s="46" t="s">
        <v>291</v>
      </c>
      <c r="H18" s="47" t="s">
        <v>123</v>
      </c>
      <c r="I18" s="47" t="s">
        <v>135</v>
      </c>
      <c r="J18" s="46" t="s">
        <v>292</v>
      </c>
      <c r="K18" s="47" t="s">
        <v>233</v>
      </c>
      <c r="L18" s="48" t="s">
        <v>122</v>
      </c>
      <c r="M18" s="46" t="s">
        <v>233</v>
      </c>
      <c r="N18" s="48" t="s">
        <v>83</v>
      </c>
      <c r="O18" s="49">
        <v>6</v>
      </c>
      <c r="P18" s="48" t="s">
        <v>46</v>
      </c>
      <c r="Q18" s="41" t="s">
        <v>66</v>
      </c>
      <c r="R18" s="41" t="s">
        <v>234</v>
      </c>
      <c r="S18" s="41" t="s">
        <v>234</v>
      </c>
      <c r="T18" s="41" t="s">
        <v>234</v>
      </c>
      <c r="U18" s="41" t="s">
        <v>234</v>
      </c>
      <c r="V18" s="41" t="s">
        <v>234</v>
      </c>
      <c r="W18" s="41" t="s">
        <v>234</v>
      </c>
      <c r="X18" s="43">
        <v>0</v>
      </c>
      <c r="Y18" s="41" t="s">
        <v>97</v>
      </c>
      <c r="Z18" s="41" t="s">
        <v>97</v>
      </c>
      <c r="AA18" s="41" t="s">
        <v>113</v>
      </c>
      <c r="AB18" s="39" t="s">
        <v>293</v>
      </c>
      <c r="AC18" s="44" t="s">
        <v>46</v>
      </c>
    </row>
    <row r="19" spans="1:29" x14ac:dyDescent="0.25">
      <c r="A19" s="38" t="s">
        <v>294</v>
      </c>
      <c r="B19" s="39" t="s">
        <v>145</v>
      </c>
      <c r="C19" s="39" t="s">
        <v>144</v>
      </c>
      <c r="D19" s="40" t="s">
        <v>228</v>
      </c>
      <c r="E19" s="40" t="s">
        <v>295</v>
      </c>
      <c r="F19" s="39" t="s">
        <v>296</v>
      </c>
      <c r="G19" s="39" t="s">
        <v>297</v>
      </c>
      <c r="H19" s="40" t="s">
        <v>123</v>
      </c>
      <c r="I19" s="40" t="s">
        <v>298</v>
      </c>
      <c r="J19" s="39" t="s">
        <v>299</v>
      </c>
      <c r="K19" s="40" t="s">
        <v>233</v>
      </c>
      <c r="L19" s="41" t="s">
        <v>122</v>
      </c>
      <c r="M19" s="39" t="s">
        <v>233</v>
      </c>
      <c r="N19" s="41" t="s">
        <v>83</v>
      </c>
      <c r="O19" s="42">
        <v>6</v>
      </c>
      <c r="P19" s="41" t="s">
        <v>46</v>
      </c>
      <c r="Q19" s="41" t="s">
        <v>66</v>
      </c>
      <c r="R19" s="41" t="s">
        <v>234</v>
      </c>
      <c r="S19" s="41" t="s">
        <v>234</v>
      </c>
      <c r="T19" s="41" t="s">
        <v>234</v>
      </c>
      <c r="U19" s="41" t="s">
        <v>234</v>
      </c>
      <c r="V19" s="41" t="s">
        <v>234</v>
      </c>
      <c r="W19" s="41" t="s">
        <v>234</v>
      </c>
      <c r="X19" s="43">
        <v>0</v>
      </c>
      <c r="Y19" s="41" t="s">
        <v>97</v>
      </c>
      <c r="Z19" s="41" t="s">
        <v>97</v>
      </c>
      <c r="AA19" s="41" t="s">
        <v>113</v>
      </c>
      <c r="AB19" s="39" t="s">
        <v>46</v>
      </c>
      <c r="AC19" s="44" t="s">
        <v>46</v>
      </c>
    </row>
    <row r="20" spans="1:29" x14ac:dyDescent="0.25">
      <c r="A20" s="45" t="s">
        <v>300</v>
      </c>
      <c r="B20" s="46" t="s">
        <v>145</v>
      </c>
      <c r="C20" s="46" t="s">
        <v>144</v>
      </c>
      <c r="D20" s="47" t="s">
        <v>228</v>
      </c>
      <c r="E20" s="47" t="s">
        <v>135</v>
      </c>
      <c r="F20" s="46" t="s">
        <v>301</v>
      </c>
      <c r="G20" s="46" t="s">
        <v>302</v>
      </c>
      <c r="H20" s="47" t="s">
        <v>123</v>
      </c>
      <c r="I20" s="47" t="s">
        <v>135</v>
      </c>
      <c r="J20" s="46" t="s">
        <v>303</v>
      </c>
      <c r="K20" s="47" t="s">
        <v>233</v>
      </c>
      <c r="L20" s="48" t="s">
        <v>122</v>
      </c>
      <c r="M20" s="46" t="s">
        <v>233</v>
      </c>
      <c r="N20" s="48" t="s">
        <v>83</v>
      </c>
      <c r="O20" s="49">
        <v>4</v>
      </c>
      <c r="P20" s="48" t="s">
        <v>46</v>
      </c>
      <c r="Q20" s="41" t="s">
        <v>66</v>
      </c>
      <c r="R20" s="41" t="s">
        <v>234</v>
      </c>
      <c r="S20" s="41" t="s">
        <v>234</v>
      </c>
      <c r="T20" s="41" t="s">
        <v>234</v>
      </c>
      <c r="U20" s="41" t="s">
        <v>234</v>
      </c>
      <c r="V20" s="41" t="s">
        <v>234</v>
      </c>
      <c r="W20" s="41" t="s">
        <v>234</v>
      </c>
      <c r="X20" s="43">
        <v>0</v>
      </c>
      <c r="Y20" s="41" t="s">
        <v>97</v>
      </c>
      <c r="Z20" s="41" t="s">
        <v>97</v>
      </c>
      <c r="AA20" s="41" t="s">
        <v>113</v>
      </c>
      <c r="AB20" s="39" t="s">
        <v>46</v>
      </c>
      <c r="AC20" s="44" t="s">
        <v>46</v>
      </c>
    </row>
    <row r="21" spans="1:29" x14ac:dyDescent="0.25">
      <c r="A21" s="38" t="s">
        <v>304</v>
      </c>
      <c r="B21" s="39" t="s">
        <v>145</v>
      </c>
      <c r="C21" s="39" t="s">
        <v>144</v>
      </c>
      <c r="D21" s="40" t="s">
        <v>228</v>
      </c>
      <c r="E21" s="40" t="s">
        <v>123</v>
      </c>
      <c r="F21" s="39" t="s">
        <v>305</v>
      </c>
      <c r="G21" s="39" t="s">
        <v>306</v>
      </c>
      <c r="H21" s="40" t="s">
        <v>123</v>
      </c>
      <c r="I21" s="40" t="s">
        <v>307</v>
      </c>
      <c r="J21" s="39" t="s">
        <v>308</v>
      </c>
      <c r="K21" s="40" t="s">
        <v>233</v>
      </c>
      <c r="L21" s="41" t="s">
        <v>122</v>
      </c>
      <c r="M21" s="39" t="s">
        <v>233</v>
      </c>
      <c r="N21" s="41" t="s">
        <v>83</v>
      </c>
      <c r="O21" s="42">
        <v>8</v>
      </c>
      <c r="P21" s="41" t="s">
        <v>46</v>
      </c>
      <c r="Q21" s="41" t="s">
        <v>66</v>
      </c>
      <c r="R21" s="41" t="s">
        <v>234</v>
      </c>
      <c r="S21" s="41" t="s">
        <v>234</v>
      </c>
      <c r="T21" s="41" t="s">
        <v>234</v>
      </c>
      <c r="U21" s="41" t="s">
        <v>234</v>
      </c>
      <c r="V21" s="41" t="s">
        <v>234</v>
      </c>
      <c r="W21" s="41" t="s">
        <v>234</v>
      </c>
      <c r="X21" s="43">
        <v>0</v>
      </c>
      <c r="Y21" s="41" t="s">
        <v>97</v>
      </c>
      <c r="Z21" s="41" t="s">
        <v>97</v>
      </c>
      <c r="AA21" s="41" t="s">
        <v>113</v>
      </c>
      <c r="AB21" s="39" t="s">
        <v>46</v>
      </c>
      <c r="AC21" s="44" t="s">
        <v>46</v>
      </c>
    </row>
    <row r="22" spans="1:29" x14ac:dyDescent="0.25">
      <c r="A22" s="45" t="s">
        <v>309</v>
      </c>
      <c r="B22" s="46" t="s">
        <v>145</v>
      </c>
      <c r="C22" s="46" t="s">
        <v>144</v>
      </c>
      <c r="D22" s="47" t="s">
        <v>228</v>
      </c>
      <c r="E22" s="47" t="s">
        <v>289</v>
      </c>
      <c r="F22" s="46" t="s">
        <v>310</v>
      </c>
      <c r="G22" s="46" t="s">
        <v>311</v>
      </c>
      <c r="H22" s="47" t="s">
        <v>123</v>
      </c>
      <c r="I22" s="47" t="s">
        <v>135</v>
      </c>
      <c r="J22" s="46" t="s">
        <v>312</v>
      </c>
      <c r="K22" s="47" t="s">
        <v>233</v>
      </c>
      <c r="L22" s="48" t="s">
        <v>122</v>
      </c>
      <c r="M22" s="46" t="s">
        <v>233</v>
      </c>
      <c r="N22" s="48" t="s">
        <v>84</v>
      </c>
      <c r="O22" s="49">
        <v>8</v>
      </c>
      <c r="P22" s="48" t="s">
        <v>46</v>
      </c>
      <c r="Q22" s="41" t="s">
        <v>66</v>
      </c>
      <c r="R22" s="41" t="s">
        <v>234</v>
      </c>
      <c r="S22" s="41" t="s">
        <v>234</v>
      </c>
      <c r="T22" s="41" t="s">
        <v>234</v>
      </c>
      <c r="U22" s="41" t="s">
        <v>234</v>
      </c>
      <c r="V22" s="41" t="s">
        <v>234</v>
      </c>
      <c r="W22" s="41" t="s">
        <v>234</v>
      </c>
      <c r="X22" s="43">
        <v>0</v>
      </c>
      <c r="Y22" s="41" t="s">
        <v>97</v>
      </c>
      <c r="Z22" s="41" t="s">
        <v>97</v>
      </c>
      <c r="AA22" s="41" t="s">
        <v>113</v>
      </c>
      <c r="AB22" s="39" t="s">
        <v>46</v>
      </c>
      <c r="AC22" s="44" t="s">
        <v>46</v>
      </c>
    </row>
    <row r="23" spans="1:29" x14ac:dyDescent="0.25">
      <c r="A23" s="38" t="s">
        <v>313</v>
      </c>
      <c r="B23" s="39" t="s">
        <v>145</v>
      </c>
      <c r="C23" s="39" t="s">
        <v>144</v>
      </c>
      <c r="D23" s="40" t="s">
        <v>228</v>
      </c>
      <c r="E23" s="40" t="s">
        <v>289</v>
      </c>
      <c r="F23" s="39" t="s">
        <v>314</v>
      </c>
      <c r="G23" s="39" t="s">
        <v>315</v>
      </c>
      <c r="H23" s="40" t="s">
        <v>123</v>
      </c>
      <c r="I23" s="40" t="s">
        <v>135</v>
      </c>
      <c r="J23" s="39" t="s">
        <v>316</v>
      </c>
      <c r="K23" s="40" t="s">
        <v>233</v>
      </c>
      <c r="L23" s="41" t="s">
        <v>122</v>
      </c>
      <c r="M23" s="39" t="s">
        <v>233</v>
      </c>
      <c r="N23" s="41" t="s">
        <v>84</v>
      </c>
      <c r="O23" s="42">
        <v>8</v>
      </c>
      <c r="P23" s="41" t="s">
        <v>46</v>
      </c>
      <c r="Q23" s="41" t="s">
        <v>66</v>
      </c>
      <c r="R23" s="41" t="s">
        <v>234</v>
      </c>
      <c r="S23" s="41" t="s">
        <v>234</v>
      </c>
      <c r="T23" s="41" t="s">
        <v>234</v>
      </c>
      <c r="U23" s="41" t="s">
        <v>234</v>
      </c>
      <c r="V23" s="41" t="s">
        <v>234</v>
      </c>
      <c r="W23" s="41" t="s">
        <v>234</v>
      </c>
      <c r="X23" s="43">
        <v>0</v>
      </c>
      <c r="Y23" s="41" t="s">
        <v>97</v>
      </c>
      <c r="Z23" s="41" t="s">
        <v>97</v>
      </c>
      <c r="AA23" s="41" t="s">
        <v>113</v>
      </c>
      <c r="AB23" s="39" t="s">
        <v>46</v>
      </c>
      <c r="AC23" s="44" t="s">
        <v>46</v>
      </c>
    </row>
    <row r="24" spans="1:29" x14ac:dyDescent="0.25">
      <c r="A24" s="45" t="s">
        <v>317</v>
      </c>
      <c r="B24" s="46" t="s">
        <v>145</v>
      </c>
      <c r="C24" s="46" t="s">
        <v>144</v>
      </c>
      <c r="D24" s="47" t="s">
        <v>228</v>
      </c>
      <c r="E24" s="47" t="s">
        <v>289</v>
      </c>
      <c r="F24" s="46" t="s">
        <v>318</v>
      </c>
      <c r="G24" s="46" t="s">
        <v>319</v>
      </c>
      <c r="H24" s="47" t="s">
        <v>123</v>
      </c>
      <c r="I24" s="47" t="s">
        <v>135</v>
      </c>
      <c r="J24" s="46" t="s">
        <v>320</v>
      </c>
      <c r="K24" s="47" t="s">
        <v>233</v>
      </c>
      <c r="L24" s="48" t="s">
        <v>122</v>
      </c>
      <c r="M24" s="46" t="s">
        <v>233</v>
      </c>
      <c r="N24" s="48" t="s">
        <v>84</v>
      </c>
      <c r="O24" s="49">
        <v>4</v>
      </c>
      <c r="P24" s="48" t="s">
        <v>46</v>
      </c>
      <c r="Q24" s="41" t="s">
        <v>66</v>
      </c>
      <c r="R24" s="41" t="s">
        <v>234</v>
      </c>
      <c r="S24" s="41" t="s">
        <v>234</v>
      </c>
      <c r="T24" s="41" t="s">
        <v>234</v>
      </c>
      <c r="U24" s="41" t="s">
        <v>234</v>
      </c>
      <c r="V24" s="41" t="s">
        <v>234</v>
      </c>
      <c r="W24" s="41" t="s">
        <v>234</v>
      </c>
      <c r="X24" s="43">
        <v>0</v>
      </c>
      <c r="Y24" s="41" t="s">
        <v>97</v>
      </c>
      <c r="Z24" s="41" t="s">
        <v>97</v>
      </c>
      <c r="AA24" s="41" t="s">
        <v>113</v>
      </c>
      <c r="AB24" s="39" t="s">
        <v>46</v>
      </c>
      <c r="AC24" s="44" t="s">
        <v>46</v>
      </c>
    </row>
    <row r="25" spans="1:29" x14ac:dyDescent="0.25">
      <c r="A25" s="38" t="s">
        <v>321</v>
      </c>
      <c r="B25" s="39" t="s">
        <v>145</v>
      </c>
      <c r="C25" s="39" t="s">
        <v>146</v>
      </c>
      <c r="D25" s="40" t="s">
        <v>322</v>
      </c>
      <c r="E25" s="40" t="s">
        <v>124</v>
      </c>
      <c r="F25" s="39" t="s">
        <v>323</v>
      </c>
      <c r="G25" s="39" t="s">
        <v>324</v>
      </c>
      <c r="H25" s="40" t="s">
        <v>126</v>
      </c>
      <c r="I25" s="40" t="s">
        <v>325</v>
      </c>
      <c r="J25" s="39" t="s">
        <v>326</v>
      </c>
      <c r="K25" s="40" t="s">
        <v>233</v>
      </c>
      <c r="L25" s="41" t="s">
        <v>122</v>
      </c>
      <c r="M25" s="39" t="s">
        <v>233</v>
      </c>
      <c r="N25" s="41" t="s">
        <v>80</v>
      </c>
      <c r="O25" s="42">
        <v>6</v>
      </c>
      <c r="P25" s="41" t="s">
        <v>46</v>
      </c>
      <c r="Q25" s="41" t="s">
        <v>66</v>
      </c>
      <c r="R25" s="41" t="s">
        <v>234</v>
      </c>
      <c r="S25" s="41" t="s">
        <v>234</v>
      </c>
      <c r="T25" s="41" t="s">
        <v>234</v>
      </c>
      <c r="U25" s="41" t="s">
        <v>234</v>
      </c>
      <c r="V25" s="41" t="s">
        <v>234</v>
      </c>
      <c r="W25" s="41" t="s">
        <v>234</v>
      </c>
      <c r="X25" s="43">
        <v>0</v>
      </c>
      <c r="Y25" s="41" t="s">
        <v>97</v>
      </c>
      <c r="Z25" s="41" t="s">
        <v>97</v>
      </c>
      <c r="AA25" s="41" t="s">
        <v>113</v>
      </c>
      <c r="AB25" s="39" t="s">
        <v>46</v>
      </c>
      <c r="AC25" s="44" t="s">
        <v>46</v>
      </c>
    </row>
    <row r="26" spans="1:29" x14ac:dyDescent="0.25">
      <c r="A26" s="45" t="s">
        <v>327</v>
      </c>
      <c r="B26" s="46" t="s">
        <v>145</v>
      </c>
      <c r="C26" s="46" t="s">
        <v>146</v>
      </c>
      <c r="D26" s="47" t="s">
        <v>322</v>
      </c>
      <c r="E26" s="47" t="s">
        <v>56</v>
      </c>
      <c r="F26" s="46" t="s">
        <v>328</v>
      </c>
      <c r="G26" s="46" t="s">
        <v>329</v>
      </c>
      <c r="H26" s="47" t="s">
        <v>126</v>
      </c>
      <c r="I26" s="47" t="s">
        <v>325</v>
      </c>
      <c r="J26" s="46" t="s">
        <v>330</v>
      </c>
      <c r="K26" s="47" t="s">
        <v>233</v>
      </c>
      <c r="L26" s="48" t="s">
        <v>122</v>
      </c>
      <c r="M26" s="46" t="s">
        <v>233</v>
      </c>
      <c r="N26" s="48" t="s">
        <v>81</v>
      </c>
      <c r="O26" s="49">
        <v>8</v>
      </c>
      <c r="P26" s="48" t="s">
        <v>46</v>
      </c>
      <c r="Q26" s="41" t="s">
        <v>66</v>
      </c>
      <c r="R26" s="41" t="s">
        <v>234</v>
      </c>
      <c r="S26" s="41" t="s">
        <v>234</v>
      </c>
      <c r="T26" s="41" t="s">
        <v>234</v>
      </c>
      <c r="U26" s="41" t="s">
        <v>234</v>
      </c>
      <c r="V26" s="41" t="s">
        <v>234</v>
      </c>
      <c r="W26" s="41" t="s">
        <v>234</v>
      </c>
      <c r="X26" s="43">
        <v>0</v>
      </c>
      <c r="Y26" s="41" t="s">
        <v>97</v>
      </c>
      <c r="Z26" s="41" t="s">
        <v>97</v>
      </c>
      <c r="AA26" s="41" t="s">
        <v>113</v>
      </c>
      <c r="AB26" s="39" t="s">
        <v>46</v>
      </c>
      <c r="AC26" s="44" t="s">
        <v>46</v>
      </c>
    </row>
    <row r="27" spans="1:29" x14ac:dyDescent="0.25">
      <c r="A27" s="38" t="s">
        <v>331</v>
      </c>
      <c r="B27" s="39" t="s">
        <v>145</v>
      </c>
      <c r="C27" s="39" t="s">
        <v>146</v>
      </c>
      <c r="D27" s="40" t="s">
        <v>322</v>
      </c>
      <c r="E27" s="40" t="s">
        <v>124</v>
      </c>
      <c r="F27" s="39" t="s">
        <v>332</v>
      </c>
      <c r="G27" s="39" t="s">
        <v>333</v>
      </c>
      <c r="H27" s="40" t="s">
        <v>126</v>
      </c>
      <c r="I27" s="40" t="s">
        <v>325</v>
      </c>
      <c r="J27" s="39" t="s">
        <v>334</v>
      </c>
      <c r="K27" s="40" t="s">
        <v>233</v>
      </c>
      <c r="L27" s="41" t="s">
        <v>122</v>
      </c>
      <c r="M27" s="39" t="s">
        <v>233</v>
      </c>
      <c r="N27" s="41" t="s">
        <v>81</v>
      </c>
      <c r="O27" s="42">
        <v>8</v>
      </c>
      <c r="P27" s="41" t="s">
        <v>46</v>
      </c>
      <c r="Q27" s="41" t="s">
        <v>66</v>
      </c>
      <c r="R27" s="41" t="s">
        <v>234</v>
      </c>
      <c r="S27" s="41" t="s">
        <v>234</v>
      </c>
      <c r="T27" s="41" t="s">
        <v>234</v>
      </c>
      <c r="U27" s="41" t="s">
        <v>234</v>
      </c>
      <c r="V27" s="41" t="s">
        <v>234</v>
      </c>
      <c r="W27" s="41" t="s">
        <v>234</v>
      </c>
      <c r="X27" s="43">
        <v>0</v>
      </c>
      <c r="Y27" s="41" t="s">
        <v>97</v>
      </c>
      <c r="Z27" s="41" t="s">
        <v>97</v>
      </c>
      <c r="AA27" s="41" t="s">
        <v>113</v>
      </c>
      <c r="AB27" s="39" t="s">
        <v>46</v>
      </c>
      <c r="AC27" s="44" t="s">
        <v>46</v>
      </c>
    </row>
    <row r="28" spans="1:29" x14ac:dyDescent="0.25">
      <c r="A28" s="45" t="s">
        <v>335</v>
      </c>
      <c r="B28" s="46" t="s">
        <v>145</v>
      </c>
      <c r="C28" s="46" t="s">
        <v>146</v>
      </c>
      <c r="D28" s="47" t="s">
        <v>322</v>
      </c>
      <c r="E28" s="47" t="s">
        <v>124</v>
      </c>
      <c r="F28" s="46" t="s">
        <v>336</v>
      </c>
      <c r="G28" s="46" t="s">
        <v>337</v>
      </c>
      <c r="H28" s="47" t="s">
        <v>126</v>
      </c>
      <c r="I28" s="47" t="s">
        <v>325</v>
      </c>
      <c r="J28" s="46" t="s">
        <v>338</v>
      </c>
      <c r="K28" s="47" t="s">
        <v>233</v>
      </c>
      <c r="L28" s="48" t="s">
        <v>122</v>
      </c>
      <c r="M28" s="46" t="s">
        <v>233</v>
      </c>
      <c r="N28" s="48" t="s">
        <v>82</v>
      </c>
      <c r="O28" s="49">
        <v>8</v>
      </c>
      <c r="P28" s="48" t="s">
        <v>46</v>
      </c>
      <c r="Q28" s="41" t="s">
        <v>66</v>
      </c>
      <c r="R28" s="41" t="s">
        <v>234</v>
      </c>
      <c r="S28" s="41" t="s">
        <v>234</v>
      </c>
      <c r="T28" s="41" t="s">
        <v>234</v>
      </c>
      <c r="U28" s="41" t="s">
        <v>234</v>
      </c>
      <c r="V28" s="41" t="s">
        <v>234</v>
      </c>
      <c r="W28" s="41" t="s">
        <v>234</v>
      </c>
      <c r="X28" s="43">
        <v>0</v>
      </c>
      <c r="Y28" s="41" t="s">
        <v>97</v>
      </c>
      <c r="Z28" s="41" t="s">
        <v>97</v>
      </c>
      <c r="AA28" s="41" t="s">
        <v>113</v>
      </c>
      <c r="AB28" s="39" t="s">
        <v>46</v>
      </c>
      <c r="AC28" s="44" t="s">
        <v>46</v>
      </c>
    </row>
    <row r="29" spans="1:29" x14ac:dyDescent="0.25">
      <c r="A29" s="38" t="s">
        <v>339</v>
      </c>
      <c r="B29" s="39" t="s">
        <v>145</v>
      </c>
      <c r="C29" s="39" t="s">
        <v>146</v>
      </c>
      <c r="D29" s="40" t="s">
        <v>322</v>
      </c>
      <c r="E29" s="40" t="s">
        <v>124</v>
      </c>
      <c r="F29" s="39" t="s">
        <v>340</v>
      </c>
      <c r="G29" s="39" t="s">
        <v>341</v>
      </c>
      <c r="H29" s="40" t="s">
        <v>126</v>
      </c>
      <c r="I29" s="40" t="s">
        <v>342</v>
      </c>
      <c r="J29" s="39" t="s">
        <v>343</v>
      </c>
      <c r="K29" s="40" t="s">
        <v>233</v>
      </c>
      <c r="L29" s="41" t="s">
        <v>122</v>
      </c>
      <c r="M29" s="39" t="s">
        <v>233</v>
      </c>
      <c r="N29" s="41" t="s">
        <v>82</v>
      </c>
      <c r="O29" s="42">
        <v>10</v>
      </c>
      <c r="P29" s="41" t="s">
        <v>46</v>
      </c>
      <c r="Q29" s="41" t="s">
        <v>66</v>
      </c>
      <c r="R29" s="41" t="s">
        <v>234</v>
      </c>
      <c r="S29" s="41" t="s">
        <v>234</v>
      </c>
      <c r="T29" s="41" t="s">
        <v>234</v>
      </c>
      <c r="U29" s="41" t="s">
        <v>234</v>
      </c>
      <c r="V29" s="41" t="s">
        <v>234</v>
      </c>
      <c r="W29" s="41" t="s">
        <v>234</v>
      </c>
      <c r="X29" s="43">
        <v>0</v>
      </c>
      <c r="Y29" s="41" t="s">
        <v>97</v>
      </c>
      <c r="Z29" s="41" t="s">
        <v>97</v>
      </c>
      <c r="AA29" s="41" t="s">
        <v>113</v>
      </c>
      <c r="AB29" s="39" t="s">
        <v>46</v>
      </c>
      <c r="AC29" s="44" t="s">
        <v>46</v>
      </c>
    </row>
    <row r="30" spans="1:29" x14ac:dyDescent="0.25">
      <c r="A30" s="45" t="s">
        <v>344</v>
      </c>
      <c r="B30" s="46" t="s">
        <v>145</v>
      </c>
      <c r="C30" s="46" t="s">
        <v>146</v>
      </c>
      <c r="D30" s="47" t="s">
        <v>322</v>
      </c>
      <c r="E30" s="47" t="s">
        <v>124</v>
      </c>
      <c r="F30" s="46" t="s">
        <v>345</v>
      </c>
      <c r="G30" s="46" t="s">
        <v>346</v>
      </c>
      <c r="H30" s="47" t="s">
        <v>126</v>
      </c>
      <c r="I30" s="47" t="s">
        <v>325</v>
      </c>
      <c r="J30" s="46" t="s">
        <v>347</v>
      </c>
      <c r="K30" s="47" t="s">
        <v>233</v>
      </c>
      <c r="L30" s="48" t="s">
        <v>122</v>
      </c>
      <c r="M30" s="46" t="s">
        <v>233</v>
      </c>
      <c r="N30" s="48" t="s">
        <v>83</v>
      </c>
      <c r="O30" s="49">
        <v>8</v>
      </c>
      <c r="P30" s="48" t="s">
        <v>46</v>
      </c>
      <c r="Q30" s="41" t="s">
        <v>66</v>
      </c>
      <c r="R30" s="41" t="s">
        <v>234</v>
      </c>
      <c r="S30" s="41" t="s">
        <v>234</v>
      </c>
      <c r="T30" s="41" t="s">
        <v>234</v>
      </c>
      <c r="U30" s="41" t="s">
        <v>234</v>
      </c>
      <c r="V30" s="41" t="s">
        <v>234</v>
      </c>
      <c r="W30" s="41" t="s">
        <v>234</v>
      </c>
      <c r="X30" s="43">
        <v>0</v>
      </c>
      <c r="Y30" s="41" t="s">
        <v>97</v>
      </c>
      <c r="Z30" s="41" t="s">
        <v>97</v>
      </c>
      <c r="AA30" s="41" t="s">
        <v>113</v>
      </c>
      <c r="AB30" s="39" t="s">
        <v>46</v>
      </c>
      <c r="AC30" s="44" t="s">
        <v>46</v>
      </c>
    </row>
    <row r="31" spans="1:29" x14ac:dyDescent="0.25">
      <c r="A31" s="38" t="s">
        <v>348</v>
      </c>
      <c r="B31" s="39" t="s">
        <v>145</v>
      </c>
      <c r="C31" s="39" t="s">
        <v>146</v>
      </c>
      <c r="D31" s="40" t="s">
        <v>322</v>
      </c>
      <c r="E31" s="40" t="s">
        <v>124</v>
      </c>
      <c r="F31" s="39" t="s">
        <v>349</v>
      </c>
      <c r="G31" s="39" t="s">
        <v>350</v>
      </c>
      <c r="H31" s="40" t="s">
        <v>126</v>
      </c>
      <c r="I31" s="40" t="s">
        <v>351</v>
      </c>
      <c r="J31" s="39" t="s">
        <v>352</v>
      </c>
      <c r="K31" s="40" t="s">
        <v>233</v>
      </c>
      <c r="L31" s="41" t="s">
        <v>122</v>
      </c>
      <c r="M31" s="39" t="s">
        <v>233</v>
      </c>
      <c r="N31" s="41" t="s">
        <v>83</v>
      </c>
      <c r="O31" s="42">
        <v>10</v>
      </c>
      <c r="P31" s="41" t="s">
        <v>46</v>
      </c>
      <c r="Q31" s="41" t="s">
        <v>66</v>
      </c>
      <c r="R31" s="41" t="s">
        <v>234</v>
      </c>
      <c r="S31" s="41" t="s">
        <v>234</v>
      </c>
      <c r="T31" s="41" t="s">
        <v>234</v>
      </c>
      <c r="U31" s="41" t="s">
        <v>234</v>
      </c>
      <c r="V31" s="41" t="s">
        <v>234</v>
      </c>
      <c r="W31" s="41" t="s">
        <v>234</v>
      </c>
      <c r="X31" s="43">
        <v>0</v>
      </c>
      <c r="Y31" s="41" t="s">
        <v>97</v>
      </c>
      <c r="Z31" s="41" t="s">
        <v>97</v>
      </c>
      <c r="AA31" s="41" t="s">
        <v>113</v>
      </c>
      <c r="AB31" s="39" t="s">
        <v>46</v>
      </c>
      <c r="AC31" s="44" t="s">
        <v>46</v>
      </c>
    </row>
    <row r="32" spans="1:29" x14ac:dyDescent="0.25">
      <c r="A32" s="45" t="s">
        <v>353</v>
      </c>
      <c r="B32" s="46" t="s">
        <v>145</v>
      </c>
      <c r="C32" s="46" t="s">
        <v>146</v>
      </c>
      <c r="D32" s="47" t="s">
        <v>322</v>
      </c>
      <c r="E32" s="47" t="s">
        <v>124</v>
      </c>
      <c r="F32" s="46" t="s">
        <v>354</v>
      </c>
      <c r="G32" s="46" t="s">
        <v>355</v>
      </c>
      <c r="H32" s="47" t="s">
        <v>126</v>
      </c>
      <c r="I32" s="47" t="s">
        <v>351</v>
      </c>
      <c r="J32" s="46" t="s">
        <v>356</v>
      </c>
      <c r="K32" s="47" t="s">
        <v>233</v>
      </c>
      <c r="L32" s="48" t="s">
        <v>122</v>
      </c>
      <c r="M32" s="46" t="s">
        <v>233</v>
      </c>
      <c r="N32" s="48" t="s">
        <v>84</v>
      </c>
      <c r="O32" s="49">
        <v>8</v>
      </c>
      <c r="P32" s="48" t="s">
        <v>46</v>
      </c>
      <c r="Q32" s="41" t="s">
        <v>66</v>
      </c>
      <c r="R32" s="41" t="s">
        <v>234</v>
      </c>
      <c r="S32" s="41" t="s">
        <v>234</v>
      </c>
      <c r="T32" s="41" t="s">
        <v>234</v>
      </c>
      <c r="U32" s="41" t="s">
        <v>234</v>
      </c>
      <c r="V32" s="41" t="s">
        <v>234</v>
      </c>
      <c r="W32" s="41" t="s">
        <v>234</v>
      </c>
      <c r="X32" s="43">
        <v>0</v>
      </c>
      <c r="Y32" s="41" t="s">
        <v>97</v>
      </c>
      <c r="Z32" s="41" t="s">
        <v>97</v>
      </c>
      <c r="AA32" s="41" t="s">
        <v>113</v>
      </c>
      <c r="AB32" s="39" t="s">
        <v>46</v>
      </c>
      <c r="AC32" s="44" t="s">
        <v>46</v>
      </c>
    </row>
    <row r="33" spans="1:29" x14ac:dyDescent="0.25">
      <c r="A33" s="38" t="s">
        <v>357</v>
      </c>
      <c r="B33" s="39" t="s">
        <v>145</v>
      </c>
      <c r="C33" s="39" t="s">
        <v>146</v>
      </c>
      <c r="D33" s="40" t="s">
        <v>322</v>
      </c>
      <c r="E33" s="40" t="s">
        <v>124</v>
      </c>
      <c r="F33" s="39" t="s">
        <v>358</v>
      </c>
      <c r="G33" s="39" t="s">
        <v>359</v>
      </c>
      <c r="H33" s="40" t="s">
        <v>126</v>
      </c>
      <c r="I33" s="40" t="s">
        <v>351</v>
      </c>
      <c r="J33" s="39" t="s">
        <v>360</v>
      </c>
      <c r="K33" s="40" t="s">
        <v>233</v>
      </c>
      <c r="L33" s="41" t="s">
        <v>122</v>
      </c>
      <c r="M33" s="39" t="s">
        <v>233</v>
      </c>
      <c r="N33" s="41" t="s">
        <v>84</v>
      </c>
      <c r="O33" s="42">
        <v>6</v>
      </c>
      <c r="P33" s="41" t="s">
        <v>46</v>
      </c>
      <c r="Q33" s="41" t="s">
        <v>66</v>
      </c>
      <c r="R33" s="41" t="s">
        <v>234</v>
      </c>
      <c r="S33" s="41" t="s">
        <v>234</v>
      </c>
      <c r="T33" s="41" t="s">
        <v>234</v>
      </c>
      <c r="U33" s="41" t="s">
        <v>234</v>
      </c>
      <c r="V33" s="41" t="s">
        <v>234</v>
      </c>
      <c r="W33" s="41" t="s">
        <v>234</v>
      </c>
      <c r="X33" s="43">
        <v>0</v>
      </c>
      <c r="Y33" s="41" t="s">
        <v>97</v>
      </c>
      <c r="Z33" s="41" t="s">
        <v>97</v>
      </c>
      <c r="AA33" s="41" t="s">
        <v>113</v>
      </c>
      <c r="AB33" s="39" t="s">
        <v>46</v>
      </c>
      <c r="AC33" s="44" t="s">
        <v>46</v>
      </c>
    </row>
    <row r="34" spans="1:29" x14ac:dyDescent="0.25">
      <c r="A34" s="45" t="s">
        <v>361</v>
      </c>
      <c r="B34" s="46" t="s">
        <v>145</v>
      </c>
      <c r="C34" s="46" t="s">
        <v>146</v>
      </c>
      <c r="D34" s="47" t="s">
        <v>322</v>
      </c>
      <c r="E34" s="47" t="s">
        <v>124</v>
      </c>
      <c r="F34" s="46" t="s">
        <v>362</v>
      </c>
      <c r="G34" s="46" t="s">
        <v>363</v>
      </c>
      <c r="H34" s="47" t="s">
        <v>126</v>
      </c>
      <c r="I34" s="47" t="s">
        <v>364</v>
      </c>
      <c r="J34" s="46" t="s">
        <v>365</v>
      </c>
      <c r="K34" s="47" t="s">
        <v>233</v>
      </c>
      <c r="L34" s="48" t="s">
        <v>122</v>
      </c>
      <c r="M34" s="46" t="s">
        <v>233</v>
      </c>
      <c r="N34" s="48" t="s">
        <v>84</v>
      </c>
      <c r="O34" s="49">
        <v>8</v>
      </c>
      <c r="P34" s="48" t="s">
        <v>46</v>
      </c>
      <c r="Q34" s="41" t="s">
        <v>66</v>
      </c>
      <c r="R34" s="41" t="s">
        <v>234</v>
      </c>
      <c r="S34" s="41" t="s">
        <v>234</v>
      </c>
      <c r="T34" s="41" t="s">
        <v>234</v>
      </c>
      <c r="U34" s="41" t="s">
        <v>234</v>
      </c>
      <c r="V34" s="41" t="s">
        <v>234</v>
      </c>
      <c r="W34" s="41" t="s">
        <v>234</v>
      </c>
      <c r="X34" s="43">
        <v>0</v>
      </c>
      <c r="Y34" s="41" t="s">
        <v>97</v>
      </c>
      <c r="Z34" s="41" t="s">
        <v>97</v>
      </c>
      <c r="AA34" s="41" t="s">
        <v>113</v>
      </c>
      <c r="AB34" s="39" t="s">
        <v>46</v>
      </c>
      <c r="AC34" s="44" t="s">
        <v>46</v>
      </c>
    </row>
    <row r="35" spans="1:29" x14ac:dyDescent="0.25">
      <c r="A35" s="38" t="s">
        <v>366</v>
      </c>
      <c r="B35" s="39" t="s">
        <v>145</v>
      </c>
      <c r="C35" s="39" t="s">
        <v>146</v>
      </c>
      <c r="D35" s="40" t="s">
        <v>322</v>
      </c>
      <c r="E35" s="40" t="s">
        <v>124</v>
      </c>
      <c r="F35" s="39" t="s">
        <v>367</v>
      </c>
      <c r="G35" s="39" t="s">
        <v>368</v>
      </c>
      <c r="H35" s="40" t="s">
        <v>126</v>
      </c>
      <c r="I35" s="40" t="s">
        <v>342</v>
      </c>
      <c r="J35" s="39" t="s">
        <v>369</v>
      </c>
      <c r="K35" s="40" t="s">
        <v>233</v>
      </c>
      <c r="L35" s="41" t="s">
        <v>122</v>
      </c>
      <c r="M35" s="39" t="s">
        <v>233</v>
      </c>
      <c r="N35" s="41" t="s">
        <v>85</v>
      </c>
      <c r="O35" s="42">
        <v>10</v>
      </c>
      <c r="P35" s="41" t="s">
        <v>46</v>
      </c>
      <c r="Q35" s="41" t="s">
        <v>66</v>
      </c>
      <c r="R35" s="41" t="s">
        <v>234</v>
      </c>
      <c r="S35" s="41" t="s">
        <v>234</v>
      </c>
      <c r="T35" s="41" t="s">
        <v>234</v>
      </c>
      <c r="U35" s="41" t="s">
        <v>234</v>
      </c>
      <c r="V35" s="41" t="s">
        <v>234</v>
      </c>
      <c r="W35" s="41" t="s">
        <v>234</v>
      </c>
      <c r="X35" s="43">
        <v>0</v>
      </c>
      <c r="Y35" s="41" t="s">
        <v>97</v>
      </c>
      <c r="Z35" s="41" t="s">
        <v>97</v>
      </c>
      <c r="AA35" s="41" t="s">
        <v>113</v>
      </c>
      <c r="AB35" s="39" t="s">
        <v>46</v>
      </c>
      <c r="AC35" s="44" t="s">
        <v>46</v>
      </c>
    </row>
    <row r="36" spans="1:29" x14ac:dyDescent="0.25">
      <c r="A36" s="45" t="s">
        <v>370</v>
      </c>
      <c r="B36" s="46" t="s">
        <v>145</v>
      </c>
      <c r="C36" s="46" t="s">
        <v>146</v>
      </c>
      <c r="D36" s="47" t="s">
        <v>322</v>
      </c>
      <c r="E36" s="47" t="s">
        <v>124</v>
      </c>
      <c r="F36" s="46" t="s">
        <v>371</v>
      </c>
      <c r="G36" s="46" t="s">
        <v>372</v>
      </c>
      <c r="H36" s="47" t="s">
        <v>126</v>
      </c>
      <c r="I36" s="47" t="s">
        <v>364</v>
      </c>
      <c r="J36" s="46" t="s">
        <v>373</v>
      </c>
      <c r="K36" s="47" t="s">
        <v>233</v>
      </c>
      <c r="L36" s="48" t="s">
        <v>122</v>
      </c>
      <c r="M36" s="46" t="s">
        <v>233</v>
      </c>
      <c r="N36" s="48" t="s">
        <v>85</v>
      </c>
      <c r="O36" s="49">
        <v>12</v>
      </c>
      <c r="P36" s="48" t="s">
        <v>46</v>
      </c>
      <c r="Q36" s="41" t="s">
        <v>66</v>
      </c>
      <c r="R36" s="41" t="s">
        <v>234</v>
      </c>
      <c r="S36" s="41" t="s">
        <v>234</v>
      </c>
      <c r="T36" s="41" t="s">
        <v>234</v>
      </c>
      <c r="U36" s="41" t="s">
        <v>234</v>
      </c>
      <c r="V36" s="41" t="s">
        <v>234</v>
      </c>
      <c r="W36" s="41" t="s">
        <v>234</v>
      </c>
      <c r="X36" s="43">
        <v>0</v>
      </c>
      <c r="Y36" s="41" t="s">
        <v>97</v>
      </c>
      <c r="Z36" s="41" t="s">
        <v>97</v>
      </c>
      <c r="AA36" s="41" t="s">
        <v>113</v>
      </c>
      <c r="AB36" s="39" t="s">
        <v>374</v>
      </c>
      <c r="AC36" s="44" t="s">
        <v>46</v>
      </c>
    </row>
    <row r="37" spans="1:29" x14ac:dyDescent="0.25">
      <c r="A37" s="38" t="s">
        <v>375</v>
      </c>
      <c r="B37" s="39" t="s">
        <v>145</v>
      </c>
      <c r="C37" s="39" t="s">
        <v>146</v>
      </c>
      <c r="D37" s="40" t="s">
        <v>322</v>
      </c>
      <c r="E37" s="40" t="s">
        <v>124</v>
      </c>
      <c r="F37" s="39" t="s">
        <v>376</v>
      </c>
      <c r="G37" s="39" t="s">
        <v>377</v>
      </c>
      <c r="H37" s="40" t="s">
        <v>126</v>
      </c>
      <c r="I37" s="40" t="s">
        <v>378</v>
      </c>
      <c r="J37" s="39" t="s">
        <v>379</v>
      </c>
      <c r="K37" s="40" t="s">
        <v>233</v>
      </c>
      <c r="L37" s="41" t="s">
        <v>122</v>
      </c>
      <c r="M37" s="39" t="s">
        <v>233</v>
      </c>
      <c r="N37" s="41" t="s">
        <v>85</v>
      </c>
      <c r="O37" s="42">
        <v>10</v>
      </c>
      <c r="P37" s="41" t="s">
        <v>46</v>
      </c>
      <c r="Q37" s="41" t="s">
        <v>66</v>
      </c>
      <c r="R37" s="41" t="s">
        <v>234</v>
      </c>
      <c r="S37" s="41" t="s">
        <v>234</v>
      </c>
      <c r="T37" s="41" t="s">
        <v>234</v>
      </c>
      <c r="U37" s="41" t="s">
        <v>234</v>
      </c>
      <c r="V37" s="41" t="s">
        <v>234</v>
      </c>
      <c r="W37" s="41" t="s">
        <v>234</v>
      </c>
      <c r="X37" s="43">
        <v>0</v>
      </c>
      <c r="Y37" s="41" t="s">
        <v>97</v>
      </c>
      <c r="Z37" s="41" t="s">
        <v>97</v>
      </c>
      <c r="AA37" s="41" t="s">
        <v>113</v>
      </c>
      <c r="AB37" s="39" t="s">
        <v>46</v>
      </c>
      <c r="AC37" s="44" t="s">
        <v>46</v>
      </c>
    </row>
    <row r="38" spans="1:29" x14ac:dyDescent="0.25">
      <c r="A38" s="45" t="s">
        <v>380</v>
      </c>
      <c r="B38" s="46" t="s">
        <v>145</v>
      </c>
      <c r="C38" s="46" t="s">
        <v>146</v>
      </c>
      <c r="D38" s="47" t="s">
        <v>322</v>
      </c>
      <c r="E38" s="47" t="s">
        <v>124</v>
      </c>
      <c r="F38" s="46" t="s">
        <v>381</v>
      </c>
      <c r="G38" s="46" t="s">
        <v>382</v>
      </c>
      <c r="H38" s="47" t="s">
        <v>126</v>
      </c>
      <c r="I38" s="47" t="s">
        <v>325</v>
      </c>
      <c r="J38" s="46" t="s">
        <v>383</v>
      </c>
      <c r="K38" s="47" t="s">
        <v>233</v>
      </c>
      <c r="L38" s="48" t="s">
        <v>122</v>
      </c>
      <c r="M38" s="46" t="s">
        <v>233</v>
      </c>
      <c r="N38" s="48" t="s">
        <v>86</v>
      </c>
      <c r="O38" s="49">
        <v>6</v>
      </c>
      <c r="P38" s="48" t="s">
        <v>46</v>
      </c>
      <c r="Q38" s="41" t="s">
        <v>66</v>
      </c>
      <c r="R38" s="41" t="s">
        <v>234</v>
      </c>
      <c r="S38" s="41" t="s">
        <v>234</v>
      </c>
      <c r="T38" s="41" t="s">
        <v>234</v>
      </c>
      <c r="U38" s="41" t="s">
        <v>234</v>
      </c>
      <c r="V38" s="41" t="s">
        <v>234</v>
      </c>
      <c r="W38" s="41" t="s">
        <v>234</v>
      </c>
      <c r="X38" s="43">
        <v>0</v>
      </c>
      <c r="Y38" s="41" t="s">
        <v>97</v>
      </c>
      <c r="Z38" s="41" t="s">
        <v>97</v>
      </c>
      <c r="AA38" s="41" t="s">
        <v>113</v>
      </c>
      <c r="AB38" s="39" t="s">
        <v>46</v>
      </c>
      <c r="AC38" s="44" t="s">
        <v>46</v>
      </c>
    </row>
    <row r="39" spans="1:29" x14ac:dyDescent="0.25">
      <c r="A39" s="38" t="s">
        <v>384</v>
      </c>
      <c r="B39" s="39" t="s">
        <v>145</v>
      </c>
      <c r="C39" s="39" t="s">
        <v>146</v>
      </c>
      <c r="D39" s="40" t="s">
        <v>322</v>
      </c>
      <c r="E39" s="40" t="s">
        <v>129</v>
      </c>
      <c r="F39" s="39" t="s">
        <v>385</v>
      </c>
      <c r="G39" s="39" t="s">
        <v>386</v>
      </c>
      <c r="H39" s="40" t="s">
        <v>126</v>
      </c>
      <c r="I39" s="40" t="s">
        <v>325</v>
      </c>
      <c r="J39" s="39" t="s">
        <v>387</v>
      </c>
      <c r="K39" s="40" t="s">
        <v>233</v>
      </c>
      <c r="L39" s="41" t="s">
        <v>122</v>
      </c>
      <c r="M39" s="39" t="s">
        <v>233</v>
      </c>
      <c r="N39" s="41" t="s">
        <v>86</v>
      </c>
      <c r="O39" s="42">
        <v>10</v>
      </c>
      <c r="P39" s="41" t="s">
        <v>46</v>
      </c>
      <c r="Q39" s="41" t="s">
        <v>66</v>
      </c>
      <c r="R39" s="41" t="s">
        <v>234</v>
      </c>
      <c r="S39" s="41" t="s">
        <v>234</v>
      </c>
      <c r="T39" s="41" t="s">
        <v>234</v>
      </c>
      <c r="U39" s="41" t="s">
        <v>234</v>
      </c>
      <c r="V39" s="41" t="s">
        <v>234</v>
      </c>
      <c r="W39" s="41" t="s">
        <v>234</v>
      </c>
      <c r="X39" s="43">
        <v>0</v>
      </c>
      <c r="Y39" s="41" t="s">
        <v>97</v>
      </c>
      <c r="Z39" s="41" t="s">
        <v>97</v>
      </c>
      <c r="AA39" s="41" t="s">
        <v>113</v>
      </c>
      <c r="AB39" s="39" t="s">
        <v>46</v>
      </c>
      <c r="AC39" s="44" t="s">
        <v>46</v>
      </c>
    </row>
    <row r="40" spans="1:29" x14ac:dyDescent="0.25">
      <c r="A40" s="45" t="s">
        <v>388</v>
      </c>
      <c r="B40" s="46" t="s">
        <v>145</v>
      </c>
      <c r="C40" s="46" t="s">
        <v>146</v>
      </c>
      <c r="D40" s="47" t="s">
        <v>322</v>
      </c>
      <c r="E40" s="47" t="s">
        <v>56</v>
      </c>
      <c r="F40" s="46" t="s">
        <v>389</v>
      </c>
      <c r="G40" s="46" t="s">
        <v>390</v>
      </c>
      <c r="H40" s="47" t="s">
        <v>126</v>
      </c>
      <c r="I40" s="47" t="s">
        <v>325</v>
      </c>
      <c r="J40" s="46" t="s">
        <v>391</v>
      </c>
      <c r="K40" s="47" t="s">
        <v>233</v>
      </c>
      <c r="L40" s="48" t="s">
        <v>122</v>
      </c>
      <c r="M40" s="46" t="s">
        <v>233</v>
      </c>
      <c r="N40" s="48" t="s">
        <v>86</v>
      </c>
      <c r="O40" s="49">
        <v>10</v>
      </c>
      <c r="P40" s="48" t="s">
        <v>46</v>
      </c>
      <c r="Q40" s="41" t="s">
        <v>66</v>
      </c>
      <c r="R40" s="41" t="s">
        <v>234</v>
      </c>
      <c r="S40" s="41" t="s">
        <v>234</v>
      </c>
      <c r="T40" s="41" t="s">
        <v>234</v>
      </c>
      <c r="U40" s="41" t="s">
        <v>234</v>
      </c>
      <c r="V40" s="41" t="s">
        <v>234</v>
      </c>
      <c r="W40" s="41" t="s">
        <v>234</v>
      </c>
      <c r="X40" s="43">
        <v>0</v>
      </c>
      <c r="Y40" s="41" t="s">
        <v>97</v>
      </c>
      <c r="Z40" s="41" t="s">
        <v>97</v>
      </c>
      <c r="AA40" s="41" t="s">
        <v>113</v>
      </c>
      <c r="AB40" s="39" t="s">
        <v>46</v>
      </c>
      <c r="AC40" s="44" t="s">
        <v>46</v>
      </c>
    </row>
    <row r="41" spans="1:29" x14ac:dyDescent="0.25">
      <c r="A41" s="38" t="s">
        <v>392</v>
      </c>
      <c r="B41" s="39" t="s">
        <v>145</v>
      </c>
      <c r="C41" s="39" t="s">
        <v>146</v>
      </c>
      <c r="D41" s="40" t="s">
        <v>322</v>
      </c>
      <c r="E41" s="40" t="s">
        <v>124</v>
      </c>
      <c r="F41" s="39" t="s">
        <v>393</v>
      </c>
      <c r="G41" s="39" t="s">
        <v>394</v>
      </c>
      <c r="H41" s="40" t="s">
        <v>126</v>
      </c>
      <c r="I41" s="40" t="s">
        <v>342</v>
      </c>
      <c r="J41" s="39" t="s">
        <v>395</v>
      </c>
      <c r="K41" s="40" t="s">
        <v>233</v>
      </c>
      <c r="L41" s="41" t="s">
        <v>122</v>
      </c>
      <c r="M41" s="39" t="s">
        <v>233</v>
      </c>
      <c r="N41" s="41" t="s">
        <v>86</v>
      </c>
      <c r="O41" s="42">
        <v>8</v>
      </c>
      <c r="P41" s="41" t="s">
        <v>46</v>
      </c>
      <c r="Q41" s="41" t="s">
        <v>66</v>
      </c>
      <c r="R41" s="41" t="s">
        <v>234</v>
      </c>
      <c r="S41" s="41" t="s">
        <v>234</v>
      </c>
      <c r="T41" s="41" t="s">
        <v>234</v>
      </c>
      <c r="U41" s="41" t="s">
        <v>234</v>
      </c>
      <c r="V41" s="41" t="s">
        <v>234</v>
      </c>
      <c r="W41" s="41" t="s">
        <v>234</v>
      </c>
      <c r="X41" s="43">
        <v>0</v>
      </c>
      <c r="Y41" s="41" t="s">
        <v>97</v>
      </c>
      <c r="Z41" s="41" t="s">
        <v>97</v>
      </c>
      <c r="AA41" s="41" t="s">
        <v>113</v>
      </c>
      <c r="AB41" s="39" t="s">
        <v>46</v>
      </c>
      <c r="AC41" s="44" t="s">
        <v>46</v>
      </c>
    </row>
    <row r="42" spans="1:29" x14ac:dyDescent="0.25">
      <c r="A42" s="45" t="s">
        <v>396</v>
      </c>
      <c r="B42" s="46" t="s">
        <v>145</v>
      </c>
      <c r="C42" s="46" t="s">
        <v>147</v>
      </c>
      <c r="D42" s="47" t="s">
        <v>397</v>
      </c>
      <c r="E42" s="47" t="s">
        <v>398</v>
      </c>
      <c r="F42" s="46" t="s">
        <v>399</v>
      </c>
      <c r="G42" s="46" t="s">
        <v>400</v>
      </c>
      <c r="H42" s="47" t="s">
        <v>128</v>
      </c>
      <c r="I42" s="47" t="s">
        <v>401</v>
      </c>
      <c r="J42" s="46" t="s">
        <v>402</v>
      </c>
      <c r="K42" s="47" t="s">
        <v>233</v>
      </c>
      <c r="L42" s="48" t="s">
        <v>122</v>
      </c>
      <c r="M42" s="46" t="s">
        <v>233</v>
      </c>
      <c r="N42" s="48" t="s">
        <v>80</v>
      </c>
      <c r="O42" s="49">
        <v>4</v>
      </c>
      <c r="P42" s="48" t="s">
        <v>46</v>
      </c>
      <c r="Q42" s="41" t="s">
        <v>66</v>
      </c>
      <c r="R42" s="41" t="s">
        <v>234</v>
      </c>
      <c r="S42" s="41" t="s">
        <v>234</v>
      </c>
      <c r="T42" s="41" t="s">
        <v>234</v>
      </c>
      <c r="U42" s="41" t="s">
        <v>234</v>
      </c>
      <c r="V42" s="41" t="s">
        <v>234</v>
      </c>
      <c r="W42" s="41" t="s">
        <v>234</v>
      </c>
      <c r="X42" s="43">
        <v>0</v>
      </c>
      <c r="Y42" s="41" t="s">
        <v>97</v>
      </c>
      <c r="Z42" s="41" t="s">
        <v>97</v>
      </c>
      <c r="AA42" s="41" t="s">
        <v>113</v>
      </c>
      <c r="AB42" s="39" t="s">
        <v>46</v>
      </c>
      <c r="AC42" s="44" t="s">
        <v>46</v>
      </c>
    </row>
    <row r="43" spans="1:29" x14ac:dyDescent="0.25">
      <c r="A43" s="38" t="s">
        <v>403</v>
      </c>
      <c r="B43" s="39" t="s">
        <v>145</v>
      </c>
      <c r="C43" s="39" t="s">
        <v>147</v>
      </c>
      <c r="D43" s="40" t="s">
        <v>397</v>
      </c>
      <c r="E43" s="40" t="s">
        <v>398</v>
      </c>
      <c r="F43" s="39" t="s">
        <v>404</v>
      </c>
      <c r="G43" s="39" t="s">
        <v>405</v>
      </c>
      <c r="H43" s="40" t="s">
        <v>128</v>
      </c>
      <c r="I43" s="40" t="s">
        <v>401</v>
      </c>
      <c r="J43" s="39" t="s">
        <v>406</v>
      </c>
      <c r="K43" s="40" t="s">
        <v>233</v>
      </c>
      <c r="L43" s="41" t="s">
        <v>122</v>
      </c>
      <c r="M43" s="39" t="s">
        <v>233</v>
      </c>
      <c r="N43" s="41" t="s">
        <v>80</v>
      </c>
      <c r="O43" s="42">
        <v>5</v>
      </c>
      <c r="P43" s="41" t="s">
        <v>46</v>
      </c>
      <c r="Q43" s="41" t="s">
        <v>66</v>
      </c>
      <c r="R43" s="41" t="s">
        <v>234</v>
      </c>
      <c r="S43" s="41" t="s">
        <v>234</v>
      </c>
      <c r="T43" s="41" t="s">
        <v>234</v>
      </c>
      <c r="U43" s="41" t="s">
        <v>234</v>
      </c>
      <c r="V43" s="41" t="s">
        <v>234</v>
      </c>
      <c r="W43" s="41" t="s">
        <v>234</v>
      </c>
      <c r="X43" s="43">
        <v>0</v>
      </c>
      <c r="Y43" s="41" t="s">
        <v>97</v>
      </c>
      <c r="Z43" s="41" t="s">
        <v>97</v>
      </c>
      <c r="AA43" s="41" t="s">
        <v>113</v>
      </c>
      <c r="AB43" s="39" t="s">
        <v>46</v>
      </c>
      <c r="AC43" s="44" t="s">
        <v>46</v>
      </c>
    </row>
    <row r="44" spans="1:29" x14ac:dyDescent="0.25">
      <c r="A44" s="45" t="s">
        <v>407</v>
      </c>
      <c r="B44" s="46" t="s">
        <v>145</v>
      </c>
      <c r="C44" s="46" t="s">
        <v>147</v>
      </c>
      <c r="D44" s="47" t="s">
        <v>397</v>
      </c>
      <c r="E44" s="47" t="s">
        <v>398</v>
      </c>
      <c r="F44" s="46" t="s">
        <v>408</v>
      </c>
      <c r="G44" s="46" t="s">
        <v>409</v>
      </c>
      <c r="H44" s="47" t="s">
        <v>128</v>
      </c>
      <c r="I44" s="47" t="s">
        <v>401</v>
      </c>
      <c r="J44" s="46" t="s">
        <v>410</v>
      </c>
      <c r="K44" s="47" t="s">
        <v>233</v>
      </c>
      <c r="L44" s="48" t="s">
        <v>122</v>
      </c>
      <c r="M44" s="46" t="s">
        <v>233</v>
      </c>
      <c r="N44" s="48" t="s">
        <v>81</v>
      </c>
      <c r="O44" s="49">
        <v>8</v>
      </c>
      <c r="P44" s="48" t="s">
        <v>46</v>
      </c>
      <c r="Q44" s="41" t="s">
        <v>66</v>
      </c>
      <c r="R44" s="41" t="s">
        <v>234</v>
      </c>
      <c r="S44" s="41" t="s">
        <v>234</v>
      </c>
      <c r="T44" s="41" t="s">
        <v>234</v>
      </c>
      <c r="U44" s="41" t="s">
        <v>234</v>
      </c>
      <c r="V44" s="41" t="s">
        <v>234</v>
      </c>
      <c r="W44" s="41" t="s">
        <v>234</v>
      </c>
      <c r="X44" s="43">
        <v>0</v>
      </c>
      <c r="Y44" s="41" t="s">
        <v>97</v>
      </c>
      <c r="Z44" s="41" t="s">
        <v>97</v>
      </c>
      <c r="AA44" s="41" t="s">
        <v>113</v>
      </c>
      <c r="AB44" s="39" t="s">
        <v>46</v>
      </c>
      <c r="AC44" s="44" t="s">
        <v>46</v>
      </c>
    </row>
    <row r="45" spans="1:29" x14ac:dyDescent="0.25">
      <c r="A45" s="38" t="s">
        <v>411</v>
      </c>
      <c r="B45" s="39" t="s">
        <v>145</v>
      </c>
      <c r="C45" s="39" t="s">
        <v>147</v>
      </c>
      <c r="D45" s="40" t="s">
        <v>397</v>
      </c>
      <c r="E45" s="40" t="s">
        <v>398</v>
      </c>
      <c r="F45" s="39" t="s">
        <v>412</v>
      </c>
      <c r="G45" s="39" t="s">
        <v>413</v>
      </c>
      <c r="H45" s="40" t="s">
        <v>128</v>
      </c>
      <c r="I45" s="40" t="s">
        <v>414</v>
      </c>
      <c r="J45" s="39" t="s">
        <v>415</v>
      </c>
      <c r="K45" s="40" t="s">
        <v>233</v>
      </c>
      <c r="L45" s="41" t="s">
        <v>122</v>
      </c>
      <c r="M45" s="39" t="s">
        <v>233</v>
      </c>
      <c r="N45" s="41" t="s">
        <v>81</v>
      </c>
      <c r="O45" s="42">
        <v>6</v>
      </c>
      <c r="P45" s="41" t="s">
        <v>46</v>
      </c>
      <c r="Q45" s="41" t="s">
        <v>66</v>
      </c>
      <c r="R45" s="41" t="s">
        <v>234</v>
      </c>
      <c r="S45" s="41" t="s">
        <v>234</v>
      </c>
      <c r="T45" s="41" t="s">
        <v>234</v>
      </c>
      <c r="U45" s="41" t="s">
        <v>234</v>
      </c>
      <c r="V45" s="41" t="s">
        <v>234</v>
      </c>
      <c r="W45" s="41" t="s">
        <v>234</v>
      </c>
      <c r="X45" s="43">
        <v>0</v>
      </c>
      <c r="Y45" s="41" t="s">
        <v>97</v>
      </c>
      <c r="Z45" s="41" t="s">
        <v>97</v>
      </c>
      <c r="AA45" s="41" t="s">
        <v>113</v>
      </c>
      <c r="AB45" s="39" t="s">
        <v>46</v>
      </c>
      <c r="AC45" s="44" t="s">
        <v>46</v>
      </c>
    </row>
    <row r="46" spans="1:29" x14ac:dyDescent="0.25">
      <c r="A46" s="45" t="s">
        <v>416</v>
      </c>
      <c r="B46" s="46" t="s">
        <v>145</v>
      </c>
      <c r="C46" s="46" t="s">
        <v>147</v>
      </c>
      <c r="D46" s="47" t="s">
        <v>397</v>
      </c>
      <c r="E46" s="47" t="s">
        <v>398</v>
      </c>
      <c r="F46" s="46" t="s">
        <v>417</v>
      </c>
      <c r="G46" s="46" t="s">
        <v>418</v>
      </c>
      <c r="H46" s="47" t="s">
        <v>128</v>
      </c>
      <c r="I46" s="47" t="s">
        <v>401</v>
      </c>
      <c r="J46" s="46" t="s">
        <v>419</v>
      </c>
      <c r="K46" s="47" t="s">
        <v>233</v>
      </c>
      <c r="L46" s="48" t="s">
        <v>122</v>
      </c>
      <c r="M46" s="46" t="s">
        <v>233</v>
      </c>
      <c r="N46" s="48" t="s">
        <v>81</v>
      </c>
      <c r="O46" s="49">
        <v>6</v>
      </c>
      <c r="P46" s="48" t="s">
        <v>46</v>
      </c>
      <c r="Q46" s="41" t="s">
        <v>66</v>
      </c>
      <c r="R46" s="41" t="s">
        <v>234</v>
      </c>
      <c r="S46" s="41" t="s">
        <v>234</v>
      </c>
      <c r="T46" s="41" t="s">
        <v>234</v>
      </c>
      <c r="U46" s="41" t="s">
        <v>234</v>
      </c>
      <c r="V46" s="41" t="s">
        <v>234</v>
      </c>
      <c r="W46" s="41" t="s">
        <v>234</v>
      </c>
      <c r="X46" s="43">
        <v>0</v>
      </c>
      <c r="Y46" s="41" t="s">
        <v>97</v>
      </c>
      <c r="Z46" s="41" t="s">
        <v>97</v>
      </c>
      <c r="AA46" s="41" t="s">
        <v>113</v>
      </c>
      <c r="AB46" s="39" t="s">
        <v>420</v>
      </c>
      <c r="AC46" s="44" t="s">
        <v>46</v>
      </c>
    </row>
    <row r="47" spans="1:29" x14ac:dyDescent="0.25">
      <c r="A47" s="38" t="s">
        <v>421</v>
      </c>
      <c r="B47" s="39" t="s">
        <v>145</v>
      </c>
      <c r="C47" s="39" t="s">
        <v>147</v>
      </c>
      <c r="D47" s="40" t="s">
        <v>397</v>
      </c>
      <c r="E47" s="40" t="s">
        <v>129</v>
      </c>
      <c r="F47" s="39" t="s">
        <v>422</v>
      </c>
      <c r="G47" s="39" t="s">
        <v>423</v>
      </c>
      <c r="H47" s="40" t="s">
        <v>128</v>
      </c>
      <c r="I47" s="40" t="s">
        <v>414</v>
      </c>
      <c r="J47" s="39" t="s">
        <v>424</v>
      </c>
      <c r="K47" s="40" t="s">
        <v>233</v>
      </c>
      <c r="L47" s="41" t="s">
        <v>122</v>
      </c>
      <c r="M47" s="39" t="s">
        <v>233</v>
      </c>
      <c r="N47" s="41" t="s">
        <v>82</v>
      </c>
      <c r="O47" s="42">
        <v>6</v>
      </c>
      <c r="P47" s="41" t="s">
        <v>46</v>
      </c>
      <c r="Q47" s="41" t="s">
        <v>66</v>
      </c>
      <c r="R47" s="41" t="s">
        <v>234</v>
      </c>
      <c r="S47" s="41" t="s">
        <v>234</v>
      </c>
      <c r="T47" s="41" t="s">
        <v>234</v>
      </c>
      <c r="U47" s="41" t="s">
        <v>234</v>
      </c>
      <c r="V47" s="41" t="s">
        <v>234</v>
      </c>
      <c r="W47" s="41" t="s">
        <v>234</v>
      </c>
      <c r="X47" s="43">
        <v>0</v>
      </c>
      <c r="Y47" s="41" t="s">
        <v>97</v>
      </c>
      <c r="Z47" s="41" t="s">
        <v>97</v>
      </c>
      <c r="AA47" s="41" t="s">
        <v>113</v>
      </c>
      <c r="AB47" s="39" t="s">
        <v>46</v>
      </c>
      <c r="AC47" s="44" t="s">
        <v>46</v>
      </c>
    </row>
    <row r="48" spans="1:29" x14ac:dyDescent="0.25">
      <c r="A48" s="45" t="s">
        <v>425</v>
      </c>
      <c r="B48" s="46" t="s">
        <v>145</v>
      </c>
      <c r="C48" s="46" t="s">
        <v>147</v>
      </c>
      <c r="D48" s="47" t="s">
        <v>397</v>
      </c>
      <c r="E48" s="47" t="s">
        <v>398</v>
      </c>
      <c r="F48" s="46" t="s">
        <v>426</v>
      </c>
      <c r="G48" s="46" t="s">
        <v>427</v>
      </c>
      <c r="H48" s="47" t="s">
        <v>128</v>
      </c>
      <c r="I48" s="47" t="s">
        <v>401</v>
      </c>
      <c r="J48" s="46" t="s">
        <v>428</v>
      </c>
      <c r="K48" s="47" t="s">
        <v>233</v>
      </c>
      <c r="L48" s="48" t="s">
        <v>122</v>
      </c>
      <c r="M48" s="46" t="s">
        <v>233</v>
      </c>
      <c r="N48" s="48" t="s">
        <v>82</v>
      </c>
      <c r="O48" s="49">
        <v>3</v>
      </c>
      <c r="P48" s="48" t="s">
        <v>46</v>
      </c>
      <c r="Q48" s="41" t="s">
        <v>66</v>
      </c>
      <c r="R48" s="41" t="s">
        <v>234</v>
      </c>
      <c r="S48" s="41" t="s">
        <v>234</v>
      </c>
      <c r="T48" s="41" t="s">
        <v>234</v>
      </c>
      <c r="U48" s="41" t="s">
        <v>234</v>
      </c>
      <c r="V48" s="41" t="s">
        <v>234</v>
      </c>
      <c r="W48" s="41" t="s">
        <v>234</v>
      </c>
      <c r="X48" s="43">
        <v>0</v>
      </c>
      <c r="Y48" s="41" t="s">
        <v>97</v>
      </c>
      <c r="Z48" s="41" t="s">
        <v>97</v>
      </c>
      <c r="AA48" s="41" t="s">
        <v>113</v>
      </c>
      <c r="AB48" s="39" t="s">
        <v>46</v>
      </c>
      <c r="AC48" s="44" t="s">
        <v>46</v>
      </c>
    </row>
    <row r="49" spans="1:29" x14ac:dyDescent="0.25">
      <c r="A49" s="38" t="s">
        <v>429</v>
      </c>
      <c r="B49" s="39" t="s">
        <v>145</v>
      </c>
      <c r="C49" s="39" t="s">
        <v>147</v>
      </c>
      <c r="D49" s="40" t="s">
        <v>397</v>
      </c>
      <c r="E49" s="40" t="s">
        <v>398</v>
      </c>
      <c r="F49" s="39" t="s">
        <v>430</v>
      </c>
      <c r="G49" s="39" t="s">
        <v>431</v>
      </c>
      <c r="H49" s="40" t="s">
        <v>128</v>
      </c>
      <c r="I49" s="40" t="s">
        <v>401</v>
      </c>
      <c r="J49" s="39" t="s">
        <v>432</v>
      </c>
      <c r="K49" s="40" t="s">
        <v>233</v>
      </c>
      <c r="L49" s="41" t="s">
        <v>122</v>
      </c>
      <c r="M49" s="39" t="s">
        <v>233</v>
      </c>
      <c r="N49" s="41" t="s">
        <v>82</v>
      </c>
      <c r="O49" s="42">
        <v>4</v>
      </c>
      <c r="P49" s="41" t="s">
        <v>46</v>
      </c>
      <c r="Q49" s="41" t="s">
        <v>66</v>
      </c>
      <c r="R49" s="41" t="s">
        <v>234</v>
      </c>
      <c r="S49" s="41" t="s">
        <v>234</v>
      </c>
      <c r="T49" s="41" t="s">
        <v>234</v>
      </c>
      <c r="U49" s="41" t="s">
        <v>234</v>
      </c>
      <c r="V49" s="41" t="s">
        <v>234</v>
      </c>
      <c r="W49" s="41" t="s">
        <v>234</v>
      </c>
      <c r="X49" s="43">
        <v>0</v>
      </c>
      <c r="Y49" s="41" t="s">
        <v>97</v>
      </c>
      <c r="Z49" s="41" t="s">
        <v>97</v>
      </c>
      <c r="AA49" s="41" t="s">
        <v>113</v>
      </c>
      <c r="AB49" s="39" t="s">
        <v>46</v>
      </c>
      <c r="AC49" s="44" t="s">
        <v>46</v>
      </c>
    </row>
    <row r="50" spans="1:29" x14ac:dyDescent="0.25">
      <c r="A50" s="45" t="s">
        <v>433</v>
      </c>
      <c r="B50" s="46" t="s">
        <v>145</v>
      </c>
      <c r="C50" s="46" t="s">
        <v>147</v>
      </c>
      <c r="D50" s="47" t="s">
        <v>397</v>
      </c>
      <c r="E50" s="47" t="s">
        <v>136</v>
      </c>
      <c r="F50" s="46" t="s">
        <v>434</v>
      </c>
      <c r="G50" s="46" t="s">
        <v>435</v>
      </c>
      <c r="H50" s="47" t="s">
        <v>128</v>
      </c>
      <c r="I50" s="47" t="s">
        <v>436</v>
      </c>
      <c r="J50" s="46" t="s">
        <v>437</v>
      </c>
      <c r="K50" s="47" t="s">
        <v>233</v>
      </c>
      <c r="L50" s="48" t="s">
        <v>122</v>
      </c>
      <c r="M50" s="46" t="s">
        <v>233</v>
      </c>
      <c r="N50" s="48" t="s">
        <v>83</v>
      </c>
      <c r="O50" s="49">
        <v>6</v>
      </c>
      <c r="P50" s="48" t="s">
        <v>46</v>
      </c>
      <c r="Q50" s="41" t="s">
        <v>66</v>
      </c>
      <c r="R50" s="41" t="s">
        <v>234</v>
      </c>
      <c r="S50" s="41" t="s">
        <v>234</v>
      </c>
      <c r="T50" s="41" t="s">
        <v>234</v>
      </c>
      <c r="U50" s="41" t="s">
        <v>234</v>
      </c>
      <c r="V50" s="41" t="s">
        <v>234</v>
      </c>
      <c r="W50" s="41" t="s">
        <v>234</v>
      </c>
      <c r="X50" s="43">
        <v>0</v>
      </c>
      <c r="Y50" s="41" t="s">
        <v>97</v>
      </c>
      <c r="Z50" s="41" t="s">
        <v>97</v>
      </c>
      <c r="AA50" s="41" t="s">
        <v>113</v>
      </c>
      <c r="AB50" s="39" t="s">
        <v>46</v>
      </c>
      <c r="AC50" s="44" t="s">
        <v>46</v>
      </c>
    </row>
    <row r="51" spans="1:29" x14ac:dyDescent="0.25">
      <c r="A51" s="38" t="s">
        <v>438</v>
      </c>
      <c r="B51" s="39" t="s">
        <v>145</v>
      </c>
      <c r="C51" s="39" t="s">
        <v>147</v>
      </c>
      <c r="D51" s="40" t="s">
        <v>397</v>
      </c>
      <c r="E51" s="40" t="s">
        <v>129</v>
      </c>
      <c r="F51" s="39" t="s">
        <v>439</v>
      </c>
      <c r="G51" s="39" t="s">
        <v>440</v>
      </c>
      <c r="H51" s="40" t="s">
        <v>128</v>
      </c>
      <c r="I51" s="40" t="s">
        <v>401</v>
      </c>
      <c r="J51" s="39" t="s">
        <v>441</v>
      </c>
      <c r="K51" s="40" t="s">
        <v>233</v>
      </c>
      <c r="L51" s="41" t="s">
        <v>122</v>
      </c>
      <c r="M51" s="39" t="s">
        <v>233</v>
      </c>
      <c r="N51" s="41" t="s">
        <v>83</v>
      </c>
      <c r="O51" s="42">
        <v>6</v>
      </c>
      <c r="P51" s="41" t="s">
        <v>46</v>
      </c>
      <c r="Q51" s="41" t="s">
        <v>66</v>
      </c>
      <c r="R51" s="41" t="s">
        <v>234</v>
      </c>
      <c r="S51" s="41" t="s">
        <v>234</v>
      </c>
      <c r="T51" s="41" t="s">
        <v>234</v>
      </c>
      <c r="U51" s="41" t="s">
        <v>234</v>
      </c>
      <c r="V51" s="41" t="s">
        <v>234</v>
      </c>
      <c r="W51" s="41" t="s">
        <v>234</v>
      </c>
      <c r="X51" s="43">
        <v>0</v>
      </c>
      <c r="Y51" s="41" t="s">
        <v>97</v>
      </c>
      <c r="Z51" s="41" t="s">
        <v>97</v>
      </c>
      <c r="AA51" s="41" t="s">
        <v>113</v>
      </c>
      <c r="AB51" s="39" t="s">
        <v>46</v>
      </c>
      <c r="AC51" s="44" t="s">
        <v>46</v>
      </c>
    </row>
    <row r="52" spans="1:29" x14ac:dyDescent="0.25">
      <c r="A52" s="45" t="s">
        <v>442</v>
      </c>
      <c r="B52" s="46" t="s">
        <v>145</v>
      </c>
      <c r="C52" s="46" t="s">
        <v>147</v>
      </c>
      <c r="D52" s="47" t="s">
        <v>397</v>
      </c>
      <c r="E52" s="47" t="s">
        <v>398</v>
      </c>
      <c r="F52" s="46" t="s">
        <v>443</v>
      </c>
      <c r="G52" s="46" t="s">
        <v>444</v>
      </c>
      <c r="H52" s="47" t="s">
        <v>128</v>
      </c>
      <c r="I52" s="47" t="s">
        <v>401</v>
      </c>
      <c r="J52" s="46" t="s">
        <v>445</v>
      </c>
      <c r="K52" s="47" t="s">
        <v>233</v>
      </c>
      <c r="L52" s="48" t="s">
        <v>122</v>
      </c>
      <c r="M52" s="46" t="s">
        <v>233</v>
      </c>
      <c r="N52" s="48" t="s">
        <v>83</v>
      </c>
      <c r="O52" s="49">
        <v>5</v>
      </c>
      <c r="P52" s="48" t="s">
        <v>46</v>
      </c>
      <c r="Q52" s="41" t="s">
        <v>66</v>
      </c>
      <c r="R52" s="41" t="s">
        <v>234</v>
      </c>
      <c r="S52" s="41" t="s">
        <v>234</v>
      </c>
      <c r="T52" s="41" t="s">
        <v>234</v>
      </c>
      <c r="U52" s="41" t="s">
        <v>234</v>
      </c>
      <c r="V52" s="41" t="s">
        <v>234</v>
      </c>
      <c r="W52" s="41" t="s">
        <v>234</v>
      </c>
      <c r="X52" s="43">
        <v>0</v>
      </c>
      <c r="Y52" s="41" t="s">
        <v>97</v>
      </c>
      <c r="Z52" s="41" t="s">
        <v>97</v>
      </c>
      <c r="AA52" s="41" t="s">
        <v>113</v>
      </c>
      <c r="AB52" s="39" t="s">
        <v>46</v>
      </c>
      <c r="AC52" s="44" t="s">
        <v>46</v>
      </c>
    </row>
    <row r="53" spans="1:29" x14ac:dyDescent="0.25">
      <c r="A53" s="38" t="s">
        <v>446</v>
      </c>
      <c r="B53" s="39" t="s">
        <v>145</v>
      </c>
      <c r="C53" s="39" t="s">
        <v>147</v>
      </c>
      <c r="D53" s="40" t="s">
        <v>397</v>
      </c>
      <c r="E53" s="40" t="s">
        <v>398</v>
      </c>
      <c r="F53" s="39" t="s">
        <v>447</v>
      </c>
      <c r="G53" s="39" t="s">
        <v>448</v>
      </c>
      <c r="H53" s="40" t="s">
        <v>128</v>
      </c>
      <c r="I53" s="40" t="s">
        <v>401</v>
      </c>
      <c r="J53" s="39" t="s">
        <v>449</v>
      </c>
      <c r="K53" s="40" t="s">
        <v>233</v>
      </c>
      <c r="L53" s="41" t="s">
        <v>122</v>
      </c>
      <c r="M53" s="39" t="s">
        <v>233</v>
      </c>
      <c r="N53" s="41" t="s">
        <v>84</v>
      </c>
      <c r="O53" s="42">
        <v>4</v>
      </c>
      <c r="P53" s="41" t="s">
        <v>46</v>
      </c>
      <c r="Q53" s="41" t="s">
        <v>66</v>
      </c>
      <c r="R53" s="41" t="s">
        <v>234</v>
      </c>
      <c r="S53" s="41" t="s">
        <v>234</v>
      </c>
      <c r="T53" s="41" t="s">
        <v>234</v>
      </c>
      <c r="U53" s="41" t="s">
        <v>234</v>
      </c>
      <c r="V53" s="41" t="s">
        <v>234</v>
      </c>
      <c r="W53" s="41" t="s">
        <v>234</v>
      </c>
      <c r="X53" s="43">
        <v>0</v>
      </c>
      <c r="Y53" s="41" t="s">
        <v>97</v>
      </c>
      <c r="Z53" s="41" t="s">
        <v>97</v>
      </c>
      <c r="AA53" s="41" t="s">
        <v>113</v>
      </c>
      <c r="AB53" s="39" t="s">
        <v>46</v>
      </c>
      <c r="AC53" s="44" t="s">
        <v>46</v>
      </c>
    </row>
    <row r="54" spans="1:29" x14ac:dyDescent="0.25">
      <c r="A54" s="45" t="s">
        <v>450</v>
      </c>
      <c r="B54" s="46" t="s">
        <v>145</v>
      </c>
      <c r="C54" s="46" t="s">
        <v>147</v>
      </c>
      <c r="D54" s="47" t="s">
        <v>397</v>
      </c>
      <c r="E54" s="47" t="s">
        <v>56</v>
      </c>
      <c r="F54" s="46" t="s">
        <v>451</v>
      </c>
      <c r="G54" s="46" t="s">
        <v>452</v>
      </c>
      <c r="H54" s="47" t="s">
        <v>128</v>
      </c>
      <c r="I54" s="47" t="s">
        <v>401</v>
      </c>
      <c r="J54" s="46" t="s">
        <v>453</v>
      </c>
      <c r="K54" s="47" t="s">
        <v>233</v>
      </c>
      <c r="L54" s="48" t="s">
        <v>122</v>
      </c>
      <c r="M54" s="46" t="s">
        <v>233</v>
      </c>
      <c r="N54" s="48" t="s">
        <v>84</v>
      </c>
      <c r="O54" s="49">
        <v>8</v>
      </c>
      <c r="P54" s="48" t="s">
        <v>46</v>
      </c>
      <c r="Q54" s="41" t="s">
        <v>66</v>
      </c>
      <c r="R54" s="41" t="s">
        <v>234</v>
      </c>
      <c r="S54" s="41" t="s">
        <v>234</v>
      </c>
      <c r="T54" s="41" t="s">
        <v>234</v>
      </c>
      <c r="U54" s="41" t="s">
        <v>234</v>
      </c>
      <c r="V54" s="41" t="s">
        <v>234</v>
      </c>
      <c r="W54" s="41" t="s">
        <v>234</v>
      </c>
      <c r="X54" s="43">
        <v>0</v>
      </c>
      <c r="Y54" s="41" t="s">
        <v>97</v>
      </c>
      <c r="Z54" s="41" t="s">
        <v>97</v>
      </c>
      <c r="AA54" s="41" t="s">
        <v>113</v>
      </c>
      <c r="AB54" s="39" t="s">
        <v>46</v>
      </c>
      <c r="AC54" s="44" t="s">
        <v>46</v>
      </c>
    </row>
    <row r="55" spans="1:29" x14ac:dyDescent="0.25">
      <c r="A55" s="38" t="s">
        <v>454</v>
      </c>
      <c r="B55" s="39" t="s">
        <v>149</v>
      </c>
      <c r="C55" s="39" t="s">
        <v>148</v>
      </c>
      <c r="D55" s="40" t="s">
        <v>455</v>
      </c>
      <c r="E55" s="40" t="s">
        <v>398</v>
      </c>
      <c r="F55" s="39" t="s">
        <v>456</v>
      </c>
      <c r="G55" s="39" t="s">
        <v>457</v>
      </c>
      <c r="H55" s="40" t="s">
        <v>128</v>
      </c>
      <c r="I55" s="40" t="s">
        <v>401</v>
      </c>
      <c r="J55" s="39" t="s">
        <v>458</v>
      </c>
      <c r="K55" s="40" t="s">
        <v>459</v>
      </c>
      <c r="L55" s="41" t="s">
        <v>122</v>
      </c>
      <c r="M55" s="39" t="s">
        <v>460</v>
      </c>
      <c r="N55" s="41" t="s">
        <v>84</v>
      </c>
      <c r="O55" s="42">
        <v>6</v>
      </c>
      <c r="P55" s="41" t="s">
        <v>46</v>
      </c>
      <c r="Q55" s="41" t="s">
        <v>66</v>
      </c>
      <c r="R55" s="41" t="s">
        <v>234</v>
      </c>
      <c r="S55" s="41" t="s">
        <v>234</v>
      </c>
      <c r="T55" s="41" t="s">
        <v>234</v>
      </c>
      <c r="U55" s="41" t="s">
        <v>234</v>
      </c>
      <c r="V55" s="41" t="s">
        <v>234</v>
      </c>
      <c r="W55" s="41" t="s">
        <v>234</v>
      </c>
      <c r="X55" s="43">
        <v>0</v>
      </c>
      <c r="Y55" s="41" t="s">
        <v>97</v>
      </c>
      <c r="Z55" s="41" t="s">
        <v>97</v>
      </c>
      <c r="AA55" s="41" t="s">
        <v>113</v>
      </c>
      <c r="AB55" s="39" t="s">
        <v>46</v>
      </c>
      <c r="AC55" s="44" t="s">
        <v>46</v>
      </c>
    </row>
    <row r="56" spans="1:29" x14ac:dyDescent="0.25">
      <c r="A56" s="45" t="s">
        <v>461</v>
      </c>
      <c r="B56" s="46" t="s">
        <v>149</v>
      </c>
      <c r="C56" s="46" t="s">
        <v>148</v>
      </c>
      <c r="D56" s="47" t="s">
        <v>455</v>
      </c>
      <c r="E56" s="47" t="s">
        <v>124</v>
      </c>
      <c r="F56" s="46" t="s">
        <v>462</v>
      </c>
      <c r="G56" s="46" t="s">
        <v>463</v>
      </c>
      <c r="H56" s="47" t="s">
        <v>126</v>
      </c>
      <c r="I56" s="47" t="s">
        <v>364</v>
      </c>
      <c r="J56" s="46" t="s">
        <v>464</v>
      </c>
      <c r="K56" s="47" t="s">
        <v>465</v>
      </c>
      <c r="L56" s="48" t="s">
        <v>122</v>
      </c>
      <c r="M56" s="46" t="s">
        <v>460</v>
      </c>
      <c r="N56" s="48" t="s">
        <v>85</v>
      </c>
      <c r="O56" s="49">
        <v>8</v>
      </c>
      <c r="P56" s="48" t="s">
        <v>46</v>
      </c>
      <c r="Q56" s="41" t="s">
        <v>66</v>
      </c>
      <c r="R56" s="41" t="s">
        <v>234</v>
      </c>
      <c r="S56" s="41" t="s">
        <v>234</v>
      </c>
      <c r="T56" s="41" t="s">
        <v>234</v>
      </c>
      <c r="U56" s="41" t="s">
        <v>234</v>
      </c>
      <c r="V56" s="41" t="s">
        <v>234</v>
      </c>
      <c r="W56" s="41" t="s">
        <v>234</v>
      </c>
      <c r="X56" s="43">
        <v>0</v>
      </c>
      <c r="Y56" s="41" t="s">
        <v>97</v>
      </c>
      <c r="Z56" s="41" t="s">
        <v>97</v>
      </c>
      <c r="AA56" s="41" t="s">
        <v>113</v>
      </c>
      <c r="AB56" s="39" t="s">
        <v>46</v>
      </c>
      <c r="AC56" s="44" t="s">
        <v>46</v>
      </c>
    </row>
    <row r="57" spans="1:29" x14ac:dyDescent="0.25">
      <c r="A57" s="38" t="s">
        <v>466</v>
      </c>
      <c r="B57" s="39" t="s">
        <v>149</v>
      </c>
      <c r="C57" s="39" t="s">
        <v>148</v>
      </c>
      <c r="D57" s="40" t="s">
        <v>455</v>
      </c>
      <c r="E57" s="40" t="s">
        <v>131</v>
      </c>
      <c r="F57" s="39" t="s">
        <v>467</v>
      </c>
      <c r="G57" s="39" t="s">
        <v>468</v>
      </c>
      <c r="H57" s="40" t="s">
        <v>126</v>
      </c>
      <c r="I57" s="40" t="s">
        <v>469</v>
      </c>
      <c r="J57" s="39" t="s">
        <v>470</v>
      </c>
      <c r="K57" s="40" t="s">
        <v>471</v>
      </c>
      <c r="L57" s="41" t="s">
        <v>122</v>
      </c>
      <c r="M57" s="39" t="s">
        <v>460</v>
      </c>
      <c r="N57" s="41" t="s">
        <v>85</v>
      </c>
      <c r="O57" s="42">
        <v>8</v>
      </c>
      <c r="P57" s="41" t="s">
        <v>46</v>
      </c>
      <c r="Q57" s="41" t="s">
        <v>66</v>
      </c>
      <c r="R57" s="41" t="s">
        <v>234</v>
      </c>
      <c r="S57" s="41" t="s">
        <v>234</v>
      </c>
      <c r="T57" s="41" t="s">
        <v>234</v>
      </c>
      <c r="U57" s="41" t="s">
        <v>234</v>
      </c>
      <c r="V57" s="41" t="s">
        <v>234</v>
      </c>
      <c r="W57" s="41" t="s">
        <v>234</v>
      </c>
      <c r="X57" s="43">
        <v>0</v>
      </c>
      <c r="Y57" s="41" t="s">
        <v>97</v>
      </c>
      <c r="Z57" s="41" t="s">
        <v>97</v>
      </c>
      <c r="AA57" s="41" t="s">
        <v>113</v>
      </c>
      <c r="AB57" s="39" t="s">
        <v>46</v>
      </c>
      <c r="AC57" s="44" t="s">
        <v>46</v>
      </c>
    </row>
    <row r="58" spans="1:29" x14ac:dyDescent="0.25">
      <c r="A58" s="45" t="s">
        <v>472</v>
      </c>
      <c r="B58" s="46" t="s">
        <v>149</v>
      </c>
      <c r="C58" s="46" t="s">
        <v>148</v>
      </c>
      <c r="D58" s="47" t="s">
        <v>455</v>
      </c>
      <c r="E58" s="47" t="s">
        <v>129</v>
      </c>
      <c r="F58" s="46" t="s">
        <v>473</v>
      </c>
      <c r="G58" s="46" t="s">
        <v>474</v>
      </c>
      <c r="H58" s="47" t="s">
        <v>126</v>
      </c>
      <c r="I58" s="47" t="s">
        <v>325</v>
      </c>
      <c r="J58" s="46" t="s">
        <v>475</v>
      </c>
      <c r="K58" s="47" t="s">
        <v>471</v>
      </c>
      <c r="L58" s="48" t="s">
        <v>122</v>
      </c>
      <c r="M58" s="46" t="s">
        <v>460</v>
      </c>
      <c r="N58" s="48" t="s">
        <v>85</v>
      </c>
      <c r="O58" s="49">
        <v>5</v>
      </c>
      <c r="P58" s="48" t="s">
        <v>46</v>
      </c>
      <c r="Q58" s="41" t="s">
        <v>66</v>
      </c>
      <c r="R58" s="41" t="s">
        <v>234</v>
      </c>
      <c r="S58" s="41" t="s">
        <v>234</v>
      </c>
      <c r="T58" s="41" t="s">
        <v>234</v>
      </c>
      <c r="U58" s="41" t="s">
        <v>234</v>
      </c>
      <c r="V58" s="41" t="s">
        <v>234</v>
      </c>
      <c r="W58" s="41" t="s">
        <v>234</v>
      </c>
      <c r="X58" s="43">
        <v>0</v>
      </c>
      <c r="Y58" s="41" t="s">
        <v>97</v>
      </c>
      <c r="Z58" s="41" t="s">
        <v>97</v>
      </c>
      <c r="AA58" s="41" t="s">
        <v>113</v>
      </c>
      <c r="AB58" s="39" t="s">
        <v>46</v>
      </c>
      <c r="AC58" s="44" t="s">
        <v>46</v>
      </c>
    </row>
    <row r="59" spans="1:29" x14ac:dyDescent="0.25">
      <c r="A59" s="38" t="s">
        <v>476</v>
      </c>
      <c r="B59" s="39" t="s">
        <v>149</v>
      </c>
      <c r="C59" s="39" t="s">
        <v>148</v>
      </c>
      <c r="D59" s="40" t="s">
        <v>455</v>
      </c>
      <c r="E59" s="40" t="s">
        <v>124</v>
      </c>
      <c r="F59" s="39" t="s">
        <v>477</v>
      </c>
      <c r="G59" s="39" t="s">
        <v>478</v>
      </c>
      <c r="H59" s="40" t="s">
        <v>126</v>
      </c>
      <c r="I59" s="40" t="s">
        <v>325</v>
      </c>
      <c r="J59" s="39" t="s">
        <v>479</v>
      </c>
      <c r="K59" s="40" t="s">
        <v>471</v>
      </c>
      <c r="L59" s="41" t="s">
        <v>122</v>
      </c>
      <c r="M59" s="39" t="s">
        <v>460</v>
      </c>
      <c r="N59" s="41" t="s">
        <v>86</v>
      </c>
      <c r="O59" s="42">
        <v>5</v>
      </c>
      <c r="P59" s="41" t="s">
        <v>46</v>
      </c>
      <c r="Q59" s="41" t="s">
        <v>66</v>
      </c>
      <c r="R59" s="41" t="s">
        <v>234</v>
      </c>
      <c r="S59" s="41" t="s">
        <v>234</v>
      </c>
      <c r="T59" s="41" t="s">
        <v>234</v>
      </c>
      <c r="U59" s="41" t="s">
        <v>234</v>
      </c>
      <c r="V59" s="41" t="s">
        <v>234</v>
      </c>
      <c r="W59" s="41" t="s">
        <v>234</v>
      </c>
      <c r="X59" s="43">
        <v>0</v>
      </c>
      <c r="Y59" s="41" t="s">
        <v>97</v>
      </c>
      <c r="Z59" s="41" t="s">
        <v>97</v>
      </c>
      <c r="AA59" s="41" t="s">
        <v>113</v>
      </c>
      <c r="AB59" s="39" t="s">
        <v>46</v>
      </c>
      <c r="AC59" s="44" t="s">
        <v>46</v>
      </c>
    </row>
    <row r="60" spans="1:29" x14ac:dyDescent="0.25">
      <c r="A60" s="45" t="s">
        <v>480</v>
      </c>
      <c r="B60" s="46" t="s">
        <v>149</v>
      </c>
      <c r="C60" s="46" t="s">
        <v>148</v>
      </c>
      <c r="D60" s="47" t="s">
        <v>455</v>
      </c>
      <c r="E60" s="47" t="s">
        <v>131</v>
      </c>
      <c r="F60" s="46" t="s">
        <v>481</v>
      </c>
      <c r="G60" s="46" t="s">
        <v>482</v>
      </c>
      <c r="H60" s="47" t="s">
        <v>126</v>
      </c>
      <c r="I60" s="47" t="s">
        <v>469</v>
      </c>
      <c r="J60" s="46" t="s">
        <v>483</v>
      </c>
      <c r="K60" s="47" t="s">
        <v>471</v>
      </c>
      <c r="L60" s="48" t="s">
        <v>122</v>
      </c>
      <c r="M60" s="46" t="s">
        <v>460</v>
      </c>
      <c r="N60" s="48" t="s">
        <v>86</v>
      </c>
      <c r="O60" s="49">
        <v>5</v>
      </c>
      <c r="P60" s="48" t="s">
        <v>46</v>
      </c>
      <c r="Q60" s="41" t="s">
        <v>66</v>
      </c>
      <c r="R60" s="41" t="s">
        <v>234</v>
      </c>
      <c r="S60" s="41" t="s">
        <v>234</v>
      </c>
      <c r="T60" s="41" t="s">
        <v>234</v>
      </c>
      <c r="U60" s="41" t="s">
        <v>234</v>
      </c>
      <c r="V60" s="41" t="s">
        <v>234</v>
      </c>
      <c r="W60" s="41" t="s">
        <v>234</v>
      </c>
      <c r="X60" s="43">
        <v>0</v>
      </c>
      <c r="Y60" s="41" t="s">
        <v>97</v>
      </c>
      <c r="Z60" s="41" t="s">
        <v>97</v>
      </c>
      <c r="AA60" s="41" t="s">
        <v>113</v>
      </c>
      <c r="AB60" s="39" t="s">
        <v>46</v>
      </c>
      <c r="AC60" s="44" t="s">
        <v>46</v>
      </c>
    </row>
    <row r="61" spans="1:29" x14ac:dyDescent="0.25">
      <c r="A61" s="38" t="s">
        <v>484</v>
      </c>
      <c r="B61" s="39" t="s">
        <v>149</v>
      </c>
      <c r="C61" s="39" t="s">
        <v>148</v>
      </c>
      <c r="D61" s="40" t="s">
        <v>455</v>
      </c>
      <c r="E61" s="40" t="s">
        <v>131</v>
      </c>
      <c r="F61" s="39" t="s">
        <v>485</v>
      </c>
      <c r="G61" s="39" t="s">
        <v>486</v>
      </c>
      <c r="H61" s="40" t="s">
        <v>126</v>
      </c>
      <c r="I61" s="40" t="s">
        <v>469</v>
      </c>
      <c r="J61" s="39" t="s">
        <v>487</v>
      </c>
      <c r="K61" s="40" t="s">
        <v>471</v>
      </c>
      <c r="L61" s="41" t="s">
        <v>122</v>
      </c>
      <c r="M61" s="39" t="s">
        <v>460</v>
      </c>
      <c r="N61" s="41" t="s">
        <v>86</v>
      </c>
      <c r="O61" s="42">
        <v>6</v>
      </c>
      <c r="P61" s="41" t="s">
        <v>46</v>
      </c>
      <c r="Q61" s="41" t="s">
        <v>66</v>
      </c>
      <c r="R61" s="41" t="s">
        <v>234</v>
      </c>
      <c r="S61" s="41" t="s">
        <v>234</v>
      </c>
      <c r="T61" s="41" t="s">
        <v>234</v>
      </c>
      <c r="U61" s="41" t="s">
        <v>234</v>
      </c>
      <c r="V61" s="41" t="s">
        <v>234</v>
      </c>
      <c r="W61" s="41" t="s">
        <v>234</v>
      </c>
      <c r="X61" s="43">
        <v>0</v>
      </c>
      <c r="Y61" s="41" t="s">
        <v>97</v>
      </c>
      <c r="Z61" s="41" t="s">
        <v>97</v>
      </c>
      <c r="AA61" s="41" t="s">
        <v>113</v>
      </c>
      <c r="AB61" s="39" t="s">
        <v>46</v>
      </c>
      <c r="AC61" s="44" t="s">
        <v>46</v>
      </c>
    </row>
    <row r="62" spans="1:29" x14ac:dyDescent="0.25">
      <c r="A62" s="45" t="s">
        <v>488</v>
      </c>
      <c r="B62" s="46" t="s">
        <v>149</v>
      </c>
      <c r="C62" s="46" t="s">
        <v>148</v>
      </c>
      <c r="D62" s="47" t="s">
        <v>455</v>
      </c>
      <c r="E62" s="47" t="s">
        <v>124</v>
      </c>
      <c r="F62" s="46" t="s">
        <v>489</v>
      </c>
      <c r="G62" s="46" t="s">
        <v>490</v>
      </c>
      <c r="H62" s="47" t="s">
        <v>126</v>
      </c>
      <c r="I62" s="47" t="s">
        <v>325</v>
      </c>
      <c r="J62" s="46" t="s">
        <v>491</v>
      </c>
      <c r="K62" s="47" t="s">
        <v>471</v>
      </c>
      <c r="L62" s="48" t="s">
        <v>122</v>
      </c>
      <c r="M62" s="46" t="s">
        <v>460</v>
      </c>
      <c r="N62" s="48" t="s">
        <v>86</v>
      </c>
      <c r="O62" s="49">
        <v>5</v>
      </c>
      <c r="P62" s="48" t="s">
        <v>46</v>
      </c>
      <c r="Q62" s="41" t="s">
        <v>66</v>
      </c>
      <c r="R62" s="41" t="s">
        <v>234</v>
      </c>
      <c r="S62" s="41" t="s">
        <v>234</v>
      </c>
      <c r="T62" s="41" t="s">
        <v>234</v>
      </c>
      <c r="U62" s="41" t="s">
        <v>234</v>
      </c>
      <c r="V62" s="41" t="s">
        <v>234</v>
      </c>
      <c r="W62" s="41" t="s">
        <v>234</v>
      </c>
      <c r="X62" s="43">
        <v>0</v>
      </c>
      <c r="Y62" s="41" t="s">
        <v>97</v>
      </c>
      <c r="Z62" s="41" t="s">
        <v>97</v>
      </c>
      <c r="AA62" s="41" t="s">
        <v>113</v>
      </c>
      <c r="AB62" s="39" t="s">
        <v>46</v>
      </c>
      <c r="AC62" s="44" t="s">
        <v>46</v>
      </c>
    </row>
    <row r="63" spans="1:29" x14ac:dyDescent="0.25">
      <c r="A63" s="38" t="s">
        <v>492</v>
      </c>
      <c r="B63" s="39" t="s">
        <v>149</v>
      </c>
      <c r="C63" s="39" t="s">
        <v>148</v>
      </c>
      <c r="D63" s="40" t="s">
        <v>455</v>
      </c>
      <c r="E63" s="40" t="s">
        <v>124</v>
      </c>
      <c r="F63" s="39" t="s">
        <v>493</v>
      </c>
      <c r="G63" s="39" t="s">
        <v>494</v>
      </c>
      <c r="H63" s="40" t="s">
        <v>132</v>
      </c>
      <c r="I63" s="40" t="s">
        <v>495</v>
      </c>
      <c r="J63" s="39" t="s">
        <v>496</v>
      </c>
      <c r="K63" s="40" t="s">
        <v>471</v>
      </c>
      <c r="L63" s="41" t="s">
        <v>125</v>
      </c>
      <c r="M63" s="39" t="s">
        <v>460</v>
      </c>
      <c r="N63" s="41" t="s">
        <v>87</v>
      </c>
      <c r="O63" s="42">
        <v>8</v>
      </c>
      <c r="P63" s="41" t="s">
        <v>46</v>
      </c>
      <c r="Q63" s="41" t="s">
        <v>66</v>
      </c>
      <c r="R63" s="41" t="s">
        <v>234</v>
      </c>
      <c r="S63" s="41" t="s">
        <v>234</v>
      </c>
      <c r="T63" s="41" t="s">
        <v>234</v>
      </c>
      <c r="U63" s="41" t="s">
        <v>234</v>
      </c>
      <c r="V63" s="41" t="s">
        <v>234</v>
      </c>
      <c r="W63" s="41" t="s">
        <v>234</v>
      </c>
      <c r="X63" s="43">
        <v>0</v>
      </c>
      <c r="Y63" s="41" t="s">
        <v>97</v>
      </c>
      <c r="Z63" s="41" t="s">
        <v>97</v>
      </c>
      <c r="AA63" s="41" t="s">
        <v>113</v>
      </c>
      <c r="AB63" s="39" t="s">
        <v>46</v>
      </c>
      <c r="AC63" s="44" t="s">
        <v>46</v>
      </c>
    </row>
    <row r="64" spans="1:29" x14ac:dyDescent="0.25">
      <c r="A64" s="45" t="s">
        <v>497</v>
      </c>
      <c r="B64" s="46" t="s">
        <v>149</v>
      </c>
      <c r="C64" s="46" t="s">
        <v>148</v>
      </c>
      <c r="D64" s="47" t="s">
        <v>455</v>
      </c>
      <c r="E64" s="47" t="s">
        <v>135</v>
      </c>
      <c r="F64" s="46" t="s">
        <v>498</v>
      </c>
      <c r="G64" s="46" t="s">
        <v>499</v>
      </c>
      <c r="H64" s="47" t="s">
        <v>123</v>
      </c>
      <c r="I64" s="47" t="s">
        <v>135</v>
      </c>
      <c r="J64" s="46" t="s">
        <v>500</v>
      </c>
      <c r="K64" s="47" t="s">
        <v>501</v>
      </c>
      <c r="L64" s="48" t="s">
        <v>122</v>
      </c>
      <c r="M64" s="46" t="s">
        <v>460</v>
      </c>
      <c r="N64" s="48" t="s">
        <v>86</v>
      </c>
      <c r="O64" s="49">
        <v>8</v>
      </c>
      <c r="P64" s="48" t="s">
        <v>46</v>
      </c>
      <c r="Q64" s="41" t="s">
        <v>66</v>
      </c>
      <c r="R64" s="41" t="s">
        <v>234</v>
      </c>
      <c r="S64" s="41" t="s">
        <v>234</v>
      </c>
      <c r="T64" s="41" t="s">
        <v>234</v>
      </c>
      <c r="U64" s="41" t="s">
        <v>234</v>
      </c>
      <c r="V64" s="41" t="s">
        <v>234</v>
      </c>
      <c r="W64" s="41" t="s">
        <v>234</v>
      </c>
      <c r="X64" s="43">
        <v>0</v>
      </c>
      <c r="Y64" s="41" t="s">
        <v>97</v>
      </c>
      <c r="Z64" s="41" t="s">
        <v>97</v>
      </c>
      <c r="AA64" s="41" t="s">
        <v>113</v>
      </c>
      <c r="AB64" s="39" t="s">
        <v>46</v>
      </c>
      <c r="AC64" s="44" t="s">
        <v>46</v>
      </c>
    </row>
    <row r="65" spans="1:29" x14ac:dyDescent="0.25">
      <c r="A65" s="38" t="s">
        <v>502</v>
      </c>
      <c r="B65" s="39" t="s">
        <v>149</v>
      </c>
      <c r="C65" s="39" t="s">
        <v>148</v>
      </c>
      <c r="D65" s="40" t="s">
        <v>455</v>
      </c>
      <c r="E65" s="40" t="s">
        <v>123</v>
      </c>
      <c r="F65" s="39" t="s">
        <v>503</v>
      </c>
      <c r="G65" s="39" t="s">
        <v>504</v>
      </c>
      <c r="H65" s="40" t="s">
        <v>123</v>
      </c>
      <c r="I65" s="40" t="s">
        <v>307</v>
      </c>
      <c r="J65" s="39" t="s">
        <v>505</v>
      </c>
      <c r="K65" s="40" t="s">
        <v>471</v>
      </c>
      <c r="L65" s="41" t="s">
        <v>122</v>
      </c>
      <c r="M65" s="39" t="s">
        <v>460</v>
      </c>
      <c r="N65" s="41" t="s">
        <v>86</v>
      </c>
      <c r="O65" s="42">
        <v>6</v>
      </c>
      <c r="P65" s="41" t="s">
        <v>46</v>
      </c>
      <c r="Q65" s="41" t="s">
        <v>66</v>
      </c>
      <c r="R65" s="41" t="s">
        <v>234</v>
      </c>
      <c r="S65" s="41" t="s">
        <v>234</v>
      </c>
      <c r="T65" s="41" t="s">
        <v>234</v>
      </c>
      <c r="U65" s="41" t="s">
        <v>234</v>
      </c>
      <c r="V65" s="41" t="s">
        <v>234</v>
      </c>
      <c r="W65" s="41" t="s">
        <v>234</v>
      </c>
      <c r="X65" s="43">
        <v>0</v>
      </c>
      <c r="Y65" s="41" t="s">
        <v>97</v>
      </c>
      <c r="Z65" s="41" t="s">
        <v>97</v>
      </c>
      <c r="AA65" s="41" t="s">
        <v>113</v>
      </c>
      <c r="AB65" s="39" t="s">
        <v>46</v>
      </c>
      <c r="AC65" s="44" t="s">
        <v>46</v>
      </c>
    </row>
    <row r="66" spans="1:29" x14ac:dyDescent="0.25">
      <c r="A66" s="45" t="s">
        <v>506</v>
      </c>
      <c r="B66" s="46" t="s">
        <v>149</v>
      </c>
      <c r="C66" s="46" t="s">
        <v>148</v>
      </c>
      <c r="D66" s="47" t="s">
        <v>455</v>
      </c>
      <c r="E66" s="47" t="s">
        <v>129</v>
      </c>
      <c r="F66" s="46" t="s">
        <v>507</v>
      </c>
      <c r="G66" s="46" t="s">
        <v>508</v>
      </c>
      <c r="H66" s="47" t="s">
        <v>123</v>
      </c>
      <c r="I66" s="47" t="s">
        <v>495</v>
      </c>
      <c r="J66" s="46" t="s">
        <v>509</v>
      </c>
      <c r="K66" s="47" t="s">
        <v>471</v>
      </c>
      <c r="L66" s="48" t="s">
        <v>122</v>
      </c>
      <c r="M66" s="46" t="s">
        <v>460</v>
      </c>
      <c r="N66" s="48" t="s">
        <v>87</v>
      </c>
      <c r="O66" s="49">
        <v>8</v>
      </c>
      <c r="P66" s="48" t="s">
        <v>46</v>
      </c>
      <c r="Q66" s="41" t="s">
        <v>66</v>
      </c>
      <c r="R66" s="41" t="s">
        <v>234</v>
      </c>
      <c r="S66" s="41" t="s">
        <v>234</v>
      </c>
      <c r="T66" s="41" t="s">
        <v>234</v>
      </c>
      <c r="U66" s="41" t="s">
        <v>234</v>
      </c>
      <c r="V66" s="41" t="s">
        <v>234</v>
      </c>
      <c r="W66" s="41" t="s">
        <v>234</v>
      </c>
      <c r="X66" s="43">
        <v>0</v>
      </c>
      <c r="Y66" s="41" t="s">
        <v>97</v>
      </c>
      <c r="Z66" s="41" t="s">
        <v>97</v>
      </c>
      <c r="AA66" s="41" t="s">
        <v>113</v>
      </c>
      <c r="AB66" s="39" t="s">
        <v>46</v>
      </c>
      <c r="AC66" s="44" t="s">
        <v>46</v>
      </c>
    </row>
    <row r="67" spans="1:29" x14ac:dyDescent="0.25">
      <c r="A67" s="38" t="s">
        <v>510</v>
      </c>
      <c r="B67" s="39" t="s">
        <v>149</v>
      </c>
      <c r="C67" s="39" t="s">
        <v>148</v>
      </c>
      <c r="D67" s="40" t="s">
        <v>455</v>
      </c>
      <c r="E67" s="40" t="s">
        <v>123</v>
      </c>
      <c r="F67" s="39" t="s">
        <v>511</v>
      </c>
      <c r="G67" s="39" t="s">
        <v>512</v>
      </c>
      <c r="H67" s="40" t="s">
        <v>123</v>
      </c>
      <c r="I67" s="40" t="s">
        <v>513</v>
      </c>
      <c r="J67" s="39" t="s">
        <v>514</v>
      </c>
      <c r="K67" s="40" t="s">
        <v>471</v>
      </c>
      <c r="L67" s="41" t="s">
        <v>122</v>
      </c>
      <c r="M67" s="39" t="s">
        <v>460</v>
      </c>
      <c r="N67" s="41" t="s">
        <v>87</v>
      </c>
      <c r="O67" s="42">
        <v>6</v>
      </c>
      <c r="P67" s="41" t="s">
        <v>46</v>
      </c>
      <c r="Q67" s="41" t="s">
        <v>66</v>
      </c>
      <c r="R67" s="41" t="s">
        <v>234</v>
      </c>
      <c r="S67" s="41" t="s">
        <v>234</v>
      </c>
      <c r="T67" s="41" t="s">
        <v>234</v>
      </c>
      <c r="U67" s="41" t="s">
        <v>234</v>
      </c>
      <c r="V67" s="41" t="s">
        <v>234</v>
      </c>
      <c r="W67" s="41" t="s">
        <v>234</v>
      </c>
      <c r="X67" s="43">
        <v>0</v>
      </c>
      <c r="Y67" s="41" t="s">
        <v>97</v>
      </c>
      <c r="Z67" s="41" t="s">
        <v>97</v>
      </c>
      <c r="AA67" s="41" t="s">
        <v>113</v>
      </c>
      <c r="AB67" s="39" t="s">
        <v>46</v>
      </c>
      <c r="AC67" s="44" t="s">
        <v>46</v>
      </c>
    </row>
    <row r="68" spans="1:29" x14ac:dyDescent="0.25">
      <c r="A68" s="45" t="s">
        <v>515</v>
      </c>
      <c r="B68" s="46" t="s">
        <v>149</v>
      </c>
      <c r="C68" s="46" t="s">
        <v>148</v>
      </c>
      <c r="D68" s="47" t="s">
        <v>455</v>
      </c>
      <c r="E68" s="47" t="s">
        <v>295</v>
      </c>
      <c r="F68" s="46" t="s">
        <v>516</v>
      </c>
      <c r="G68" s="46" t="s">
        <v>517</v>
      </c>
      <c r="H68" s="47" t="s">
        <v>123</v>
      </c>
      <c r="I68" s="47" t="s">
        <v>298</v>
      </c>
      <c r="J68" s="46" t="s">
        <v>518</v>
      </c>
      <c r="K68" s="47" t="s">
        <v>471</v>
      </c>
      <c r="L68" s="48" t="s">
        <v>122</v>
      </c>
      <c r="M68" s="46" t="s">
        <v>460</v>
      </c>
      <c r="N68" s="48" t="s">
        <v>86</v>
      </c>
      <c r="O68" s="49">
        <v>8</v>
      </c>
      <c r="P68" s="48" t="s">
        <v>46</v>
      </c>
      <c r="Q68" s="41" t="s">
        <v>66</v>
      </c>
      <c r="R68" s="41" t="s">
        <v>234</v>
      </c>
      <c r="S68" s="41" t="s">
        <v>234</v>
      </c>
      <c r="T68" s="41" t="s">
        <v>234</v>
      </c>
      <c r="U68" s="41" t="s">
        <v>234</v>
      </c>
      <c r="V68" s="41" t="s">
        <v>234</v>
      </c>
      <c r="W68" s="41" t="s">
        <v>234</v>
      </c>
      <c r="X68" s="43">
        <v>0</v>
      </c>
      <c r="Y68" s="41" t="s">
        <v>97</v>
      </c>
      <c r="Z68" s="41" t="s">
        <v>97</v>
      </c>
      <c r="AA68" s="41" t="s">
        <v>113</v>
      </c>
      <c r="AB68" s="39" t="s">
        <v>46</v>
      </c>
      <c r="AC68" s="44" t="s">
        <v>46</v>
      </c>
    </row>
    <row r="69" spans="1:29" x14ac:dyDescent="0.25">
      <c r="A69" s="38" t="s">
        <v>519</v>
      </c>
      <c r="B69" s="39" t="s">
        <v>149</v>
      </c>
      <c r="C69" s="39" t="s">
        <v>148</v>
      </c>
      <c r="D69" s="40" t="s">
        <v>455</v>
      </c>
      <c r="E69" s="40" t="s">
        <v>56</v>
      </c>
      <c r="F69" s="39" t="s">
        <v>520</v>
      </c>
      <c r="G69" s="39" t="s">
        <v>521</v>
      </c>
      <c r="H69" s="40" t="s">
        <v>132</v>
      </c>
      <c r="I69" s="40" t="s">
        <v>522</v>
      </c>
      <c r="J69" s="39" t="s">
        <v>523</v>
      </c>
      <c r="K69" s="40" t="s">
        <v>471</v>
      </c>
      <c r="L69" s="41" t="s">
        <v>122</v>
      </c>
      <c r="M69" s="39" t="s">
        <v>460</v>
      </c>
      <c r="N69" s="41" t="s">
        <v>87</v>
      </c>
      <c r="O69" s="42">
        <v>10</v>
      </c>
      <c r="P69" s="41" t="s">
        <v>46</v>
      </c>
      <c r="Q69" s="41" t="s">
        <v>66</v>
      </c>
      <c r="R69" s="41" t="s">
        <v>234</v>
      </c>
      <c r="S69" s="41" t="s">
        <v>234</v>
      </c>
      <c r="T69" s="41" t="s">
        <v>234</v>
      </c>
      <c r="U69" s="41" t="s">
        <v>234</v>
      </c>
      <c r="V69" s="41" t="s">
        <v>234</v>
      </c>
      <c r="W69" s="41" t="s">
        <v>234</v>
      </c>
      <c r="X69" s="43">
        <v>0</v>
      </c>
      <c r="Y69" s="41" t="s">
        <v>97</v>
      </c>
      <c r="Z69" s="41" t="s">
        <v>97</v>
      </c>
      <c r="AA69" s="41" t="s">
        <v>113</v>
      </c>
      <c r="AB69" s="39" t="s">
        <v>46</v>
      </c>
      <c r="AC69" s="44" t="s">
        <v>46</v>
      </c>
    </row>
    <row r="70" spans="1:29" x14ac:dyDescent="0.25">
      <c r="A70" s="45" t="s">
        <v>524</v>
      </c>
      <c r="B70" s="46" t="s">
        <v>149</v>
      </c>
      <c r="C70" s="46" t="s">
        <v>150</v>
      </c>
      <c r="D70" s="47" t="s">
        <v>525</v>
      </c>
      <c r="E70" s="47" t="s">
        <v>398</v>
      </c>
      <c r="F70" s="46" t="s">
        <v>526</v>
      </c>
      <c r="G70" s="46" t="s">
        <v>527</v>
      </c>
      <c r="H70" s="47" t="s">
        <v>128</v>
      </c>
      <c r="I70" s="47" t="s">
        <v>401</v>
      </c>
      <c r="J70" s="46" t="s">
        <v>528</v>
      </c>
      <c r="K70" s="47" t="s">
        <v>529</v>
      </c>
      <c r="L70" s="48" t="s">
        <v>122</v>
      </c>
      <c r="M70" s="46" t="s">
        <v>530</v>
      </c>
      <c r="N70" s="48" t="s">
        <v>84</v>
      </c>
      <c r="O70" s="49">
        <v>4</v>
      </c>
      <c r="P70" s="48" t="s">
        <v>46</v>
      </c>
      <c r="Q70" s="41" t="s">
        <v>66</v>
      </c>
      <c r="R70" s="41" t="s">
        <v>234</v>
      </c>
      <c r="S70" s="41" t="s">
        <v>234</v>
      </c>
      <c r="T70" s="41" t="s">
        <v>234</v>
      </c>
      <c r="U70" s="41" t="s">
        <v>234</v>
      </c>
      <c r="V70" s="41" t="s">
        <v>234</v>
      </c>
      <c r="W70" s="41" t="s">
        <v>234</v>
      </c>
      <c r="X70" s="43">
        <v>0</v>
      </c>
      <c r="Y70" s="41" t="s">
        <v>97</v>
      </c>
      <c r="Z70" s="41" t="s">
        <v>97</v>
      </c>
      <c r="AA70" s="41" t="s">
        <v>113</v>
      </c>
      <c r="AB70" s="39" t="s">
        <v>46</v>
      </c>
      <c r="AC70" s="44" t="s">
        <v>46</v>
      </c>
    </row>
    <row r="71" spans="1:29" x14ac:dyDescent="0.25">
      <c r="A71" s="38" t="s">
        <v>531</v>
      </c>
      <c r="B71" s="39" t="s">
        <v>149</v>
      </c>
      <c r="C71" s="39" t="s">
        <v>150</v>
      </c>
      <c r="D71" s="40" t="s">
        <v>525</v>
      </c>
      <c r="E71" s="40" t="s">
        <v>124</v>
      </c>
      <c r="F71" s="39" t="s">
        <v>532</v>
      </c>
      <c r="G71" s="39" t="s">
        <v>533</v>
      </c>
      <c r="H71" s="40" t="s">
        <v>126</v>
      </c>
      <c r="I71" s="40" t="s">
        <v>325</v>
      </c>
      <c r="J71" s="39" t="s">
        <v>534</v>
      </c>
      <c r="K71" s="40" t="s">
        <v>529</v>
      </c>
      <c r="L71" s="41" t="s">
        <v>122</v>
      </c>
      <c r="M71" s="39" t="s">
        <v>530</v>
      </c>
      <c r="N71" s="41" t="s">
        <v>85</v>
      </c>
      <c r="O71" s="42">
        <v>5</v>
      </c>
      <c r="P71" s="41" t="s">
        <v>46</v>
      </c>
      <c r="Q71" s="41" t="s">
        <v>66</v>
      </c>
      <c r="R71" s="41" t="s">
        <v>234</v>
      </c>
      <c r="S71" s="41" t="s">
        <v>234</v>
      </c>
      <c r="T71" s="41" t="s">
        <v>234</v>
      </c>
      <c r="U71" s="41" t="s">
        <v>234</v>
      </c>
      <c r="V71" s="41" t="s">
        <v>234</v>
      </c>
      <c r="W71" s="41" t="s">
        <v>234</v>
      </c>
      <c r="X71" s="43">
        <v>0</v>
      </c>
      <c r="Y71" s="41" t="s">
        <v>97</v>
      </c>
      <c r="Z71" s="41" t="s">
        <v>97</v>
      </c>
      <c r="AA71" s="41" t="s">
        <v>113</v>
      </c>
      <c r="AB71" s="39" t="s">
        <v>46</v>
      </c>
      <c r="AC71" s="44" t="s">
        <v>46</v>
      </c>
    </row>
    <row r="72" spans="1:29" x14ac:dyDescent="0.25">
      <c r="A72" s="45" t="s">
        <v>535</v>
      </c>
      <c r="B72" s="46" t="s">
        <v>149</v>
      </c>
      <c r="C72" s="46" t="s">
        <v>150</v>
      </c>
      <c r="D72" s="47" t="s">
        <v>525</v>
      </c>
      <c r="E72" s="47" t="s">
        <v>124</v>
      </c>
      <c r="F72" s="46" t="s">
        <v>536</v>
      </c>
      <c r="G72" s="46" t="s">
        <v>537</v>
      </c>
      <c r="H72" s="47" t="s">
        <v>126</v>
      </c>
      <c r="I72" s="47" t="s">
        <v>325</v>
      </c>
      <c r="J72" s="46" t="s">
        <v>538</v>
      </c>
      <c r="K72" s="47" t="s">
        <v>529</v>
      </c>
      <c r="L72" s="48" t="s">
        <v>122</v>
      </c>
      <c r="M72" s="46" t="s">
        <v>530</v>
      </c>
      <c r="N72" s="48" t="s">
        <v>85</v>
      </c>
      <c r="O72" s="49">
        <v>6</v>
      </c>
      <c r="P72" s="48" t="s">
        <v>46</v>
      </c>
      <c r="Q72" s="41" t="s">
        <v>66</v>
      </c>
      <c r="R72" s="41" t="s">
        <v>234</v>
      </c>
      <c r="S72" s="41" t="s">
        <v>234</v>
      </c>
      <c r="T72" s="41" t="s">
        <v>234</v>
      </c>
      <c r="U72" s="41" t="s">
        <v>234</v>
      </c>
      <c r="V72" s="41" t="s">
        <v>234</v>
      </c>
      <c r="W72" s="41" t="s">
        <v>234</v>
      </c>
      <c r="X72" s="43">
        <v>0</v>
      </c>
      <c r="Y72" s="41" t="s">
        <v>97</v>
      </c>
      <c r="Z72" s="41" t="s">
        <v>97</v>
      </c>
      <c r="AA72" s="41" t="s">
        <v>113</v>
      </c>
      <c r="AB72" s="39" t="s">
        <v>46</v>
      </c>
      <c r="AC72" s="44" t="s">
        <v>46</v>
      </c>
    </row>
    <row r="73" spans="1:29" x14ac:dyDescent="0.25">
      <c r="A73" s="38" t="s">
        <v>539</v>
      </c>
      <c r="B73" s="39" t="s">
        <v>149</v>
      </c>
      <c r="C73" s="39" t="s">
        <v>150</v>
      </c>
      <c r="D73" s="40" t="s">
        <v>525</v>
      </c>
      <c r="E73" s="40" t="s">
        <v>124</v>
      </c>
      <c r="F73" s="39" t="s">
        <v>540</v>
      </c>
      <c r="G73" s="39" t="s">
        <v>541</v>
      </c>
      <c r="H73" s="40" t="s">
        <v>126</v>
      </c>
      <c r="I73" s="40" t="s">
        <v>325</v>
      </c>
      <c r="J73" s="39" t="s">
        <v>542</v>
      </c>
      <c r="K73" s="40" t="s">
        <v>529</v>
      </c>
      <c r="L73" s="41" t="s">
        <v>122</v>
      </c>
      <c r="M73" s="39" t="s">
        <v>530</v>
      </c>
      <c r="N73" s="41" t="s">
        <v>85</v>
      </c>
      <c r="O73" s="42">
        <v>5</v>
      </c>
      <c r="P73" s="41" t="s">
        <v>46</v>
      </c>
      <c r="Q73" s="41" t="s">
        <v>66</v>
      </c>
      <c r="R73" s="41" t="s">
        <v>234</v>
      </c>
      <c r="S73" s="41" t="s">
        <v>234</v>
      </c>
      <c r="T73" s="41" t="s">
        <v>234</v>
      </c>
      <c r="U73" s="41" t="s">
        <v>234</v>
      </c>
      <c r="V73" s="41" t="s">
        <v>234</v>
      </c>
      <c r="W73" s="41" t="s">
        <v>234</v>
      </c>
      <c r="X73" s="43">
        <v>0</v>
      </c>
      <c r="Y73" s="41" t="s">
        <v>97</v>
      </c>
      <c r="Z73" s="41" t="s">
        <v>97</v>
      </c>
      <c r="AA73" s="41" t="s">
        <v>113</v>
      </c>
      <c r="AB73" s="39" t="s">
        <v>46</v>
      </c>
      <c r="AC73" s="44" t="s">
        <v>46</v>
      </c>
    </row>
    <row r="74" spans="1:29" x14ac:dyDescent="0.25">
      <c r="A74" s="45" t="s">
        <v>543</v>
      </c>
      <c r="B74" s="46" t="s">
        <v>149</v>
      </c>
      <c r="C74" s="46" t="s">
        <v>150</v>
      </c>
      <c r="D74" s="47" t="s">
        <v>525</v>
      </c>
      <c r="E74" s="47" t="s">
        <v>124</v>
      </c>
      <c r="F74" s="46" t="s">
        <v>544</v>
      </c>
      <c r="G74" s="46" t="s">
        <v>545</v>
      </c>
      <c r="H74" s="47" t="s">
        <v>126</v>
      </c>
      <c r="I74" s="47" t="s">
        <v>364</v>
      </c>
      <c r="J74" s="46" t="s">
        <v>546</v>
      </c>
      <c r="K74" s="47" t="s">
        <v>529</v>
      </c>
      <c r="L74" s="48" t="s">
        <v>122</v>
      </c>
      <c r="M74" s="46" t="s">
        <v>530</v>
      </c>
      <c r="N74" s="48" t="s">
        <v>85</v>
      </c>
      <c r="O74" s="49">
        <v>5</v>
      </c>
      <c r="P74" s="48" t="s">
        <v>46</v>
      </c>
      <c r="Q74" s="41" t="s">
        <v>66</v>
      </c>
      <c r="R74" s="41" t="s">
        <v>234</v>
      </c>
      <c r="S74" s="41" t="s">
        <v>234</v>
      </c>
      <c r="T74" s="41" t="s">
        <v>234</v>
      </c>
      <c r="U74" s="41" t="s">
        <v>234</v>
      </c>
      <c r="V74" s="41" t="s">
        <v>234</v>
      </c>
      <c r="W74" s="41" t="s">
        <v>234</v>
      </c>
      <c r="X74" s="43">
        <v>0</v>
      </c>
      <c r="Y74" s="41" t="s">
        <v>97</v>
      </c>
      <c r="Z74" s="41" t="s">
        <v>97</v>
      </c>
      <c r="AA74" s="41" t="s">
        <v>113</v>
      </c>
      <c r="AB74" s="39" t="s">
        <v>46</v>
      </c>
      <c r="AC74" s="44" t="s">
        <v>46</v>
      </c>
    </row>
    <row r="75" spans="1:29" x14ac:dyDescent="0.25">
      <c r="A75" s="38" t="s">
        <v>547</v>
      </c>
      <c r="B75" s="39" t="s">
        <v>149</v>
      </c>
      <c r="C75" s="39" t="s">
        <v>150</v>
      </c>
      <c r="D75" s="40" t="s">
        <v>525</v>
      </c>
      <c r="E75" s="40" t="s">
        <v>124</v>
      </c>
      <c r="F75" s="39" t="s">
        <v>548</v>
      </c>
      <c r="G75" s="39" t="s">
        <v>549</v>
      </c>
      <c r="H75" s="40" t="s">
        <v>126</v>
      </c>
      <c r="I75" s="40" t="s">
        <v>325</v>
      </c>
      <c r="J75" s="39" t="s">
        <v>550</v>
      </c>
      <c r="K75" s="40" t="s">
        <v>529</v>
      </c>
      <c r="L75" s="41" t="s">
        <v>122</v>
      </c>
      <c r="M75" s="39" t="s">
        <v>530</v>
      </c>
      <c r="N75" s="41" t="s">
        <v>85</v>
      </c>
      <c r="O75" s="42">
        <v>5</v>
      </c>
      <c r="P75" s="41" t="s">
        <v>46</v>
      </c>
      <c r="Q75" s="41" t="s">
        <v>66</v>
      </c>
      <c r="R75" s="41" t="s">
        <v>234</v>
      </c>
      <c r="S75" s="41" t="s">
        <v>234</v>
      </c>
      <c r="T75" s="41" t="s">
        <v>234</v>
      </c>
      <c r="U75" s="41" t="s">
        <v>234</v>
      </c>
      <c r="V75" s="41" t="s">
        <v>234</v>
      </c>
      <c r="W75" s="41" t="s">
        <v>234</v>
      </c>
      <c r="X75" s="43">
        <v>0</v>
      </c>
      <c r="Y75" s="41" t="s">
        <v>97</v>
      </c>
      <c r="Z75" s="41" t="s">
        <v>97</v>
      </c>
      <c r="AA75" s="41" t="s">
        <v>113</v>
      </c>
      <c r="AB75" s="39" t="s">
        <v>46</v>
      </c>
      <c r="AC75" s="44" t="s">
        <v>46</v>
      </c>
    </row>
    <row r="76" spans="1:29" x14ac:dyDescent="0.25">
      <c r="A76" s="45" t="s">
        <v>551</v>
      </c>
      <c r="B76" s="46" t="s">
        <v>149</v>
      </c>
      <c r="C76" s="46" t="s">
        <v>150</v>
      </c>
      <c r="D76" s="47" t="s">
        <v>525</v>
      </c>
      <c r="E76" s="47" t="s">
        <v>131</v>
      </c>
      <c r="F76" s="46" t="s">
        <v>552</v>
      </c>
      <c r="G76" s="46" t="s">
        <v>553</v>
      </c>
      <c r="H76" s="47" t="s">
        <v>126</v>
      </c>
      <c r="I76" s="47" t="s">
        <v>469</v>
      </c>
      <c r="J76" s="46" t="s">
        <v>554</v>
      </c>
      <c r="K76" s="47" t="s">
        <v>529</v>
      </c>
      <c r="L76" s="48" t="s">
        <v>122</v>
      </c>
      <c r="M76" s="46" t="s">
        <v>530</v>
      </c>
      <c r="N76" s="48" t="s">
        <v>86</v>
      </c>
      <c r="O76" s="49">
        <v>6</v>
      </c>
      <c r="P76" s="48" t="s">
        <v>46</v>
      </c>
      <c r="Q76" s="41" t="s">
        <v>66</v>
      </c>
      <c r="R76" s="41" t="s">
        <v>234</v>
      </c>
      <c r="S76" s="41" t="s">
        <v>234</v>
      </c>
      <c r="T76" s="41" t="s">
        <v>234</v>
      </c>
      <c r="U76" s="41" t="s">
        <v>234</v>
      </c>
      <c r="V76" s="41" t="s">
        <v>234</v>
      </c>
      <c r="W76" s="41" t="s">
        <v>234</v>
      </c>
      <c r="X76" s="43">
        <v>0</v>
      </c>
      <c r="Y76" s="41" t="s">
        <v>97</v>
      </c>
      <c r="Z76" s="41" t="s">
        <v>97</v>
      </c>
      <c r="AA76" s="41" t="s">
        <v>113</v>
      </c>
      <c r="AB76" s="39" t="s">
        <v>46</v>
      </c>
      <c r="AC76" s="44" t="s">
        <v>46</v>
      </c>
    </row>
    <row r="77" spans="1:29" x14ac:dyDescent="0.25">
      <c r="A77" s="38" t="s">
        <v>555</v>
      </c>
      <c r="B77" s="39" t="s">
        <v>149</v>
      </c>
      <c r="C77" s="39" t="s">
        <v>150</v>
      </c>
      <c r="D77" s="40" t="s">
        <v>525</v>
      </c>
      <c r="E77" s="40" t="s">
        <v>131</v>
      </c>
      <c r="F77" s="39" t="s">
        <v>556</v>
      </c>
      <c r="G77" s="39" t="s">
        <v>557</v>
      </c>
      <c r="H77" s="40" t="s">
        <v>126</v>
      </c>
      <c r="I77" s="40" t="s">
        <v>469</v>
      </c>
      <c r="J77" s="39" t="s">
        <v>558</v>
      </c>
      <c r="K77" s="40" t="s">
        <v>529</v>
      </c>
      <c r="L77" s="41" t="s">
        <v>122</v>
      </c>
      <c r="M77" s="39" t="s">
        <v>530</v>
      </c>
      <c r="N77" s="41" t="s">
        <v>86</v>
      </c>
      <c r="O77" s="42">
        <v>8</v>
      </c>
      <c r="P77" s="41" t="s">
        <v>46</v>
      </c>
      <c r="Q77" s="41" t="s">
        <v>66</v>
      </c>
      <c r="R77" s="41" t="s">
        <v>234</v>
      </c>
      <c r="S77" s="41" t="s">
        <v>234</v>
      </c>
      <c r="T77" s="41" t="s">
        <v>234</v>
      </c>
      <c r="U77" s="41" t="s">
        <v>234</v>
      </c>
      <c r="V77" s="41" t="s">
        <v>234</v>
      </c>
      <c r="W77" s="41" t="s">
        <v>234</v>
      </c>
      <c r="X77" s="43">
        <v>0</v>
      </c>
      <c r="Y77" s="41" t="s">
        <v>97</v>
      </c>
      <c r="Z77" s="41" t="s">
        <v>97</v>
      </c>
      <c r="AA77" s="41" t="s">
        <v>113</v>
      </c>
      <c r="AB77" s="39" t="s">
        <v>46</v>
      </c>
      <c r="AC77" s="44" t="s">
        <v>46</v>
      </c>
    </row>
    <row r="78" spans="1:29" x14ac:dyDescent="0.25">
      <c r="A78" s="45" t="s">
        <v>559</v>
      </c>
      <c r="B78" s="46" t="s">
        <v>149</v>
      </c>
      <c r="C78" s="46" t="s">
        <v>150</v>
      </c>
      <c r="D78" s="47" t="s">
        <v>525</v>
      </c>
      <c r="E78" s="47" t="s">
        <v>129</v>
      </c>
      <c r="F78" s="46" t="s">
        <v>560</v>
      </c>
      <c r="G78" s="46" t="s">
        <v>561</v>
      </c>
      <c r="H78" s="47" t="s">
        <v>126</v>
      </c>
      <c r="I78" s="47" t="s">
        <v>325</v>
      </c>
      <c r="J78" s="46" t="s">
        <v>562</v>
      </c>
      <c r="K78" s="47" t="s">
        <v>529</v>
      </c>
      <c r="L78" s="48" t="s">
        <v>122</v>
      </c>
      <c r="M78" s="46" t="s">
        <v>530</v>
      </c>
      <c r="N78" s="48" t="s">
        <v>86</v>
      </c>
      <c r="O78" s="49">
        <v>6</v>
      </c>
      <c r="P78" s="48" t="s">
        <v>46</v>
      </c>
      <c r="Q78" s="41" t="s">
        <v>66</v>
      </c>
      <c r="R78" s="41" t="s">
        <v>234</v>
      </c>
      <c r="S78" s="41" t="s">
        <v>234</v>
      </c>
      <c r="T78" s="41" t="s">
        <v>234</v>
      </c>
      <c r="U78" s="41" t="s">
        <v>234</v>
      </c>
      <c r="V78" s="41" t="s">
        <v>234</v>
      </c>
      <c r="W78" s="41" t="s">
        <v>234</v>
      </c>
      <c r="X78" s="43">
        <v>0</v>
      </c>
      <c r="Y78" s="41" t="s">
        <v>97</v>
      </c>
      <c r="Z78" s="41" t="s">
        <v>97</v>
      </c>
      <c r="AA78" s="41" t="s">
        <v>113</v>
      </c>
      <c r="AB78" s="39" t="s">
        <v>46</v>
      </c>
      <c r="AC78" s="44" t="s">
        <v>46</v>
      </c>
    </row>
    <row r="79" spans="1:29" x14ac:dyDescent="0.25">
      <c r="A79" s="38" t="s">
        <v>563</v>
      </c>
      <c r="B79" s="39" t="s">
        <v>149</v>
      </c>
      <c r="C79" s="39" t="s">
        <v>150</v>
      </c>
      <c r="D79" s="40" t="s">
        <v>525</v>
      </c>
      <c r="E79" s="40" t="s">
        <v>124</v>
      </c>
      <c r="F79" s="39" t="s">
        <v>564</v>
      </c>
      <c r="G79" s="39" t="s">
        <v>565</v>
      </c>
      <c r="H79" s="40" t="s">
        <v>126</v>
      </c>
      <c r="I79" s="40" t="s">
        <v>325</v>
      </c>
      <c r="J79" s="39" t="s">
        <v>566</v>
      </c>
      <c r="K79" s="40" t="s">
        <v>529</v>
      </c>
      <c r="L79" s="41" t="s">
        <v>122</v>
      </c>
      <c r="M79" s="39" t="s">
        <v>530</v>
      </c>
      <c r="N79" s="41" t="s">
        <v>87</v>
      </c>
      <c r="O79" s="42">
        <v>5</v>
      </c>
      <c r="P79" s="41" t="s">
        <v>46</v>
      </c>
      <c r="Q79" s="41" t="s">
        <v>66</v>
      </c>
      <c r="R79" s="41" t="s">
        <v>234</v>
      </c>
      <c r="S79" s="41" t="s">
        <v>234</v>
      </c>
      <c r="T79" s="41" t="s">
        <v>234</v>
      </c>
      <c r="U79" s="41" t="s">
        <v>234</v>
      </c>
      <c r="V79" s="41" t="s">
        <v>234</v>
      </c>
      <c r="W79" s="41" t="s">
        <v>234</v>
      </c>
      <c r="X79" s="43">
        <v>0</v>
      </c>
      <c r="Y79" s="41" t="s">
        <v>97</v>
      </c>
      <c r="Z79" s="41" t="s">
        <v>97</v>
      </c>
      <c r="AA79" s="41" t="s">
        <v>113</v>
      </c>
      <c r="AB79" s="39" t="s">
        <v>46</v>
      </c>
      <c r="AC79" s="44" t="s">
        <v>46</v>
      </c>
    </row>
    <row r="80" spans="1:29" x14ac:dyDescent="0.25">
      <c r="A80" s="45" t="s">
        <v>567</v>
      </c>
      <c r="B80" s="46" t="s">
        <v>149</v>
      </c>
      <c r="C80" s="46" t="s">
        <v>150</v>
      </c>
      <c r="D80" s="47" t="s">
        <v>525</v>
      </c>
      <c r="E80" s="47" t="s">
        <v>124</v>
      </c>
      <c r="F80" s="46" t="s">
        <v>568</v>
      </c>
      <c r="G80" s="46" t="s">
        <v>569</v>
      </c>
      <c r="H80" s="47" t="s">
        <v>126</v>
      </c>
      <c r="I80" s="47" t="s">
        <v>325</v>
      </c>
      <c r="J80" s="46" t="s">
        <v>570</v>
      </c>
      <c r="K80" s="47" t="s">
        <v>529</v>
      </c>
      <c r="L80" s="48" t="s">
        <v>122</v>
      </c>
      <c r="M80" s="46" t="s">
        <v>571</v>
      </c>
      <c r="N80" s="48" t="s">
        <v>97</v>
      </c>
      <c r="O80" s="49">
        <v>5</v>
      </c>
      <c r="P80" s="48" t="s">
        <v>46</v>
      </c>
      <c r="Q80" s="41" t="s">
        <v>31</v>
      </c>
      <c r="R80" s="41" t="s">
        <v>234</v>
      </c>
      <c r="S80" s="41" t="s">
        <v>234</v>
      </c>
      <c r="T80" s="41" t="s">
        <v>234</v>
      </c>
      <c r="U80" s="41" t="s">
        <v>234</v>
      </c>
      <c r="V80" s="41" t="s">
        <v>234</v>
      </c>
      <c r="W80" s="41" t="s">
        <v>273</v>
      </c>
      <c r="X80" s="43">
        <v>0</v>
      </c>
      <c r="Y80" s="41" t="s">
        <v>97</v>
      </c>
      <c r="Z80" s="41" t="s">
        <v>97</v>
      </c>
      <c r="AA80" s="41" t="s">
        <v>113</v>
      </c>
      <c r="AB80" s="39" t="s">
        <v>572</v>
      </c>
      <c r="AC80" s="44" t="s">
        <v>46</v>
      </c>
    </row>
    <row r="81" spans="1:29" x14ac:dyDescent="0.25">
      <c r="A81" s="38" t="s">
        <v>573</v>
      </c>
      <c r="B81" s="39" t="s">
        <v>149</v>
      </c>
      <c r="C81" s="39" t="s">
        <v>150</v>
      </c>
      <c r="D81" s="40" t="s">
        <v>525</v>
      </c>
      <c r="E81" s="40" t="s">
        <v>124</v>
      </c>
      <c r="F81" s="39" t="s">
        <v>574</v>
      </c>
      <c r="G81" s="39" t="s">
        <v>575</v>
      </c>
      <c r="H81" s="40" t="s">
        <v>126</v>
      </c>
      <c r="I81" s="40" t="s">
        <v>325</v>
      </c>
      <c r="J81" s="39" t="s">
        <v>576</v>
      </c>
      <c r="K81" s="40" t="s">
        <v>529</v>
      </c>
      <c r="L81" s="41" t="s">
        <v>125</v>
      </c>
      <c r="M81" s="39" t="s">
        <v>530</v>
      </c>
      <c r="N81" s="41" t="s">
        <v>87</v>
      </c>
      <c r="O81" s="42">
        <v>6</v>
      </c>
      <c r="P81" s="41" t="s">
        <v>46</v>
      </c>
      <c r="Q81" s="41" t="s">
        <v>66</v>
      </c>
      <c r="R81" s="41" t="s">
        <v>234</v>
      </c>
      <c r="S81" s="41" t="s">
        <v>234</v>
      </c>
      <c r="T81" s="41" t="s">
        <v>234</v>
      </c>
      <c r="U81" s="41" t="s">
        <v>234</v>
      </c>
      <c r="V81" s="41" t="s">
        <v>234</v>
      </c>
      <c r="W81" s="41" t="s">
        <v>234</v>
      </c>
      <c r="X81" s="43">
        <v>0</v>
      </c>
      <c r="Y81" s="41" t="s">
        <v>97</v>
      </c>
      <c r="Z81" s="41" t="s">
        <v>97</v>
      </c>
      <c r="AA81" s="41" t="s">
        <v>113</v>
      </c>
      <c r="AB81" s="39" t="s">
        <v>46</v>
      </c>
      <c r="AC81" s="44" t="s">
        <v>46</v>
      </c>
    </row>
    <row r="82" spans="1:29" x14ac:dyDescent="0.25">
      <c r="A82" s="45" t="s">
        <v>577</v>
      </c>
      <c r="B82" s="46" t="s">
        <v>149</v>
      </c>
      <c r="C82" s="46" t="s">
        <v>150</v>
      </c>
      <c r="D82" s="47" t="s">
        <v>525</v>
      </c>
      <c r="E82" s="47" t="s">
        <v>124</v>
      </c>
      <c r="F82" s="46" t="s">
        <v>578</v>
      </c>
      <c r="G82" s="46" t="s">
        <v>579</v>
      </c>
      <c r="H82" s="47" t="s">
        <v>126</v>
      </c>
      <c r="I82" s="47" t="s">
        <v>325</v>
      </c>
      <c r="J82" s="46" t="s">
        <v>580</v>
      </c>
      <c r="K82" s="47" t="s">
        <v>529</v>
      </c>
      <c r="L82" s="48" t="s">
        <v>122</v>
      </c>
      <c r="M82" s="46" t="s">
        <v>530</v>
      </c>
      <c r="N82" s="48" t="s">
        <v>87</v>
      </c>
      <c r="O82" s="49">
        <v>5</v>
      </c>
      <c r="P82" s="48" t="s">
        <v>46</v>
      </c>
      <c r="Q82" s="41" t="s">
        <v>66</v>
      </c>
      <c r="R82" s="41" t="s">
        <v>234</v>
      </c>
      <c r="S82" s="41" t="s">
        <v>234</v>
      </c>
      <c r="T82" s="41" t="s">
        <v>234</v>
      </c>
      <c r="U82" s="41" t="s">
        <v>234</v>
      </c>
      <c r="V82" s="41" t="s">
        <v>234</v>
      </c>
      <c r="W82" s="41" t="s">
        <v>234</v>
      </c>
      <c r="X82" s="43">
        <v>0</v>
      </c>
      <c r="Y82" s="41" t="s">
        <v>97</v>
      </c>
      <c r="Z82" s="41" t="s">
        <v>97</v>
      </c>
      <c r="AA82" s="41" t="s">
        <v>113</v>
      </c>
      <c r="AB82" s="39" t="s">
        <v>46</v>
      </c>
      <c r="AC82" s="44" t="s">
        <v>46</v>
      </c>
    </row>
    <row r="83" spans="1:29" x14ac:dyDescent="0.25">
      <c r="A83" s="38" t="s">
        <v>581</v>
      </c>
      <c r="B83" s="39" t="s">
        <v>149</v>
      </c>
      <c r="C83" s="39" t="s">
        <v>150</v>
      </c>
      <c r="D83" s="40" t="s">
        <v>525</v>
      </c>
      <c r="E83" s="40" t="s">
        <v>295</v>
      </c>
      <c r="F83" s="39" t="s">
        <v>582</v>
      </c>
      <c r="G83" s="39" t="s">
        <v>583</v>
      </c>
      <c r="H83" s="40" t="s">
        <v>126</v>
      </c>
      <c r="I83" s="40" t="s">
        <v>584</v>
      </c>
      <c r="J83" s="39" t="s">
        <v>585</v>
      </c>
      <c r="K83" s="40" t="s">
        <v>529</v>
      </c>
      <c r="L83" s="41" t="s">
        <v>122</v>
      </c>
      <c r="M83" s="39" t="s">
        <v>530</v>
      </c>
      <c r="N83" s="41" t="s">
        <v>97</v>
      </c>
      <c r="O83" s="42">
        <v>10</v>
      </c>
      <c r="P83" s="41" t="s">
        <v>46</v>
      </c>
      <c r="Q83" s="41" t="s">
        <v>31</v>
      </c>
      <c r="R83" s="41" t="s">
        <v>234</v>
      </c>
      <c r="S83" s="41" t="s">
        <v>234</v>
      </c>
      <c r="T83" s="41" t="s">
        <v>234</v>
      </c>
      <c r="U83" s="41" t="s">
        <v>234</v>
      </c>
      <c r="V83" s="41" t="s">
        <v>234</v>
      </c>
      <c r="W83" s="41" t="s">
        <v>273</v>
      </c>
      <c r="X83" s="43">
        <v>0</v>
      </c>
      <c r="Y83" s="41" t="s">
        <v>97</v>
      </c>
      <c r="Z83" s="41" t="s">
        <v>97</v>
      </c>
      <c r="AA83" s="41" t="s">
        <v>113</v>
      </c>
      <c r="AB83" s="39" t="s">
        <v>586</v>
      </c>
      <c r="AC83" s="44" t="s">
        <v>46</v>
      </c>
    </row>
    <row r="84" spans="1:29" x14ac:dyDescent="0.25">
      <c r="A84" s="45" t="s">
        <v>587</v>
      </c>
      <c r="B84" s="46" t="s">
        <v>149</v>
      </c>
      <c r="C84" s="46" t="s">
        <v>150</v>
      </c>
      <c r="D84" s="47" t="s">
        <v>525</v>
      </c>
      <c r="E84" s="47" t="s">
        <v>135</v>
      </c>
      <c r="F84" s="46" t="s">
        <v>588</v>
      </c>
      <c r="G84" s="46" t="s">
        <v>589</v>
      </c>
      <c r="H84" s="47" t="s">
        <v>123</v>
      </c>
      <c r="I84" s="47" t="s">
        <v>135</v>
      </c>
      <c r="J84" s="46" t="s">
        <v>590</v>
      </c>
      <c r="K84" s="47" t="s">
        <v>529</v>
      </c>
      <c r="L84" s="48" t="s">
        <v>122</v>
      </c>
      <c r="M84" s="46" t="s">
        <v>530</v>
      </c>
      <c r="N84" s="48" t="s">
        <v>87</v>
      </c>
      <c r="O84" s="49">
        <v>8</v>
      </c>
      <c r="P84" s="48" t="s">
        <v>46</v>
      </c>
      <c r="Q84" s="41" t="s">
        <v>66</v>
      </c>
      <c r="R84" s="41" t="s">
        <v>234</v>
      </c>
      <c r="S84" s="41" t="s">
        <v>234</v>
      </c>
      <c r="T84" s="41" t="s">
        <v>234</v>
      </c>
      <c r="U84" s="41" t="s">
        <v>234</v>
      </c>
      <c r="V84" s="41" t="s">
        <v>234</v>
      </c>
      <c r="W84" s="41" t="s">
        <v>234</v>
      </c>
      <c r="X84" s="43">
        <v>0</v>
      </c>
      <c r="Y84" s="41" t="s">
        <v>97</v>
      </c>
      <c r="Z84" s="41" t="s">
        <v>97</v>
      </c>
      <c r="AA84" s="41" t="s">
        <v>113</v>
      </c>
      <c r="AB84" s="39" t="s">
        <v>46</v>
      </c>
      <c r="AC84" s="44" t="s">
        <v>46</v>
      </c>
    </row>
    <row r="85" spans="1:29" x14ac:dyDescent="0.25">
      <c r="A85" s="38" t="s">
        <v>591</v>
      </c>
      <c r="B85" s="39" t="s">
        <v>149</v>
      </c>
      <c r="C85" s="39" t="s">
        <v>150</v>
      </c>
      <c r="D85" s="40" t="s">
        <v>525</v>
      </c>
      <c r="E85" s="40" t="s">
        <v>123</v>
      </c>
      <c r="F85" s="39" t="s">
        <v>592</v>
      </c>
      <c r="G85" s="39" t="s">
        <v>593</v>
      </c>
      <c r="H85" s="40" t="s">
        <v>123</v>
      </c>
      <c r="I85" s="40" t="s">
        <v>307</v>
      </c>
      <c r="J85" s="39" t="s">
        <v>594</v>
      </c>
      <c r="K85" s="40" t="s">
        <v>529</v>
      </c>
      <c r="L85" s="41" t="s">
        <v>122</v>
      </c>
      <c r="M85" s="39" t="s">
        <v>530</v>
      </c>
      <c r="N85" s="41" t="s">
        <v>87</v>
      </c>
      <c r="O85" s="42">
        <v>8</v>
      </c>
      <c r="P85" s="41" t="s">
        <v>46</v>
      </c>
      <c r="Q85" s="41" t="s">
        <v>66</v>
      </c>
      <c r="R85" s="41" t="s">
        <v>234</v>
      </c>
      <c r="S85" s="41" t="s">
        <v>234</v>
      </c>
      <c r="T85" s="41" t="s">
        <v>234</v>
      </c>
      <c r="U85" s="41" t="s">
        <v>234</v>
      </c>
      <c r="V85" s="41" t="s">
        <v>234</v>
      </c>
      <c r="W85" s="41" t="s">
        <v>234</v>
      </c>
      <c r="X85" s="43">
        <v>0</v>
      </c>
      <c r="Y85" s="41" t="s">
        <v>97</v>
      </c>
      <c r="Z85" s="41" t="s">
        <v>97</v>
      </c>
      <c r="AA85" s="41" t="s">
        <v>113</v>
      </c>
      <c r="AB85" s="39" t="s">
        <v>46</v>
      </c>
      <c r="AC85" s="44" t="s">
        <v>46</v>
      </c>
    </row>
    <row r="86" spans="1:29" x14ac:dyDescent="0.25">
      <c r="A86" s="45" t="s">
        <v>595</v>
      </c>
      <c r="B86" s="46" t="s">
        <v>149</v>
      </c>
      <c r="C86" s="46" t="s">
        <v>150</v>
      </c>
      <c r="D86" s="47" t="s">
        <v>525</v>
      </c>
      <c r="E86" s="47" t="s">
        <v>56</v>
      </c>
      <c r="F86" s="46" t="s">
        <v>596</v>
      </c>
      <c r="G86" s="46" t="s">
        <v>597</v>
      </c>
      <c r="H86" s="47" t="s">
        <v>132</v>
      </c>
      <c r="I86" s="47" t="s">
        <v>522</v>
      </c>
      <c r="J86" s="46" t="s">
        <v>598</v>
      </c>
      <c r="K86" s="47" t="s">
        <v>529</v>
      </c>
      <c r="L86" s="48" t="s">
        <v>122</v>
      </c>
      <c r="M86" s="46" t="s">
        <v>530</v>
      </c>
      <c r="N86" s="48" t="s">
        <v>88</v>
      </c>
      <c r="O86" s="49">
        <v>10</v>
      </c>
      <c r="P86" s="48" t="s">
        <v>46</v>
      </c>
      <c r="Q86" s="41" t="s">
        <v>66</v>
      </c>
      <c r="R86" s="41" t="s">
        <v>234</v>
      </c>
      <c r="S86" s="41" t="s">
        <v>234</v>
      </c>
      <c r="T86" s="41" t="s">
        <v>234</v>
      </c>
      <c r="U86" s="41" t="s">
        <v>234</v>
      </c>
      <c r="V86" s="41" t="s">
        <v>234</v>
      </c>
      <c r="W86" s="41" t="s">
        <v>234</v>
      </c>
      <c r="X86" s="43">
        <v>0</v>
      </c>
      <c r="Y86" s="41" t="s">
        <v>97</v>
      </c>
      <c r="Z86" s="41" t="s">
        <v>97</v>
      </c>
      <c r="AA86" s="41" t="s">
        <v>113</v>
      </c>
      <c r="AB86" s="39" t="s">
        <v>46</v>
      </c>
      <c r="AC86" s="44" t="s">
        <v>46</v>
      </c>
    </row>
    <row r="87" spans="1:29" x14ac:dyDescent="0.25">
      <c r="A87" s="38" t="s">
        <v>599</v>
      </c>
      <c r="B87" s="39" t="s">
        <v>149</v>
      </c>
      <c r="C87" s="39" t="s">
        <v>151</v>
      </c>
      <c r="D87" s="40" t="s">
        <v>600</v>
      </c>
      <c r="E87" s="40" t="s">
        <v>131</v>
      </c>
      <c r="F87" s="39" t="s">
        <v>601</v>
      </c>
      <c r="G87" s="39" t="s">
        <v>602</v>
      </c>
      <c r="H87" s="40" t="s">
        <v>126</v>
      </c>
      <c r="I87" s="40" t="s">
        <v>469</v>
      </c>
      <c r="J87" s="39" t="s">
        <v>603</v>
      </c>
      <c r="K87" s="40" t="s">
        <v>604</v>
      </c>
      <c r="L87" s="41" t="s">
        <v>122</v>
      </c>
      <c r="M87" s="39" t="s">
        <v>530</v>
      </c>
      <c r="N87" s="41" t="s">
        <v>88</v>
      </c>
      <c r="O87" s="42">
        <v>5</v>
      </c>
      <c r="P87" s="41" t="s">
        <v>46</v>
      </c>
      <c r="Q87" s="41" t="s">
        <v>66</v>
      </c>
      <c r="R87" s="41" t="s">
        <v>234</v>
      </c>
      <c r="S87" s="41" t="s">
        <v>234</v>
      </c>
      <c r="T87" s="41" t="s">
        <v>234</v>
      </c>
      <c r="U87" s="41" t="s">
        <v>234</v>
      </c>
      <c r="V87" s="41" t="s">
        <v>234</v>
      </c>
      <c r="W87" s="41" t="s">
        <v>234</v>
      </c>
      <c r="X87" s="43">
        <v>0</v>
      </c>
      <c r="Y87" s="41" t="s">
        <v>97</v>
      </c>
      <c r="Z87" s="41" t="s">
        <v>97</v>
      </c>
      <c r="AA87" s="41" t="s">
        <v>113</v>
      </c>
      <c r="AB87" s="39" t="s">
        <v>46</v>
      </c>
      <c r="AC87" s="44" t="s">
        <v>46</v>
      </c>
    </row>
    <row r="88" spans="1:29" x14ac:dyDescent="0.25">
      <c r="A88" s="45" t="s">
        <v>605</v>
      </c>
      <c r="B88" s="46" t="s">
        <v>149</v>
      </c>
      <c r="C88" s="46" t="s">
        <v>151</v>
      </c>
      <c r="D88" s="47" t="s">
        <v>600</v>
      </c>
      <c r="E88" s="47" t="s">
        <v>131</v>
      </c>
      <c r="F88" s="46" t="s">
        <v>606</v>
      </c>
      <c r="G88" s="46" t="s">
        <v>607</v>
      </c>
      <c r="H88" s="47" t="s">
        <v>126</v>
      </c>
      <c r="I88" s="47" t="s">
        <v>469</v>
      </c>
      <c r="J88" s="46" t="s">
        <v>608</v>
      </c>
      <c r="K88" s="47" t="s">
        <v>604</v>
      </c>
      <c r="L88" s="48" t="s">
        <v>122</v>
      </c>
      <c r="M88" s="46" t="s">
        <v>530</v>
      </c>
      <c r="N88" s="48" t="s">
        <v>88</v>
      </c>
      <c r="O88" s="49">
        <v>8</v>
      </c>
      <c r="P88" s="48" t="s">
        <v>46</v>
      </c>
      <c r="Q88" s="41" t="s">
        <v>66</v>
      </c>
      <c r="R88" s="41" t="s">
        <v>234</v>
      </c>
      <c r="S88" s="41" t="s">
        <v>234</v>
      </c>
      <c r="T88" s="41" t="s">
        <v>234</v>
      </c>
      <c r="U88" s="41" t="s">
        <v>234</v>
      </c>
      <c r="V88" s="41" t="s">
        <v>234</v>
      </c>
      <c r="W88" s="41" t="s">
        <v>234</v>
      </c>
      <c r="X88" s="43">
        <v>0</v>
      </c>
      <c r="Y88" s="41" t="s">
        <v>97</v>
      </c>
      <c r="Z88" s="41" t="s">
        <v>97</v>
      </c>
      <c r="AA88" s="41" t="s">
        <v>113</v>
      </c>
      <c r="AB88" s="39" t="s">
        <v>46</v>
      </c>
      <c r="AC88" s="44" t="s">
        <v>46</v>
      </c>
    </row>
    <row r="89" spans="1:29" x14ac:dyDescent="0.25">
      <c r="A89" s="38" t="s">
        <v>609</v>
      </c>
      <c r="B89" s="39" t="s">
        <v>149</v>
      </c>
      <c r="C89" s="39" t="s">
        <v>151</v>
      </c>
      <c r="D89" s="40" t="s">
        <v>600</v>
      </c>
      <c r="E89" s="40" t="s">
        <v>124</v>
      </c>
      <c r="F89" s="39" t="s">
        <v>610</v>
      </c>
      <c r="G89" s="39" t="s">
        <v>611</v>
      </c>
      <c r="H89" s="40" t="s">
        <v>126</v>
      </c>
      <c r="I89" s="40" t="s">
        <v>325</v>
      </c>
      <c r="J89" s="39" t="s">
        <v>612</v>
      </c>
      <c r="K89" s="40" t="s">
        <v>604</v>
      </c>
      <c r="L89" s="41" t="s">
        <v>122</v>
      </c>
      <c r="M89" s="39" t="s">
        <v>530</v>
      </c>
      <c r="N89" s="41" t="s">
        <v>88</v>
      </c>
      <c r="O89" s="42">
        <v>6</v>
      </c>
      <c r="P89" s="41" t="s">
        <v>46</v>
      </c>
      <c r="Q89" s="41" t="s">
        <v>66</v>
      </c>
      <c r="R89" s="41" t="s">
        <v>234</v>
      </c>
      <c r="S89" s="41" t="s">
        <v>234</v>
      </c>
      <c r="T89" s="41" t="s">
        <v>234</v>
      </c>
      <c r="U89" s="41" t="s">
        <v>234</v>
      </c>
      <c r="V89" s="41" t="s">
        <v>234</v>
      </c>
      <c r="W89" s="41" t="s">
        <v>234</v>
      </c>
      <c r="X89" s="43">
        <v>0</v>
      </c>
      <c r="Y89" s="41" t="s">
        <v>97</v>
      </c>
      <c r="Z89" s="41" t="s">
        <v>97</v>
      </c>
      <c r="AA89" s="41" t="s">
        <v>113</v>
      </c>
      <c r="AB89" s="39" t="s">
        <v>46</v>
      </c>
      <c r="AC89" s="44" t="s">
        <v>46</v>
      </c>
    </row>
    <row r="90" spans="1:29" x14ac:dyDescent="0.25">
      <c r="A90" s="45" t="s">
        <v>613</v>
      </c>
      <c r="B90" s="46" t="s">
        <v>149</v>
      </c>
      <c r="C90" s="46" t="s">
        <v>151</v>
      </c>
      <c r="D90" s="47" t="s">
        <v>600</v>
      </c>
      <c r="E90" s="47" t="s">
        <v>289</v>
      </c>
      <c r="F90" s="46" t="s">
        <v>614</v>
      </c>
      <c r="G90" s="46" t="s">
        <v>615</v>
      </c>
      <c r="H90" s="47" t="s">
        <v>123</v>
      </c>
      <c r="I90" s="47" t="s">
        <v>135</v>
      </c>
      <c r="J90" s="46" t="s">
        <v>616</v>
      </c>
      <c r="K90" s="47" t="s">
        <v>604</v>
      </c>
      <c r="L90" s="48" t="s">
        <v>122</v>
      </c>
      <c r="M90" s="46" t="s">
        <v>617</v>
      </c>
      <c r="N90" s="48" t="s">
        <v>97</v>
      </c>
      <c r="O90" s="49">
        <v>5</v>
      </c>
      <c r="P90" s="48" t="s">
        <v>46</v>
      </c>
      <c r="Q90" s="41" t="s">
        <v>31</v>
      </c>
      <c r="R90" s="41" t="s">
        <v>234</v>
      </c>
      <c r="S90" s="41" t="s">
        <v>234</v>
      </c>
      <c r="T90" s="41" t="s">
        <v>234</v>
      </c>
      <c r="U90" s="41" t="s">
        <v>234</v>
      </c>
      <c r="V90" s="41" t="s">
        <v>234</v>
      </c>
      <c r="W90" s="41" t="s">
        <v>273</v>
      </c>
      <c r="X90" s="43">
        <v>0</v>
      </c>
      <c r="Y90" s="41" t="s">
        <v>97</v>
      </c>
      <c r="Z90" s="41" t="s">
        <v>97</v>
      </c>
      <c r="AA90" s="41" t="s">
        <v>113</v>
      </c>
      <c r="AB90" s="39" t="s">
        <v>618</v>
      </c>
      <c r="AC90" s="44" t="s">
        <v>46</v>
      </c>
    </row>
    <row r="91" spans="1:29" x14ac:dyDescent="0.25">
      <c r="A91" s="38" t="s">
        <v>619</v>
      </c>
      <c r="B91" s="39" t="s">
        <v>149</v>
      </c>
      <c r="C91" s="39" t="s">
        <v>151</v>
      </c>
      <c r="D91" s="40" t="s">
        <v>600</v>
      </c>
      <c r="E91" s="40" t="s">
        <v>131</v>
      </c>
      <c r="F91" s="39" t="s">
        <v>620</v>
      </c>
      <c r="G91" s="39" t="s">
        <v>621</v>
      </c>
      <c r="H91" s="40" t="s">
        <v>126</v>
      </c>
      <c r="I91" s="40" t="s">
        <v>469</v>
      </c>
      <c r="J91" s="39" t="s">
        <v>622</v>
      </c>
      <c r="K91" s="40" t="s">
        <v>604</v>
      </c>
      <c r="L91" s="41" t="s">
        <v>122</v>
      </c>
      <c r="M91" s="39" t="s">
        <v>530</v>
      </c>
      <c r="N91" s="41" t="s">
        <v>88</v>
      </c>
      <c r="O91" s="42">
        <v>8</v>
      </c>
      <c r="P91" s="41" t="s">
        <v>46</v>
      </c>
      <c r="Q91" s="41" t="s">
        <v>66</v>
      </c>
      <c r="R91" s="41" t="s">
        <v>234</v>
      </c>
      <c r="S91" s="41" t="s">
        <v>234</v>
      </c>
      <c r="T91" s="41" t="s">
        <v>234</v>
      </c>
      <c r="U91" s="41" t="s">
        <v>234</v>
      </c>
      <c r="V91" s="41" t="s">
        <v>234</v>
      </c>
      <c r="W91" s="41" t="s">
        <v>234</v>
      </c>
      <c r="X91" s="43">
        <v>0</v>
      </c>
      <c r="Y91" s="41" t="s">
        <v>97</v>
      </c>
      <c r="Z91" s="41" t="s">
        <v>97</v>
      </c>
      <c r="AA91" s="41" t="s">
        <v>113</v>
      </c>
      <c r="AB91" s="39" t="s">
        <v>46</v>
      </c>
      <c r="AC91" s="44" t="s">
        <v>46</v>
      </c>
    </row>
    <row r="92" spans="1:29" x14ac:dyDescent="0.25">
      <c r="A92" s="45" t="s">
        <v>623</v>
      </c>
      <c r="B92" s="46" t="s">
        <v>149</v>
      </c>
      <c r="C92" s="46" t="s">
        <v>151</v>
      </c>
      <c r="D92" s="47" t="s">
        <v>600</v>
      </c>
      <c r="E92" s="47" t="s">
        <v>124</v>
      </c>
      <c r="F92" s="46" t="s">
        <v>624</v>
      </c>
      <c r="G92" s="46" t="s">
        <v>625</v>
      </c>
      <c r="H92" s="47" t="s">
        <v>126</v>
      </c>
      <c r="I92" s="47" t="s">
        <v>325</v>
      </c>
      <c r="J92" s="46" t="s">
        <v>626</v>
      </c>
      <c r="K92" s="47" t="s">
        <v>604</v>
      </c>
      <c r="L92" s="48" t="s">
        <v>122</v>
      </c>
      <c r="M92" s="46" t="s">
        <v>530</v>
      </c>
      <c r="N92" s="48" t="s">
        <v>88</v>
      </c>
      <c r="O92" s="49">
        <v>5</v>
      </c>
      <c r="P92" s="48" t="s">
        <v>46</v>
      </c>
      <c r="Q92" s="41" t="s">
        <v>66</v>
      </c>
      <c r="R92" s="41" t="s">
        <v>234</v>
      </c>
      <c r="S92" s="41" t="s">
        <v>234</v>
      </c>
      <c r="T92" s="41" t="s">
        <v>234</v>
      </c>
      <c r="U92" s="41" t="s">
        <v>234</v>
      </c>
      <c r="V92" s="41" t="s">
        <v>234</v>
      </c>
      <c r="W92" s="41" t="s">
        <v>234</v>
      </c>
      <c r="X92" s="43">
        <v>0</v>
      </c>
      <c r="Y92" s="41" t="s">
        <v>97</v>
      </c>
      <c r="Z92" s="41" t="s">
        <v>97</v>
      </c>
      <c r="AA92" s="41" t="s">
        <v>113</v>
      </c>
      <c r="AB92" s="39" t="s">
        <v>46</v>
      </c>
      <c r="AC92" s="44" t="s">
        <v>46</v>
      </c>
    </row>
    <row r="93" spans="1:29" x14ac:dyDescent="0.25">
      <c r="A93" s="38" t="s">
        <v>627</v>
      </c>
      <c r="B93" s="39" t="s">
        <v>149</v>
      </c>
      <c r="C93" s="39" t="s">
        <v>151</v>
      </c>
      <c r="D93" s="40" t="s">
        <v>600</v>
      </c>
      <c r="E93" s="40" t="s">
        <v>289</v>
      </c>
      <c r="F93" s="39" t="s">
        <v>628</v>
      </c>
      <c r="G93" s="39" t="s">
        <v>629</v>
      </c>
      <c r="H93" s="40" t="s">
        <v>123</v>
      </c>
      <c r="I93" s="40" t="s">
        <v>135</v>
      </c>
      <c r="J93" s="39" t="s">
        <v>630</v>
      </c>
      <c r="K93" s="40" t="s">
        <v>604</v>
      </c>
      <c r="L93" s="41" t="s">
        <v>122</v>
      </c>
      <c r="M93" s="39" t="s">
        <v>530</v>
      </c>
      <c r="N93" s="41" t="s">
        <v>89</v>
      </c>
      <c r="O93" s="42">
        <v>5</v>
      </c>
      <c r="P93" s="41" t="s">
        <v>46</v>
      </c>
      <c r="Q93" s="41" t="s">
        <v>66</v>
      </c>
      <c r="R93" s="41" t="s">
        <v>234</v>
      </c>
      <c r="S93" s="41" t="s">
        <v>234</v>
      </c>
      <c r="T93" s="41" t="s">
        <v>234</v>
      </c>
      <c r="U93" s="41" t="s">
        <v>234</v>
      </c>
      <c r="V93" s="41" t="s">
        <v>234</v>
      </c>
      <c r="W93" s="41" t="s">
        <v>234</v>
      </c>
      <c r="X93" s="43">
        <v>0</v>
      </c>
      <c r="Y93" s="41" t="s">
        <v>97</v>
      </c>
      <c r="Z93" s="41" t="s">
        <v>97</v>
      </c>
      <c r="AA93" s="41" t="s">
        <v>113</v>
      </c>
      <c r="AB93" s="39" t="s">
        <v>46</v>
      </c>
      <c r="AC93" s="44" t="s">
        <v>46</v>
      </c>
    </row>
    <row r="94" spans="1:29" x14ac:dyDescent="0.25">
      <c r="A94" s="45" t="s">
        <v>631</v>
      </c>
      <c r="B94" s="46" t="s">
        <v>149</v>
      </c>
      <c r="C94" s="46" t="s">
        <v>151</v>
      </c>
      <c r="D94" s="47" t="s">
        <v>600</v>
      </c>
      <c r="E94" s="47" t="s">
        <v>124</v>
      </c>
      <c r="F94" s="46" t="s">
        <v>632</v>
      </c>
      <c r="G94" s="46" t="s">
        <v>633</v>
      </c>
      <c r="H94" s="47" t="s">
        <v>126</v>
      </c>
      <c r="I94" s="47" t="s">
        <v>325</v>
      </c>
      <c r="J94" s="46" t="s">
        <v>634</v>
      </c>
      <c r="K94" s="47" t="s">
        <v>604</v>
      </c>
      <c r="L94" s="48" t="s">
        <v>122</v>
      </c>
      <c r="M94" s="46" t="s">
        <v>530</v>
      </c>
      <c r="N94" s="48" t="s">
        <v>89</v>
      </c>
      <c r="O94" s="49">
        <v>5</v>
      </c>
      <c r="P94" s="48" t="s">
        <v>46</v>
      </c>
      <c r="Q94" s="41" t="s">
        <v>66</v>
      </c>
      <c r="R94" s="41" t="s">
        <v>234</v>
      </c>
      <c r="S94" s="41" t="s">
        <v>234</v>
      </c>
      <c r="T94" s="41" t="s">
        <v>234</v>
      </c>
      <c r="U94" s="41" t="s">
        <v>234</v>
      </c>
      <c r="V94" s="41" t="s">
        <v>234</v>
      </c>
      <c r="W94" s="41" t="s">
        <v>234</v>
      </c>
      <c r="X94" s="43">
        <v>0</v>
      </c>
      <c r="Y94" s="41" t="s">
        <v>97</v>
      </c>
      <c r="Z94" s="41" t="s">
        <v>97</v>
      </c>
      <c r="AA94" s="41" t="s">
        <v>113</v>
      </c>
      <c r="AB94" s="39" t="s">
        <v>46</v>
      </c>
      <c r="AC94" s="44" t="s">
        <v>46</v>
      </c>
    </row>
    <row r="95" spans="1:29" x14ac:dyDescent="0.25">
      <c r="A95" s="38" t="s">
        <v>635</v>
      </c>
      <c r="B95" s="39" t="s">
        <v>149</v>
      </c>
      <c r="C95" s="39" t="s">
        <v>151</v>
      </c>
      <c r="D95" s="40" t="s">
        <v>600</v>
      </c>
      <c r="E95" s="40" t="s">
        <v>135</v>
      </c>
      <c r="F95" s="39" t="s">
        <v>636</v>
      </c>
      <c r="G95" s="39" t="s">
        <v>637</v>
      </c>
      <c r="H95" s="40" t="s">
        <v>123</v>
      </c>
      <c r="I95" s="40" t="s">
        <v>135</v>
      </c>
      <c r="J95" s="39" t="s">
        <v>638</v>
      </c>
      <c r="K95" s="40" t="s">
        <v>604</v>
      </c>
      <c r="L95" s="41" t="s">
        <v>122</v>
      </c>
      <c r="M95" s="39" t="s">
        <v>530</v>
      </c>
      <c r="N95" s="41" t="s">
        <v>89</v>
      </c>
      <c r="O95" s="42">
        <v>8</v>
      </c>
      <c r="P95" s="41" t="s">
        <v>46</v>
      </c>
      <c r="Q95" s="41" t="s">
        <v>66</v>
      </c>
      <c r="R95" s="41" t="s">
        <v>234</v>
      </c>
      <c r="S95" s="41" t="s">
        <v>234</v>
      </c>
      <c r="T95" s="41" t="s">
        <v>234</v>
      </c>
      <c r="U95" s="41" t="s">
        <v>234</v>
      </c>
      <c r="V95" s="41" t="s">
        <v>234</v>
      </c>
      <c r="W95" s="41" t="s">
        <v>234</v>
      </c>
      <c r="X95" s="43">
        <v>0</v>
      </c>
      <c r="Y95" s="41" t="s">
        <v>97</v>
      </c>
      <c r="Z95" s="41" t="s">
        <v>97</v>
      </c>
      <c r="AA95" s="41" t="s">
        <v>113</v>
      </c>
      <c r="AB95" s="39" t="s">
        <v>46</v>
      </c>
      <c r="AC95" s="44" t="s">
        <v>46</v>
      </c>
    </row>
    <row r="96" spans="1:29" x14ac:dyDescent="0.25">
      <c r="A96" s="45" t="s">
        <v>639</v>
      </c>
      <c r="B96" s="46" t="s">
        <v>149</v>
      </c>
      <c r="C96" s="46" t="s">
        <v>151</v>
      </c>
      <c r="D96" s="47" t="s">
        <v>600</v>
      </c>
      <c r="E96" s="47" t="s">
        <v>135</v>
      </c>
      <c r="F96" s="46" t="s">
        <v>640</v>
      </c>
      <c r="G96" s="46" t="s">
        <v>641</v>
      </c>
      <c r="H96" s="47" t="s">
        <v>123</v>
      </c>
      <c r="I96" s="47" t="s">
        <v>135</v>
      </c>
      <c r="J96" s="46" t="s">
        <v>642</v>
      </c>
      <c r="K96" s="47" t="s">
        <v>643</v>
      </c>
      <c r="L96" s="48" t="s">
        <v>122</v>
      </c>
      <c r="M96" s="46" t="s">
        <v>530</v>
      </c>
      <c r="N96" s="48" t="s">
        <v>89</v>
      </c>
      <c r="O96" s="49">
        <v>6</v>
      </c>
      <c r="P96" s="48" t="s">
        <v>46</v>
      </c>
      <c r="Q96" s="41" t="s">
        <v>66</v>
      </c>
      <c r="R96" s="41" t="s">
        <v>234</v>
      </c>
      <c r="S96" s="41" t="s">
        <v>234</v>
      </c>
      <c r="T96" s="41" t="s">
        <v>234</v>
      </c>
      <c r="U96" s="41" t="s">
        <v>234</v>
      </c>
      <c r="V96" s="41" t="s">
        <v>234</v>
      </c>
      <c r="W96" s="41" t="s">
        <v>234</v>
      </c>
      <c r="X96" s="43">
        <v>0</v>
      </c>
      <c r="Y96" s="41" t="s">
        <v>97</v>
      </c>
      <c r="Z96" s="41" t="s">
        <v>97</v>
      </c>
      <c r="AA96" s="41" t="s">
        <v>113</v>
      </c>
      <c r="AB96" s="39" t="s">
        <v>46</v>
      </c>
      <c r="AC96" s="44" t="s">
        <v>46</v>
      </c>
    </row>
    <row r="97" spans="1:29" x14ac:dyDescent="0.25">
      <c r="A97" s="38" t="s">
        <v>644</v>
      </c>
      <c r="B97" s="39" t="s">
        <v>149</v>
      </c>
      <c r="C97" s="39" t="s">
        <v>151</v>
      </c>
      <c r="D97" s="40" t="s">
        <v>600</v>
      </c>
      <c r="E97" s="40" t="s">
        <v>135</v>
      </c>
      <c r="F97" s="39" t="s">
        <v>645</v>
      </c>
      <c r="G97" s="39" t="s">
        <v>646</v>
      </c>
      <c r="H97" s="40" t="s">
        <v>123</v>
      </c>
      <c r="I97" s="40" t="s">
        <v>135</v>
      </c>
      <c r="J97" s="39" t="s">
        <v>647</v>
      </c>
      <c r="K97" s="40" t="s">
        <v>233</v>
      </c>
      <c r="L97" s="41" t="s">
        <v>122</v>
      </c>
      <c r="M97" s="39" t="s">
        <v>530</v>
      </c>
      <c r="N97" s="41" t="s">
        <v>89</v>
      </c>
      <c r="O97" s="42">
        <v>6</v>
      </c>
      <c r="P97" s="41" t="s">
        <v>46</v>
      </c>
      <c r="Q97" s="41" t="s">
        <v>66</v>
      </c>
      <c r="R97" s="41" t="s">
        <v>234</v>
      </c>
      <c r="S97" s="41" t="s">
        <v>234</v>
      </c>
      <c r="T97" s="41" t="s">
        <v>234</v>
      </c>
      <c r="U97" s="41" t="s">
        <v>234</v>
      </c>
      <c r="V97" s="41" t="s">
        <v>234</v>
      </c>
      <c r="W97" s="41" t="s">
        <v>234</v>
      </c>
      <c r="X97" s="43">
        <v>0</v>
      </c>
      <c r="Y97" s="41" t="s">
        <v>97</v>
      </c>
      <c r="Z97" s="41" t="s">
        <v>97</v>
      </c>
      <c r="AA97" s="41" t="s">
        <v>113</v>
      </c>
      <c r="AB97" s="39" t="s">
        <v>46</v>
      </c>
      <c r="AC97" s="44" t="s">
        <v>46</v>
      </c>
    </row>
    <row r="98" spans="1:29" x14ac:dyDescent="0.25">
      <c r="A98" s="45" t="s">
        <v>648</v>
      </c>
      <c r="B98" s="46" t="s">
        <v>149</v>
      </c>
      <c r="C98" s="46" t="s">
        <v>151</v>
      </c>
      <c r="D98" s="47" t="s">
        <v>600</v>
      </c>
      <c r="E98" s="47" t="s">
        <v>56</v>
      </c>
      <c r="F98" s="46" t="s">
        <v>649</v>
      </c>
      <c r="G98" s="46" t="s">
        <v>650</v>
      </c>
      <c r="H98" s="47" t="s">
        <v>132</v>
      </c>
      <c r="I98" s="47" t="s">
        <v>522</v>
      </c>
      <c r="J98" s="46" t="s">
        <v>598</v>
      </c>
      <c r="K98" s="47" t="s">
        <v>604</v>
      </c>
      <c r="L98" s="48" t="s">
        <v>122</v>
      </c>
      <c r="M98" s="46" t="s">
        <v>530</v>
      </c>
      <c r="N98" s="48" t="s">
        <v>89</v>
      </c>
      <c r="O98" s="49">
        <v>8</v>
      </c>
      <c r="P98" s="48" t="s">
        <v>46</v>
      </c>
      <c r="Q98" s="41" t="s">
        <v>66</v>
      </c>
      <c r="R98" s="41" t="s">
        <v>234</v>
      </c>
      <c r="S98" s="41" t="s">
        <v>234</v>
      </c>
      <c r="T98" s="41" t="s">
        <v>234</v>
      </c>
      <c r="U98" s="41" t="s">
        <v>234</v>
      </c>
      <c r="V98" s="41" t="s">
        <v>234</v>
      </c>
      <c r="W98" s="41" t="s">
        <v>234</v>
      </c>
      <c r="X98" s="43">
        <v>0</v>
      </c>
      <c r="Y98" s="41" t="s">
        <v>97</v>
      </c>
      <c r="Z98" s="41" t="s">
        <v>97</v>
      </c>
      <c r="AA98" s="41" t="s">
        <v>113</v>
      </c>
      <c r="AB98" s="39" t="s">
        <v>46</v>
      </c>
      <c r="AC98" s="44" t="s">
        <v>46</v>
      </c>
    </row>
    <row r="99" spans="1:29" x14ac:dyDescent="0.25">
      <c r="A99" s="38" t="s">
        <v>651</v>
      </c>
      <c r="B99" s="39" t="s">
        <v>149</v>
      </c>
      <c r="C99" s="39" t="s">
        <v>152</v>
      </c>
      <c r="D99" s="40" t="s">
        <v>652</v>
      </c>
      <c r="E99" s="40" t="s">
        <v>129</v>
      </c>
      <c r="F99" s="39" t="s">
        <v>653</v>
      </c>
      <c r="G99" s="39" t="s">
        <v>654</v>
      </c>
      <c r="H99" s="40" t="s">
        <v>126</v>
      </c>
      <c r="I99" s="40" t="s">
        <v>378</v>
      </c>
      <c r="J99" s="39" t="s">
        <v>655</v>
      </c>
      <c r="K99" s="40" t="s">
        <v>656</v>
      </c>
      <c r="L99" s="41" t="s">
        <v>122</v>
      </c>
      <c r="M99" s="39" t="s">
        <v>657</v>
      </c>
      <c r="N99" s="41" t="s">
        <v>87</v>
      </c>
      <c r="O99" s="42">
        <v>8</v>
      </c>
      <c r="P99" s="41" t="s">
        <v>46</v>
      </c>
      <c r="Q99" s="41" t="s">
        <v>66</v>
      </c>
      <c r="R99" s="41" t="s">
        <v>234</v>
      </c>
      <c r="S99" s="41" t="s">
        <v>234</v>
      </c>
      <c r="T99" s="41" t="s">
        <v>234</v>
      </c>
      <c r="U99" s="41" t="s">
        <v>234</v>
      </c>
      <c r="V99" s="41" t="s">
        <v>234</v>
      </c>
      <c r="W99" s="41" t="s">
        <v>234</v>
      </c>
      <c r="X99" s="43">
        <v>0</v>
      </c>
      <c r="Y99" s="41" t="s">
        <v>97</v>
      </c>
      <c r="Z99" s="41" t="s">
        <v>97</v>
      </c>
      <c r="AA99" s="41" t="s">
        <v>113</v>
      </c>
      <c r="AB99" s="39" t="s">
        <v>46</v>
      </c>
      <c r="AC99" s="44" t="s">
        <v>46</v>
      </c>
    </row>
    <row r="100" spans="1:29" x14ac:dyDescent="0.25">
      <c r="A100" s="45" t="s">
        <v>658</v>
      </c>
      <c r="B100" s="46" t="s">
        <v>149</v>
      </c>
      <c r="C100" s="46" t="s">
        <v>152</v>
      </c>
      <c r="D100" s="47" t="s">
        <v>652</v>
      </c>
      <c r="E100" s="47" t="s">
        <v>129</v>
      </c>
      <c r="F100" s="46" t="s">
        <v>659</v>
      </c>
      <c r="G100" s="46" t="s">
        <v>660</v>
      </c>
      <c r="H100" s="47" t="s">
        <v>126</v>
      </c>
      <c r="I100" s="47" t="s">
        <v>378</v>
      </c>
      <c r="J100" s="46" t="s">
        <v>661</v>
      </c>
      <c r="K100" s="47" t="s">
        <v>656</v>
      </c>
      <c r="L100" s="48" t="s">
        <v>122</v>
      </c>
      <c r="M100" s="46" t="s">
        <v>657</v>
      </c>
      <c r="N100" s="48" t="s">
        <v>87</v>
      </c>
      <c r="O100" s="49">
        <v>6</v>
      </c>
      <c r="P100" s="48" t="s">
        <v>46</v>
      </c>
      <c r="Q100" s="41" t="s">
        <v>66</v>
      </c>
      <c r="R100" s="41" t="s">
        <v>234</v>
      </c>
      <c r="S100" s="41" t="s">
        <v>234</v>
      </c>
      <c r="T100" s="41" t="s">
        <v>234</v>
      </c>
      <c r="U100" s="41" t="s">
        <v>234</v>
      </c>
      <c r="V100" s="41" t="s">
        <v>234</v>
      </c>
      <c r="W100" s="41" t="s">
        <v>234</v>
      </c>
      <c r="X100" s="43">
        <v>0</v>
      </c>
      <c r="Y100" s="41" t="s">
        <v>97</v>
      </c>
      <c r="Z100" s="41" t="s">
        <v>97</v>
      </c>
      <c r="AA100" s="41" t="s">
        <v>113</v>
      </c>
      <c r="AB100" s="39" t="s">
        <v>46</v>
      </c>
      <c r="AC100" s="44" t="s">
        <v>46</v>
      </c>
    </row>
    <row r="101" spans="1:29" x14ac:dyDescent="0.25">
      <c r="A101" s="38" t="s">
        <v>662</v>
      </c>
      <c r="B101" s="39" t="s">
        <v>149</v>
      </c>
      <c r="C101" s="39" t="s">
        <v>152</v>
      </c>
      <c r="D101" s="40" t="s">
        <v>652</v>
      </c>
      <c r="E101" s="40" t="s">
        <v>129</v>
      </c>
      <c r="F101" s="39" t="s">
        <v>663</v>
      </c>
      <c r="G101" s="39" t="s">
        <v>664</v>
      </c>
      <c r="H101" s="40" t="s">
        <v>126</v>
      </c>
      <c r="I101" s="40" t="s">
        <v>378</v>
      </c>
      <c r="J101" s="39" t="s">
        <v>665</v>
      </c>
      <c r="K101" s="40" t="s">
        <v>656</v>
      </c>
      <c r="L101" s="41" t="s">
        <v>122</v>
      </c>
      <c r="M101" s="39" t="s">
        <v>657</v>
      </c>
      <c r="N101" s="41" t="s">
        <v>88</v>
      </c>
      <c r="O101" s="42">
        <v>6</v>
      </c>
      <c r="P101" s="41" t="s">
        <v>46</v>
      </c>
      <c r="Q101" s="41" t="s">
        <v>66</v>
      </c>
      <c r="R101" s="41" t="s">
        <v>234</v>
      </c>
      <c r="S101" s="41" t="s">
        <v>234</v>
      </c>
      <c r="T101" s="41" t="s">
        <v>234</v>
      </c>
      <c r="U101" s="41" t="s">
        <v>234</v>
      </c>
      <c r="V101" s="41" t="s">
        <v>234</v>
      </c>
      <c r="W101" s="41" t="s">
        <v>234</v>
      </c>
      <c r="X101" s="43">
        <v>0</v>
      </c>
      <c r="Y101" s="41" t="s">
        <v>97</v>
      </c>
      <c r="Z101" s="41" t="s">
        <v>97</v>
      </c>
      <c r="AA101" s="41" t="s">
        <v>113</v>
      </c>
      <c r="AB101" s="39" t="s">
        <v>46</v>
      </c>
      <c r="AC101" s="44" t="s">
        <v>46</v>
      </c>
    </row>
    <row r="102" spans="1:29" x14ac:dyDescent="0.25">
      <c r="A102" s="45" t="s">
        <v>666</v>
      </c>
      <c r="B102" s="46" t="s">
        <v>149</v>
      </c>
      <c r="C102" s="46" t="s">
        <v>152</v>
      </c>
      <c r="D102" s="47" t="s">
        <v>652</v>
      </c>
      <c r="E102" s="47" t="s">
        <v>129</v>
      </c>
      <c r="F102" s="46" t="s">
        <v>667</v>
      </c>
      <c r="G102" s="46" t="s">
        <v>668</v>
      </c>
      <c r="H102" s="47" t="s">
        <v>126</v>
      </c>
      <c r="I102" s="47" t="s">
        <v>378</v>
      </c>
      <c r="J102" s="46" t="s">
        <v>669</v>
      </c>
      <c r="K102" s="47" t="s">
        <v>656</v>
      </c>
      <c r="L102" s="48" t="s">
        <v>122</v>
      </c>
      <c r="M102" s="46" t="s">
        <v>657</v>
      </c>
      <c r="N102" s="48" t="s">
        <v>88</v>
      </c>
      <c r="O102" s="49">
        <v>6</v>
      </c>
      <c r="P102" s="48" t="s">
        <v>46</v>
      </c>
      <c r="Q102" s="41" t="s">
        <v>66</v>
      </c>
      <c r="R102" s="41" t="s">
        <v>234</v>
      </c>
      <c r="S102" s="41" t="s">
        <v>234</v>
      </c>
      <c r="T102" s="41" t="s">
        <v>234</v>
      </c>
      <c r="U102" s="41" t="s">
        <v>234</v>
      </c>
      <c r="V102" s="41" t="s">
        <v>234</v>
      </c>
      <c r="W102" s="41" t="s">
        <v>234</v>
      </c>
      <c r="X102" s="43">
        <v>0</v>
      </c>
      <c r="Y102" s="41" t="s">
        <v>97</v>
      </c>
      <c r="Z102" s="41" t="s">
        <v>97</v>
      </c>
      <c r="AA102" s="41" t="s">
        <v>113</v>
      </c>
      <c r="AB102" s="39" t="s">
        <v>46</v>
      </c>
      <c r="AC102" s="44" t="s">
        <v>46</v>
      </c>
    </row>
    <row r="103" spans="1:29" x14ac:dyDescent="0.25">
      <c r="A103" s="38" t="s">
        <v>670</v>
      </c>
      <c r="B103" s="39" t="s">
        <v>149</v>
      </c>
      <c r="C103" s="39" t="s">
        <v>152</v>
      </c>
      <c r="D103" s="40" t="s">
        <v>652</v>
      </c>
      <c r="E103" s="40" t="s">
        <v>129</v>
      </c>
      <c r="F103" s="39" t="s">
        <v>671</v>
      </c>
      <c r="G103" s="39" t="s">
        <v>672</v>
      </c>
      <c r="H103" s="40" t="s">
        <v>126</v>
      </c>
      <c r="I103" s="40" t="s">
        <v>378</v>
      </c>
      <c r="J103" s="39" t="s">
        <v>673</v>
      </c>
      <c r="K103" s="40" t="s">
        <v>656</v>
      </c>
      <c r="L103" s="41" t="s">
        <v>122</v>
      </c>
      <c r="M103" s="39" t="s">
        <v>674</v>
      </c>
      <c r="N103" s="41" t="s">
        <v>97</v>
      </c>
      <c r="O103" s="42">
        <v>6</v>
      </c>
      <c r="P103" s="41" t="s">
        <v>46</v>
      </c>
      <c r="Q103" s="41" t="s">
        <v>31</v>
      </c>
      <c r="R103" s="41" t="s">
        <v>234</v>
      </c>
      <c r="S103" s="41" t="s">
        <v>234</v>
      </c>
      <c r="T103" s="41" t="s">
        <v>234</v>
      </c>
      <c r="U103" s="41" t="s">
        <v>234</v>
      </c>
      <c r="V103" s="41" t="s">
        <v>234</v>
      </c>
      <c r="W103" s="41" t="s">
        <v>273</v>
      </c>
      <c r="X103" s="43">
        <v>0</v>
      </c>
      <c r="Y103" s="41" t="s">
        <v>97</v>
      </c>
      <c r="Z103" s="41" t="s">
        <v>97</v>
      </c>
      <c r="AA103" s="41" t="s">
        <v>113</v>
      </c>
      <c r="AB103" s="39" t="s">
        <v>675</v>
      </c>
      <c r="AC103" s="44" t="s">
        <v>46</v>
      </c>
    </row>
    <row r="104" spans="1:29" x14ac:dyDescent="0.25">
      <c r="A104" s="45" t="s">
        <v>676</v>
      </c>
      <c r="B104" s="46" t="s">
        <v>149</v>
      </c>
      <c r="C104" s="46" t="s">
        <v>152</v>
      </c>
      <c r="D104" s="47" t="s">
        <v>652</v>
      </c>
      <c r="E104" s="47" t="s">
        <v>129</v>
      </c>
      <c r="F104" s="46" t="s">
        <v>677</v>
      </c>
      <c r="G104" s="46" t="s">
        <v>678</v>
      </c>
      <c r="H104" s="47" t="s">
        <v>126</v>
      </c>
      <c r="I104" s="47" t="s">
        <v>378</v>
      </c>
      <c r="J104" s="46" t="s">
        <v>679</v>
      </c>
      <c r="K104" s="47" t="s">
        <v>656</v>
      </c>
      <c r="L104" s="48" t="s">
        <v>122</v>
      </c>
      <c r="M104" s="46" t="s">
        <v>657</v>
      </c>
      <c r="N104" s="48" t="s">
        <v>88</v>
      </c>
      <c r="O104" s="49">
        <v>5</v>
      </c>
      <c r="P104" s="48" t="s">
        <v>46</v>
      </c>
      <c r="Q104" s="41" t="s">
        <v>66</v>
      </c>
      <c r="R104" s="41" t="s">
        <v>234</v>
      </c>
      <c r="S104" s="41" t="s">
        <v>234</v>
      </c>
      <c r="T104" s="41" t="s">
        <v>234</v>
      </c>
      <c r="U104" s="41" t="s">
        <v>234</v>
      </c>
      <c r="V104" s="41" t="s">
        <v>234</v>
      </c>
      <c r="W104" s="41" t="s">
        <v>234</v>
      </c>
      <c r="X104" s="43">
        <v>0</v>
      </c>
      <c r="Y104" s="41" t="s">
        <v>97</v>
      </c>
      <c r="Z104" s="41" t="s">
        <v>97</v>
      </c>
      <c r="AA104" s="41" t="s">
        <v>113</v>
      </c>
      <c r="AB104" s="39" t="s">
        <v>46</v>
      </c>
      <c r="AC104" s="44" t="s">
        <v>46</v>
      </c>
    </row>
    <row r="105" spans="1:29" x14ac:dyDescent="0.25">
      <c r="A105" s="38" t="s">
        <v>680</v>
      </c>
      <c r="B105" s="39" t="s">
        <v>149</v>
      </c>
      <c r="C105" s="39" t="s">
        <v>152</v>
      </c>
      <c r="D105" s="40" t="s">
        <v>652</v>
      </c>
      <c r="E105" s="40" t="s">
        <v>135</v>
      </c>
      <c r="F105" s="39" t="s">
        <v>681</v>
      </c>
      <c r="G105" s="39" t="s">
        <v>682</v>
      </c>
      <c r="H105" s="40" t="s">
        <v>123</v>
      </c>
      <c r="I105" s="40" t="s">
        <v>135</v>
      </c>
      <c r="J105" s="39" t="s">
        <v>683</v>
      </c>
      <c r="K105" s="40" t="s">
        <v>684</v>
      </c>
      <c r="L105" s="41" t="s">
        <v>122</v>
      </c>
      <c r="M105" s="39" t="s">
        <v>657</v>
      </c>
      <c r="N105" s="41" t="s">
        <v>89</v>
      </c>
      <c r="O105" s="42">
        <v>6</v>
      </c>
      <c r="P105" s="41" t="s">
        <v>46</v>
      </c>
      <c r="Q105" s="41" t="s">
        <v>66</v>
      </c>
      <c r="R105" s="41" t="s">
        <v>234</v>
      </c>
      <c r="S105" s="41" t="s">
        <v>234</v>
      </c>
      <c r="T105" s="41" t="s">
        <v>234</v>
      </c>
      <c r="U105" s="41" t="s">
        <v>234</v>
      </c>
      <c r="V105" s="41" t="s">
        <v>234</v>
      </c>
      <c r="W105" s="41" t="s">
        <v>234</v>
      </c>
      <c r="X105" s="43">
        <v>0</v>
      </c>
      <c r="Y105" s="41" t="s">
        <v>97</v>
      </c>
      <c r="Z105" s="41" t="s">
        <v>97</v>
      </c>
      <c r="AA105" s="41" t="s">
        <v>113</v>
      </c>
      <c r="AB105" s="39" t="s">
        <v>46</v>
      </c>
      <c r="AC105" s="44" t="s">
        <v>46</v>
      </c>
    </row>
    <row r="106" spans="1:29" x14ac:dyDescent="0.25">
      <c r="A106" s="45" t="s">
        <v>685</v>
      </c>
      <c r="B106" s="46" t="s">
        <v>149</v>
      </c>
      <c r="C106" s="46" t="s">
        <v>152</v>
      </c>
      <c r="D106" s="47" t="s">
        <v>652</v>
      </c>
      <c r="E106" s="47" t="s">
        <v>56</v>
      </c>
      <c r="F106" s="46" t="s">
        <v>686</v>
      </c>
      <c r="G106" s="46" t="s">
        <v>687</v>
      </c>
      <c r="H106" s="47" t="s">
        <v>132</v>
      </c>
      <c r="I106" s="47" t="s">
        <v>522</v>
      </c>
      <c r="J106" s="46" t="s">
        <v>688</v>
      </c>
      <c r="K106" s="47" t="s">
        <v>656</v>
      </c>
      <c r="L106" s="48" t="s">
        <v>122</v>
      </c>
      <c r="M106" s="46" t="s">
        <v>657</v>
      </c>
      <c r="N106" s="48" t="s">
        <v>89</v>
      </c>
      <c r="O106" s="49">
        <v>8</v>
      </c>
      <c r="P106" s="48" t="s">
        <v>46</v>
      </c>
      <c r="Q106" s="41" t="s">
        <v>66</v>
      </c>
      <c r="R106" s="41" t="s">
        <v>234</v>
      </c>
      <c r="S106" s="41" t="s">
        <v>234</v>
      </c>
      <c r="T106" s="41" t="s">
        <v>234</v>
      </c>
      <c r="U106" s="41" t="s">
        <v>234</v>
      </c>
      <c r="V106" s="41" t="s">
        <v>234</v>
      </c>
      <c r="W106" s="41" t="s">
        <v>234</v>
      </c>
      <c r="X106" s="43">
        <v>0</v>
      </c>
      <c r="Y106" s="41" t="s">
        <v>97</v>
      </c>
      <c r="Z106" s="41" t="s">
        <v>97</v>
      </c>
      <c r="AA106" s="41" t="s">
        <v>113</v>
      </c>
      <c r="AB106" s="39" t="s">
        <v>46</v>
      </c>
      <c r="AC106" s="44" t="s">
        <v>46</v>
      </c>
    </row>
    <row r="107" spans="1:29" x14ac:dyDescent="0.25">
      <c r="A107" s="38" t="s">
        <v>689</v>
      </c>
      <c r="B107" s="39" t="s">
        <v>154</v>
      </c>
      <c r="C107" s="39" t="s">
        <v>153</v>
      </c>
      <c r="D107" s="40" t="s">
        <v>690</v>
      </c>
      <c r="E107" s="40" t="s">
        <v>398</v>
      </c>
      <c r="F107" s="39" t="s">
        <v>691</v>
      </c>
      <c r="G107" s="39" t="s">
        <v>692</v>
      </c>
      <c r="H107" s="40" t="s">
        <v>128</v>
      </c>
      <c r="I107" s="40" t="s">
        <v>401</v>
      </c>
      <c r="J107" s="39" t="s">
        <v>693</v>
      </c>
      <c r="K107" s="40" t="s">
        <v>694</v>
      </c>
      <c r="L107" s="41" t="s">
        <v>122</v>
      </c>
      <c r="M107" s="39" t="s">
        <v>695</v>
      </c>
      <c r="N107" s="41" t="s">
        <v>87</v>
      </c>
      <c r="O107" s="42">
        <v>5</v>
      </c>
      <c r="P107" s="41" t="s">
        <v>46</v>
      </c>
      <c r="Q107" s="41" t="s">
        <v>66</v>
      </c>
      <c r="R107" s="41" t="s">
        <v>234</v>
      </c>
      <c r="S107" s="41" t="s">
        <v>234</v>
      </c>
      <c r="T107" s="41" t="s">
        <v>234</v>
      </c>
      <c r="U107" s="41" t="s">
        <v>234</v>
      </c>
      <c r="V107" s="41" t="s">
        <v>234</v>
      </c>
      <c r="W107" s="41" t="s">
        <v>234</v>
      </c>
      <c r="X107" s="43">
        <v>0</v>
      </c>
      <c r="Y107" s="41" t="s">
        <v>97</v>
      </c>
      <c r="Z107" s="41" t="s">
        <v>97</v>
      </c>
      <c r="AA107" s="41" t="s">
        <v>113</v>
      </c>
      <c r="AB107" s="39" t="s">
        <v>46</v>
      </c>
      <c r="AC107" s="44" t="s">
        <v>46</v>
      </c>
    </row>
    <row r="108" spans="1:29" x14ac:dyDescent="0.25">
      <c r="A108" s="45" t="s">
        <v>696</v>
      </c>
      <c r="B108" s="46" t="s">
        <v>154</v>
      </c>
      <c r="C108" s="46" t="s">
        <v>153</v>
      </c>
      <c r="D108" s="47" t="s">
        <v>690</v>
      </c>
      <c r="E108" s="47" t="s">
        <v>124</v>
      </c>
      <c r="F108" s="46" t="s">
        <v>697</v>
      </c>
      <c r="G108" s="46" t="s">
        <v>698</v>
      </c>
      <c r="H108" s="47" t="s">
        <v>126</v>
      </c>
      <c r="I108" s="47" t="s">
        <v>364</v>
      </c>
      <c r="J108" s="46" t="s">
        <v>699</v>
      </c>
      <c r="K108" s="47" t="s">
        <v>694</v>
      </c>
      <c r="L108" s="48" t="s">
        <v>122</v>
      </c>
      <c r="M108" s="46" t="s">
        <v>695</v>
      </c>
      <c r="N108" s="48" t="s">
        <v>88</v>
      </c>
      <c r="O108" s="49">
        <v>6</v>
      </c>
      <c r="P108" s="48" t="s">
        <v>46</v>
      </c>
      <c r="Q108" s="41" t="s">
        <v>66</v>
      </c>
      <c r="R108" s="41" t="s">
        <v>234</v>
      </c>
      <c r="S108" s="41" t="s">
        <v>234</v>
      </c>
      <c r="T108" s="41" t="s">
        <v>234</v>
      </c>
      <c r="U108" s="41" t="s">
        <v>234</v>
      </c>
      <c r="V108" s="41" t="s">
        <v>234</v>
      </c>
      <c r="W108" s="41" t="s">
        <v>234</v>
      </c>
      <c r="X108" s="43">
        <v>0</v>
      </c>
      <c r="Y108" s="41" t="s">
        <v>97</v>
      </c>
      <c r="Z108" s="41" t="s">
        <v>97</v>
      </c>
      <c r="AA108" s="41" t="s">
        <v>113</v>
      </c>
      <c r="AB108" s="39" t="s">
        <v>46</v>
      </c>
      <c r="AC108" s="44" t="s">
        <v>46</v>
      </c>
    </row>
    <row r="109" spans="1:29" x14ac:dyDescent="0.25">
      <c r="A109" s="38" t="s">
        <v>700</v>
      </c>
      <c r="B109" s="39" t="s">
        <v>154</v>
      </c>
      <c r="C109" s="39" t="s">
        <v>153</v>
      </c>
      <c r="D109" s="40" t="s">
        <v>690</v>
      </c>
      <c r="E109" s="40" t="s">
        <v>131</v>
      </c>
      <c r="F109" s="39" t="s">
        <v>701</v>
      </c>
      <c r="G109" s="39" t="s">
        <v>702</v>
      </c>
      <c r="H109" s="40" t="s">
        <v>126</v>
      </c>
      <c r="I109" s="40" t="s">
        <v>469</v>
      </c>
      <c r="J109" s="39" t="s">
        <v>703</v>
      </c>
      <c r="K109" s="40" t="s">
        <v>694</v>
      </c>
      <c r="L109" s="41" t="s">
        <v>122</v>
      </c>
      <c r="M109" s="39" t="s">
        <v>695</v>
      </c>
      <c r="N109" s="41" t="s">
        <v>88</v>
      </c>
      <c r="O109" s="42">
        <v>8</v>
      </c>
      <c r="P109" s="41" t="s">
        <v>46</v>
      </c>
      <c r="Q109" s="41" t="s">
        <v>66</v>
      </c>
      <c r="R109" s="41" t="s">
        <v>234</v>
      </c>
      <c r="S109" s="41" t="s">
        <v>234</v>
      </c>
      <c r="T109" s="41" t="s">
        <v>234</v>
      </c>
      <c r="U109" s="41" t="s">
        <v>234</v>
      </c>
      <c r="V109" s="41" t="s">
        <v>234</v>
      </c>
      <c r="W109" s="41" t="s">
        <v>234</v>
      </c>
      <c r="X109" s="43">
        <v>0</v>
      </c>
      <c r="Y109" s="41" t="s">
        <v>97</v>
      </c>
      <c r="Z109" s="41" t="s">
        <v>97</v>
      </c>
      <c r="AA109" s="41" t="s">
        <v>113</v>
      </c>
      <c r="AB109" s="39" t="s">
        <v>46</v>
      </c>
      <c r="AC109" s="44" t="s">
        <v>46</v>
      </c>
    </row>
    <row r="110" spans="1:29" x14ac:dyDescent="0.25">
      <c r="A110" s="45" t="s">
        <v>704</v>
      </c>
      <c r="B110" s="46" t="s">
        <v>154</v>
      </c>
      <c r="C110" s="46" t="s">
        <v>153</v>
      </c>
      <c r="D110" s="47" t="s">
        <v>690</v>
      </c>
      <c r="E110" s="47" t="s">
        <v>124</v>
      </c>
      <c r="F110" s="46" t="s">
        <v>705</v>
      </c>
      <c r="G110" s="46" t="s">
        <v>706</v>
      </c>
      <c r="H110" s="47" t="s">
        <v>126</v>
      </c>
      <c r="I110" s="47" t="s">
        <v>325</v>
      </c>
      <c r="J110" s="46" t="s">
        <v>707</v>
      </c>
      <c r="K110" s="47" t="s">
        <v>694</v>
      </c>
      <c r="L110" s="48" t="s">
        <v>122</v>
      </c>
      <c r="M110" s="46" t="s">
        <v>695</v>
      </c>
      <c r="N110" s="48" t="s">
        <v>88</v>
      </c>
      <c r="O110" s="49">
        <v>6</v>
      </c>
      <c r="P110" s="48" t="s">
        <v>46</v>
      </c>
      <c r="Q110" s="41" t="s">
        <v>66</v>
      </c>
      <c r="R110" s="41" t="s">
        <v>234</v>
      </c>
      <c r="S110" s="41" t="s">
        <v>234</v>
      </c>
      <c r="T110" s="41" t="s">
        <v>234</v>
      </c>
      <c r="U110" s="41" t="s">
        <v>234</v>
      </c>
      <c r="V110" s="41" t="s">
        <v>234</v>
      </c>
      <c r="W110" s="41" t="s">
        <v>234</v>
      </c>
      <c r="X110" s="43">
        <v>0</v>
      </c>
      <c r="Y110" s="41" t="s">
        <v>97</v>
      </c>
      <c r="Z110" s="41" t="s">
        <v>97</v>
      </c>
      <c r="AA110" s="41" t="s">
        <v>113</v>
      </c>
      <c r="AB110" s="39" t="s">
        <v>708</v>
      </c>
      <c r="AC110" s="44" t="s">
        <v>46</v>
      </c>
    </row>
    <row r="111" spans="1:29" x14ac:dyDescent="0.25">
      <c r="A111" s="38" t="s">
        <v>709</v>
      </c>
      <c r="B111" s="39" t="s">
        <v>154</v>
      </c>
      <c r="C111" s="39" t="s">
        <v>153</v>
      </c>
      <c r="D111" s="40" t="s">
        <v>690</v>
      </c>
      <c r="E111" s="40" t="s">
        <v>131</v>
      </c>
      <c r="F111" s="39" t="s">
        <v>710</v>
      </c>
      <c r="G111" s="39" t="s">
        <v>711</v>
      </c>
      <c r="H111" s="40" t="s">
        <v>126</v>
      </c>
      <c r="I111" s="40" t="s">
        <v>469</v>
      </c>
      <c r="J111" s="39" t="s">
        <v>712</v>
      </c>
      <c r="K111" s="40" t="s">
        <v>694</v>
      </c>
      <c r="L111" s="41" t="s">
        <v>122</v>
      </c>
      <c r="M111" s="39" t="s">
        <v>695</v>
      </c>
      <c r="N111" s="41" t="s">
        <v>89</v>
      </c>
      <c r="O111" s="42">
        <v>5</v>
      </c>
      <c r="P111" s="41" t="s">
        <v>46</v>
      </c>
      <c r="Q111" s="41" t="s">
        <v>66</v>
      </c>
      <c r="R111" s="41" t="s">
        <v>234</v>
      </c>
      <c r="S111" s="41" t="s">
        <v>234</v>
      </c>
      <c r="T111" s="41" t="s">
        <v>234</v>
      </c>
      <c r="U111" s="41" t="s">
        <v>234</v>
      </c>
      <c r="V111" s="41" t="s">
        <v>234</v>
      </c>
      <c r="W111" s="41" t="s">
        <v>234</v>
      </c>
      <c r="X111" s="43">
        <v>0</v>
      </c>
      <c r="Y111" s="41" t="s">
        <v>97</v>
      </c>
      <c r="Z111" s="41" t="s">
        <v>97</v>
      </c>
      <c r="AA111" s="41" t="s">
        <v>113</v>
      </c>
      <c r="AB111" s="39" t="s">
        <v>46</v>
      </c>
      <c r="AC111" s="44" t="s">
        <v>46</v>
      </c>
    </row>
    <row r="112" spans="1:29" x14ac:dyDescent="0.25">
      <c r="A112" s="45" t="s">
        <v>713</v>
      </c>
      <c r="B112" s="46" t="s">
        <v>154</v>
      </c>
      <c r="C112" s="46" t="s">
        <v>153</v>
      </c>
      <c r="D112" s="47" t="s">
        <v>690</v>
      </c>
      <c r="E112" s="47" t="s">
        <v>124</v>
      </c>
      <c r="F112" s="46" t="s">
        <v>714</v>
      </c>
      <c r="G112" s="46" t="s">
        <v>715</v>
      </c>
      <c r="H112" s="47" t="s">
        <v>126</v>
      </c>
      <c r="I112" s="47" t="s">
        <v>325</v>
      </c>
      <c r="J112" s="46" t="s">
        <v>716</v>
      </c>
      <c r="K112" s="47" t="s">
        <v>694</v>
      </c>
      <c r="L112" s="48" t="s">
        <v>122</v>
      </c>
      <c r="M112" s="46" t="s">
        <v>695</v>
      </c>
      <c r="N112" s="48" t="s">
        <v>89</v>
      </c>
      <c r="O112" s="49">
        <v>8</v>
      </c>
      <c r="P112" s="48" t="s">
        <v>46</v>
      </c>
      <c r="Q112" s="41" t="s">
        <v>66</v>
      </c>
      <c r="R112" s="41" t="s">
        <v>234</v>
      </c>
      <c r="S112" s="41" t="s">
        <v>234</v>
      </c>
      <c r="T112" s="41" t="s">
        <v>234</v>
      </c>
      <c r="U112" s="41" t="s">
        <v>234</v>
      </c>
      <c r="V112" s="41" t="s">
        <v>234</v>
      </c>
      <c r="W112" s="41" t="s">
        <v>234</v>
      </c>
      <c r="X112" s="43">
        <v>0</v>
      </c>
      <c r="Y112" s="41" t="s">
        <v>97</v>
      </c>
      <c r="Z112" s="41" t="s">
        <v>97</v>
      </c>
      <c r="AA112" s="41" t="s">
        <v>113</v>
      </c>
      <c r="AB112" s="39" t="s">
        <v>717</v>
      </c>
      <c r="AC112" s="44" t="s">
        <v>46</v>
      </c>
    </row>
    <row r="113" spans="1:29" x14ac:dyDescent="0.25">
      <c r="A113" s="38" t="s">
        <v>718</v>
      </c>
      <c r="B113" s="39" t="s">
        <v>154</v>
      </c>
      <c r="C113" s="39" t="s">
        <v>153</v>
      </c>
      <c r="D113" s="40" t="s">
        <v>690</v>
      </c>
      <c r="E113" s="40" t="s">
        <v>131</v>
      </c>
      <c r="F113" s="39" t="s">
        <v>719</v>
      </c>
      <c r="G113" s="39" t="s">
        <v>720</v>
      </c>
      <c r="H113" s="40" t="s">
        <v>126</v>
      </c>
      <c r="I113" s="40" t="s">
        <v>469</v>
      </c>
      <c r="J113" s="39" t="s">
        <v>721</v>
      </c>
      <c r="K113" s="40" t="s">
        <v>694</v>
      </c>
      <c r="L113" s="41" t="s">
        <v>122</v>
      </c>
      <c r="M113" s="39" t="s">
        <v>695</v>
      </c>
      <c r="N113" s="41" t="s">
        <v>89</v>
      </c>
      <c r="O113" s="42">
        <v>10</v>
      </c>
      <c r="P113" s="41" t="s">
        <v>46</v>
      </c>
      <c r="Q113" s="41" t="s">
        <v>66</v>
      </c>
      <c r="R113" s="41" t="s">
        <v>234</v>
      </c>
      <c r="S113" s="41" t="s">
        <v>234</v>
      </c>
      <c r="T113" s="41" t="s">
        <v>234</v>
      </c>
      <c r="U113" s="41" t="s">
        <v>234</v>
      </c>
      <c r="V113" s="41" t="s">
        <v>234</v>
      </c>
      <c r="W113" s="41" t="s">
        <v>234</v>
      </c>
      <c r="X113" s="43">
        <v>0</v>
      </c>
      <c r="Y113" s="41" t="s">
        <v>97</v>
      </c>
      <c r="Z113" s="41" t="s">
        <v>97</v>
      </c>
      <c r="AA113" s="41" t="s">
        <v>113</v>
      </c>
      <c r="AB113" s="39" t="s">
        <v>722</v>
      </c>
      <c r="AC113" s="44" t="s">
        <v>46</v>
      </c>
    </row>
    <row r="114" spans="1:29" x14ac:dyDescent="0.25">
      <c r="A114" s="45" t="s">
        <v>723</v>
      </c>
      <c r="B114" s="46" t="s">
        <v>154</v>
      </c>
      <c r="C114" s="46" t="s">
        <v>153</v>
      </c>
      <c r="D114" s="47" t="s">
        <v>690</v>
      </c>
      <c r="E114" s="47" t="s">
        <v>131</v>
      </c>
      <c r="F114" s="46" t="s">
        <v>724</v>
      </c>
      <c r="G114" s="46" t="s">
        <v>725</v>
      </c>
      <c r="H114" s="47" t="s">
        <v>126</v>
      </c>
      <c r="I114" s="47" t="s">
        <v>469</v>
      </c>
      <c r="J114" s="46" t="s">
        <v>726</v>
      </c>
      <c r="K114" s="47" t="s">
        <v>694</v>
      </c>
      <c r="L114" s="48" t="s">
        <v>122</v>
      </c>
      <c r="M114" s="46" t="s">
        <v>695</v>
      </c>
      <c r="N114" s="48" t="s">
        <v>89</v>
      </c>
      <c r="O114" s="49">
        <v>8</v>
      </c>
      <c r="P114" s="48" t="s">
        <v>46</v>
      </c>
      <c r="Q114" s="41" t="s">
        <v>66</v>
      </c>
      <c r="R114" s="41" t="s">
        <v>234</v>
      </c>
      <c r="S114" s="41" t="s">
        <v>234</v>
      </c>
      <c r="T114" s="41" t="s">
        <v>234</v>
      </c>
      <c r="U114" s="41" t="s">
        <v>234</v>
      </c>
      <c r="V114" s="41" t="s">
        <v>234</v>
      </c>
      <c r="W114" s="41" t="s">
        <v>234</v>
      </c>
      <c r="X114" s="43">
        <v>0</v>
      </c>
      <c r="Y114" s="41" t="s">
        <v>97</v>
      </c>
      <c r="Z114" s="41" t="s">
        <v>97</v>
      </c>
      <c r="AA114" s="41" t="s">
        <v>113</v>
      </c>
      <c r="AB114" s="39" t="s">
        <v>46</v>
      </c>
      <c r="AC114" s="44" t="s">
        <v>46</v>
      </c>
    </row>
    <row r="115" spans="1:29" x14ac:dyDescent="0.25">
      <c r="A115" s="38" t="s">
        <v>727</v>
      </c>
      <c r="B115" s="39" t="s">
        <v>154</v>
      </c>
      <c r="C115" s="39" t="s">
        <v>153</v>
      </c>
      <c r="D115" s="40" t="s">
        <v>690</v>
      </c>
      <c r="E115" s="40" t="s">
        <v>124</v>
      </c>
      <c r="F115" s="39" t="s">
        <v>728</v>
      </c>
      <c r="G115" s="39" t="s">
        <v>729</v>
      </c>
      <c r="H115" s="40" t="s">
        <v>126</v>
      </c>
      <c r="I115" s="40" t="s">
        <v>325</v>
      </c>
      <c r="J115" s="39" t="s">
        <v>730</v>
      </c>
      <c r="K115" s="40" t="s">
        <v>694</v>
      </c>
      <c r="L115" s="41" t="s">
        <v>122</v>
      </c>
      <c r="M115" s="39" t="s">
        <v>695</v>
      </c>
      <c r="N115" s="41" t="s">
        <v>90</v>
      </c>
      <c r="O115" s="42">
        <v>6</v>
      </c>
      <c r="P115" s="41" t="s">
        <v>46</v>
      </c>
      <c r="Q115" s="41" t="s">
        <v>66</v>
      </c>
      <c r="R115" s="41" t="s">
        <v>234</v>
      </c>
      <c r="S115" s="41" t="s">
        <v>234</v>
      </c>
      <c r="T115" s="41" t="s">
        <v>234</v>
      </c>
      <c r="U115" s="41" t="s">
        <v>234</v>
      </c>
      <c r="V115" s="41" t="s">
        <v>234</v>
      </c>
      <c r="W115" s="41" t="s">
        <v>234</v>
      </c>
      <c r="X115" s="43">
        <v>0</v>
      </c>
      <c r="Y115" s="41" t="s">
        <v>97</v>
      </c>
      <c r="Z115" s="41" t="s">
        <v>97</v>
      </c>
      <c r="AA115" s="41" t="s">
        <v>113</v>
      </c>
      <c r="AB115" s="39" t="s">
        <v>46</v>
      </c>
      <c r="AC115" s="44" t="s">
        <v>46</v>
      </c>
    </row>
    <row r="116" spans="1:29" x14ac:dyDescent="0.25">
      <c r="A116" s="45" t="s">
        <v>731</v>
      </c>
      <c r="B116" s="46" t="s">
        <v>154</v>
      </c>
      <c r="C116" s="46" t="s">
        <v>153</v>
      </c>
      <c r="D116" s="47" t="s">
        <v>690</v>
      </c>
      <c r="E116" s="47" t="s">
        <v>135</v>
      </c>
      <c r="F116" s="46" t="s">
        <v>732</v>
      </c>
      <c r="G116" s="46" t="s">
        <v>733</v>
      </c>
      <c r="H116" s="47" t="s">
        <v>123</v>
      </c>
      <c r="I116" s="47" t="s">
        <v>135</v>
      </c>
      <c r="J116" s="46" t="s">
        <v>734</v>
      </c>
      <c r="K116" s="47" t="s">
        <v>694</v>
      </c>
      <c r="L116" s="48" t="s">
        <v>122</v>
      </c>
      <c r="M116" s="46" t="s">
        <v>695</v>
      </c>
      <c r="N116" s="48" t="s">
        <v>90</v>
      </c>
      <c r="O116" s="49">
        <v>12</v>
      </c>
      <c r="P116" s="48" t="s">
        <v>46</v>
      </c>
      <c r="Q116" s="41" t="s">
        <v>66</v>
      </c>
      <c r="R116" s="41" t="s">
        <v>234</v>
      </c>
      <c r="S116" s="41" t="s">
        <v>234</v>
      </c>
      <c r="T116" s="41" t="s">
        <v>234</v>
      </c>
      <c r="U116" s="41" t="s">
        <v>234</v>
      </c>
      <c r="V116" s="41" t="s">
        <v>234</v>
      </c>
      <c r="W116" s="41" t="s">
        <v>234</v>
      </c>
      <c r="X116" s="43">
        <v>0</v>
      </c>
      <c r="Y116" s="41" t="s">
        <v>97</v>
      </c>
      <c r="Z116" s="41" t="s">
        <v>97</v>
      </c>
      <c r="AA116" s="41" t="s">
        <v>113</v>
      </c>
      <c r="AB116" s="39" t="s">
        <v>46</v>
      </c>
      <c r="AC116" s="44" t="s">
        <v>46</v>
      </c>
    </row>
    <row r="117" spans="1:29" x14ac:dyDescent="0.25">
      <c r="A117" s="38" t="s">
        <v>735</v>
      </c>
      <c r="B117" s="39" t="s">
        <v>154</v>
      </c>
      <c r="C117" s="39" t="s">
        <v>153</v>
      </c>
      <c r="D117" s="40" t="s">
        <v>690</v>
      </c>
      <c r="E117" s="40" t="s">
        <v>123</v>
      </c>
      <c r="F117" s="39" t="s">
        <v>736</v>
      </c>
      <c r="G117" s="39" t="s">
        <v>737</v>
      </c>
      <c r="H117" s="40" t="s">
        <v>123</v>
      </c>
      <c r="I117" s="40" t="s">
        <v>307</v>
      </c>
      <c r="J117" s="39" t="s">
        <v>738</v>
      </c>
      <c r="K117" s="40" t="s">
        <v>694</v>
      </c>
      <c r="L117" s="41" t="s">
        <v>122</v>
      </c>
      <c r="M117" s="39" t="s">
        <v>695</v>
      </c>
      <c r="N117" s="41" t="s">
        <v>90</v>
      </c>
      <c r="O117" s="42">
        <v>8</v>
      </c>
      <c r="P117" s="41" t="s">
        <v>46</v>
      </c>
      <c r="Q117" s="41" t="s">
        <v>66</v>
      </c>
      <c r="R117" s="41" t="s">
        <v>234</v>
      </c>
      <c r="S117" s="41" t="s">
        <v>234</v>
      </c>
      <c r="T117" s="41" t="s">
        <v>234</v>
      </c>
      <c r="U117" s="41" t="s">
        <v>234</v>
      </c>
      <c r="V117" s="41" t="s">
        <v>234</v>
      </c>
      <c r="W117" s="41" t="s">
        <v>234</v>
      </c>
      <c r="X117" s="43">
        <v>0</v>
      </c>
      <c r="Y117" s="41" t="s">
        <v>97</v>
      </c>
      <c r="Z117" s="41" t="s">
        <v>97</v>
      </c>
      <c r="AA117" s="41" t="s">
        <v>113</v>
      </c>
      <c r="AB117" s="39" t="s">
        <v>46</v>
      </c>
      <c r="AC117" s="44" t="s">
        <v>46</v>
      </c>
    </row>
    <row r="118" spans="1:29" x14ac:dyDescent="0.25">
      <c r="A118" s="45" t="s">
        <v>739</v>
      </c>
      <c r="B118" s="46" t="s">
        <v>154</v>
      </c>
      <c r="C118" s="46" t="s">
        <v>153</v>
      </c>
      <c r="D118" s="47" t="s">
        <v>690</v>
      </c>
      <c r="E118" s="47" t="s">
        <v>56</v>
      </c>
      <c r="F118" s="46" t="s">
        <v>740</v>
      </c>
      <c r="G118" s="46" t="s">
        <v>741</v>
      </c>
      <c r="H118" s="47" t="s">
        <v>132</v>
      </c>
      <c r="I118" s="47" t="s">
        <v>522</v>
      </c>
      <c r="J118" s="46" t="s">
        <v>598</v>
      </c>
      <c r="K118" s="47" t="s">
        <v>694</v>
      </c>
      <c r="L118" s="48" t="s">
        <v>122</v>
      </c>
      <c r="M118" s="46" t="s">
        <v>695</v>
      </c>
      <c r="N118" s="48" t="s">
        <v>90</v>
      </c>
      <c r="O118" s="49">
        <v>10</v>
      </c>
      <c r="P118" s="48" t="s">
        <v>46</v>
      </c>
      <c r="Q118" s="41" t="s">
        <v>66</v>
      </c>
      <c r="R118" s="41" t="s">
        <v>234</v>
      </c>
      <c r="S118" s="41" t="s">
        <v>234</v>
      </c>
      <c r="T118" s="41" t="s">
        <v>234</v>
      </c>
      <c r="U118" s="41" t="s">
        <v>234</v>
      </c>
      <c r="V118" s="41" t="s">
        <v>234</v>
      </c>
      <c r="W118" s="41" t="s">
        <v>234</v>
      </c>
      <c r="X118" s="43">
        <v>0</v>
      </c>
      <c r="Y118" s="41" t="s">
        <v>97</v>
      </c>
      <c r="Z118" s="41" t="s">
        <v>97</v>
      </c>
      <c r="AA118" s="41" t="s">
        <v>113</v>
      </c>
      <c r="AB118" s="39" t="s">
        <v>46</v>
      </c>
      <c r="AC118" s="44" t="s">
        <v>46</v>
      </c>
    </row>
    <row r="119" spans="1:29" x14ac:dyDescent="0.25">
      <c r="A119" s="38" t="s">
        <v>742</v>
      </c>
      <c r="B119" s="39" t="s">
        <v>154</v>
      </c>
      <c r="C119" s="39" t="s">
        <v>155</v>
      </c>
      <c r="D119" s="40" t="s">
        <v>743</v>
      </c>
      <c r="E119" s="40" t="s">
        <v>398</v>
      </c>
      <c r="F119" s="39" t="s">
        <v>744</v>
      </c>
      <c r="G119" s="39" t="s">
        <v>745</v>
      </c>
      <c r="H119" s="40" t="s">
        <v>128</v>
      </c>
      <c r="I119" s="40" t="s">
        <v>401</v>
      </c>
      <c r="J119" s="39" t="s">
        <v>746</v>
      </c>
      <c r="K119" s="40" t="s">
        <v>747</v>
      </c>
      <c r="L119" s="41" t="s">
        <v>122</v>
      </c>
      <c r="M119" s="39" t="s">
        <v>748</v>
      </c>
      <c r="N119" s="41" t="s">
        <v>89</v>
      </c>
      <c r="O119" s="42">
        <v>8</v>
      </c>
      <c r="P119" s="41" t="s">
        <v>46</v>
      </c>
      <c r="Q119" s="41" t="s">
        <v>66</v>
      </c>
      <c r="R119" s="41" t="s">
        <v>234</v>
      </c>
      <c r="S119" s="41" t="s">
        <v>234</v>
      </c>
      <c r="T119" s="41" t="s">
        <v>234</v>
      </c>
      <c r="U119" s="41" t="s">
        <v>234</v>
      </c>
      <c r="V119" s="41" t="s">
        <v>234</v>
      </c>
      <c r="W119" s="41" t="s">
        <v>234</v>
      </c>
      <c r="X119" s="43">
        <v>0</v>
      </c>
      <c r="Y119" s="41" t="s">
        <v>97</v>
      </c>
      <c r="Z119" s="41" t="s">
        <v>97</v>
      </c>
      <c r="AA119" s="41" t="s">
        <v>113</v>
      </c>
      <c r="AB119" s="39" t="s">
        <v>46</v>
      </c>
      <c r="AC119" s="44" t="s">
        <v>46</v>
      </c>
    </row>
    <row r="120" spans="1:29" x14ac:dyDescent="0.25">
      <c r="A120" s="45" t="s">
        <v>749</v>
      </c>
      <c r="B120" s="46" t="s">
        <v>154</v>
      </c>
      <c r="C120" s="46" t="s">
        <v>155</v>
      </c>
      <c r="D120" s="47" t="s">
        <v>743</v>
      </c>
      <c r="E120" s="47" t="s">
        <v>398</v>
      </c>
      <c r="F120" s="46" t="s">
        <v>750</v>
      </c>
      <c r="G120" s="46" t="s">
        <v>751</v>
      </c>
      <c r="H120" s="47" t="s">
        <v>128</v>
      </c>
      <c r="I120" s="47" t="s">
        <v>401</v>
      </c>
      <c r="J120" s="46" t="s">
        <v>752</v>
      </c>
      <c r="K120" s="47" t="s">
        <v>747</v>
      </c>
      <c r="L120" s="48" t="s">
        <v>122</v>
      </c>
      <c r="M120" s="46" t="s">
        <v>748</v>
      </c>
      <c r="N120" s="48" t="s">
        <v>89</v>
      </c>
      <c r="O120" s="49">
        <v>8</v>
      </c>
      <c r="P120" s="48" t="s">
        <v>46</v>
      </c>
      <c r="Q120" s="41" t="s">
        <v>66</v>
      </c>
      <c r="R120" s="41" t="s">
        <v>234</v>
      </c>
      <c r="S120" s="41" t="s">
        <v>234</v>
      </c>
      <c r="T120" s="41" t="s">
        <v>234</v>
      </c>
      <c r="U120" s="41" t="s">
        <v>234</v>
      </c>
      <c r="V120" s="41" t="s">
        <v>234</v>
      </c>
      <c r="W120" s="41" t="s">
        <v>234</v>
      </c>
      <c r="X120" s="43">
        <v>0</v>
      </c>
      <c r="Y120" s="41" t="s">
        <v>97</v>
      </c>
      <c r="Z120" s="41" t="s">
        <v>97</v>
      </c>
      <c r="AA120" s="41" t="s">
        <v>113</v>
      </c>
      <c r="AB120" s="39" t="s">
        <v>46</v>
      </c>
      <c r="AC120" s="44" t="s">
        <v>46</v>
      </c>
    </row>
    <row r="121" spans="1:29" x14ac:dyDescent="0.25">
      <c r="A121" s="38" t="s">
        <v>753</v>
      </c>
      <c r="B121" s="39" t="s">
        <v>154</v>
      </c>
      <c r="C121" s="39" t="s">
        <v>155</v>
      </c>
      <c r="D121" s="40" t="s">
        <v>743</v>
      </c>
      <c r="E121" s="40" t="s">
        <v>124</v>
      </c>
      <c r="F121" s="39" t="s">
        <v>754</v>
      </c>
      <c r="G121" s="39" t="s">
        <v>755</v>
      </c>
      <c r="H121" s="40" t="s">
        <v>126</v>
      </c>
      <c r="I121" s="40" t="s">
        <v>364</v>
      </c>
      <c r="J121" s="39" t="s">
        <v>756</v>
      </c>
      <c r="K121" s="40" t="s">
        <v>747</v>
      </c>
      <c r="L121" s="41" t="s">
        <v>122</v>
      </c>
      <c r="M121" s="39" t="s">
        <v>748</v>
      </c>
      <c r="N121" s="41" t="s">
        <v>90</v>
      </c>
      <c r="O121" s="42">
        <v>10</v>
      </c>
      <c r="P121" s="41" t="s">
        <v>46</v>
      </c>
      <c r="Q121" s="41" t="s">
        <v>66</v>
      </c>
      <c r="R121" s="41" t="s">
        <v>234</v>
      </c>
      <c r="S121" s="41" t="s">
        <v>234</v>
      </c>
      <c r="T121" s="41" t="s">
        <v>234</v>
      </c>
      <c r="U121" s="41" t="s">
        <v>234</v>
      </c>
      <c r="V121" s="41" t="s">
        <v>234</v>
      </c>
      <c r="W121" s="41" t="s">
        <v>234</v>
      </c>
      <c r="X121" s="43">
        <v>0</v>
      </c>
      <c r="Y121" s="41" t="s">
        <v>97</v>
      </c>
      <c r="Z121" s="41" t="s">
        <v>97</v>
      </c>
      <c r="AA121" s="41" t="s">
        <v>113</v>
      </c>
      <c r="AB121" s="39" t="s">
        <v>46</v>
      </c>
      <c r="AC121" s="44" t="s">
        <v>46</v>
      </c>
    </row>
    <row r="122" spans="1:29" x14ac:dyDescent="0.25">
      <c r="A122" s="45" t="s">
        <v>757</v>
      </c>
      <c r="B122" s="46" t="s">
        <v>154</v>
      </c>
      <c r="C122" s="46" t="s">
        <v>155</v>
      </c>
      <c r="D122" s="47" t="s">
        <v>743</v>
      </c>
      <c r="E122" s="47" t="s">
        <v>131</v>
      </c>
      <c r="F122" s="46" t="s">
        <v>758</v>
      </c>
      <c r="G122" s="46" t="s">
        <v>759</v>
      </c>
      <c r="H122" s="47" t="s">
        <v>126</v>
      </c>
      <c r="I122" s="47" t="s">
        <v>469</v>
      </c>
      <c r="J122" s="46" t="s">
        <v>760</v>
      </c>
      <c r="K122" s="47" t="s">
        <v>747</v>
      </c>
      <c r="L122" s="48" t="s">
        <v>122</v>
      </c>
      <c r="M122" s="46" t="s">
        <v>748</v>
      </c>
      <c r="N122" s="48" t="s">
        <v>90</v>
      </c>
      <c r="O122" s="49">
        <v>8</v>
      </c>
      <c r="P122" s="48" t="s">
        <v>46</v>
      </c>
      <c r="Q122" s="41" t="s">
        <v>66</v>
      </c>
      <c r="R122" s="41" t="s">
        <v>234</v>
      </c>
      <c r="S122" s="41" t="s">
        <v>234</v>
      </c>
      <c r="T122" s="41" t="s">
        <v>234</v>
      </c>
      <c r="U122" s="41" t="s">
        <v>234</v>
      </c>
      <c r="V122" s="41" t="s">
        <v>234</v>
      </c>
      <c r="W122" s="41" t="s">
        <v>234</v>
      </c>
      <c r="X122" s="43">
        <v>0</v>
      </c>
      <c r="Y122" s="41" t="s">
        <v>97</v>
      </c>
      <c r="Z122" s="41" t="s">
        <v>97</v>
      </c>
      <c r="AA122" s="41" t="s">
        <v>113</v>
      </c>
      <c r="AB122" s="39" t="s">
        <v>46</v>
      </c>
      <c r="AC122" s="44" t="s">
        <v>46</v>
      </c>
    </row>
    <row r="123" spans="1:29" x14ac:dyDescent="0.25">
      <c r="A123" s="38" t="s">
        <v>761</v>
      </c>
      <c r="B123" s="39" t="s">
        <v>154</v>
      </c>
      <c r="C123" s="39" t="s">
        <v>155</v>
      </c>
      <c r="D123" s="40" t="s">
        <v>743</v>
      </c>
      <c r="E123" s="40" t="s">
        <v>295</v>
      </c>
      <c r="F123" s="39" t="s">
        <v>762</v>
      </c>
      <c r="G123" s="39" t="s">
        <v>763</v>
      </c>
      <c r="H123" s="40" t="s">
        <v>126</v>
      </c>
      <c r="I123" s="40" t="s">
        <v>325</v>
      </c>
      <c r="J123" s="39" t="s">
        <v>764</v>
      </c>
      <c r="K123" s="40" t="s">
        <v>747</v>
      </c>
      <c r="L123" s="41" t="s">
        <v>122</v>
      </c>
      <c r="M123" s="39" t="s">
        <v>748</v>
      </c>
      <c r="N123" s="41" t="s">
        <v>90</v>
      </c>
      <c r="O123" s="42">
        <v>10</v>
      </c>
      <c r="P123" s="41" t="s">
        <v>46</v>
      </c>
      <c r="Q123" s="41" t="s">
        <v>66</v>
      </c>
      <c r="R123" s="41" t="s">
        <v>234</v>
      </c>
      <c r="S123" s="41" t="s">
        <v>234</v>
      </c>
      <c r="T123" s="41" t="s">
        <v>234</v>
      </c>
      <c r="U123" s="41" t="s">
        <v>234</v>
      </c>
      <c r="V123" s="41" t="s">
        <v>234</v>
      </c>
      <c r="W123" s="41" t="s">
        <v>234</v>
      </c>
      <c r="X123" s="43">
        <v>0</v>
      </c>
      <c r="Y123" s="41" t="s">
        <v>97</v>
      </c>
      <c r="Z123" s="41" t="s">
        <v>97</v>
      </c>
      <c r="AA123" s="41" t="s">
        <v>113</v>
      </c>
      <c r="AB123" s="39" t="s">
        <v>46</v>
      </c>
      <c r="AC123" s="44" t="s">
        <v>46</v>
      </c>
    </row>
    <row r="124" spans="1:29" x14ac:dyDescent="0.25">
      <c r="A124" s="45" t="s">
        <v>765</v>
      </c>
      <c r="B124" s="46" t="s">
        <v>154</v>
      </c>
      <c r="C124" s="46" t="s">
        <v>155</v>
      </c>
      <c r="D124" s="47" t="s">
        <v>743</v>
      </c>
      <c r="E124" s="47" t="s">
        <v>124</v>
      </c>
      <c r="F124" s="46" t="s">
        <v>766</v>
      </c>
      <c r="G124" s="46" t="s">
        <v>767</v>
      </c>
      <c r="H124" s="47" t="s">
        <v>126</v>
      </c>
      <c r="I124" s="47" t="s">
        <v>325</v>
      </c>
      <c r="J124" s="46" t="s">
        <v>768</v>
      </c>
      <c r="K124" s="47" t="s">
        <v>747</v>
      </c>
      <c r="L124" s="48" t="s">
        <v>122</v>
      </c>
      <c r="M124" s="46" t="s">
        <v>748</v>
      </c>
      <c r="N124" s="48" t="s">
        <v>90</v>
      </c>
      <c r="O124" s="49">
        <v>5</v>
      </c>
      <c r="P124" s="48" t="s">
        <v>46</v>
      </c>
      <c r="Q124" s="41" t="s">
        <v>66</v>
      </c>
      <c r="R124" s="41" t="s">
        <v>234</v>
      </c>
      <c r="S124" s="41" t="s">
        <v>234</v>
      </c>
      <c r="T124" s="41" t="s">
        <v>234</v>
      </c>
      <c r="U124" s="41" t="s">
        <v>234</v>
      </c>
      <c r="V124" s="41" t="s">
        <v>234</v>
      </c>
      <c r="W124" s="41" t="s">
        <v>234</v>
      </c>
      <c r="X124" s="43">
        <v>0</v>
      </c>
      <c r="Y124" s="41" t="s">
        <v>97</v>
      </c>
      <c r="Z124" s="41" t="s">
        <v>97</v>
      </c>
      <c r="AA124" s="41" t="s">
        <v>113</v>
      </c>
      <c r="AB124" s="39" t="s">
        <v>46</v>
      </c>
      <c r="AC124" s="44" t="s">
        <v>46</v>
      </c>
    </row>
    <row r="125" spans="1:29" x14ac:dyDescent="0.25">
      <c r="A125" s="38" t="s">
        <v>769</v>
      </c>
      <c r="B125" s="39" t="s">
        <v>154</v>
      </c>
      <c r="C125" s="39" t="s">
        <v>155</v>
      </c>
      <c r="D125" s="40" t="s">
        <v>743</v>
      </c>
      <c r="E125" s="40" t="s">
        <v>124</v>
      </c>
      <c r="F125" s="39" t="s">
        <v>770</v>
      </c>
      <c r="G125" s="39" t="s">
        <v>771</v>
      </c>
      <c r="H125" s="40" t="s">
        <v>126</v>
      </c>
      <c r="I125" s="40" t="s">
        <v>325</v>
      </c>
      <c r="J125" s="39" t="s">
        <v>772</v>
      </c>
      <c r="K125" s="40" t="s">
        <v>747</v>
      </c>
      <c r="L125" s="41" t="s">
        <v>122</v>
      </c>
      <c r="M125" s="39" t="s">
        <v>748</v>
      </c>
      <c r="N125" s="41" t="s">
        <v>91</v>
      </c>
      <c r="O125" s="42">
        <v>6</v>
      </c>
      <c r="P125" s="41" t="s">
        <v>46</v>
      </c>
      <c r="Q125" s="41" t="s">
        <v>66</v>
      </c>
      <c r="R125" s="41" t="s">
        <v>234</v>
      </c>
      <c r="S125" s="41" t="s">
        <v>234</v>
      </c>
      <c r="T125" s="41" t="s">
        <v>234</v>
      </c>
      <c r="U125" s="41" t="s">
        <v>234</v>
      </c>
      <c r="V125" s="41" t="s">
        <v>234</v>
      </c>
      <c r="W125" s="41" t="s">
        <v>234</v>
      </c>
      <c r="X125" s="43">
        <v>0</v>
      </c>
      <c r="Y125" s="41" t="s">
        <v>97</v>
      </c>
      <c r="Z125" s="41" t="s">
        <v>97</v>
      </c>
      <c r="AA125" s="41" t="s">
        <v>113</v>
      </c>
      <c r="AB125" s="39" t="s">
        <v>46</v>
      </c>
      <c r="AC125" s="44" t="s">
        <v>46</v>
      </c>
    </row>
    <row r="126" spans="1:29" x14ac:dyDescent="0.25">
      <c r="A126" s="45" t="s">
        <v>773</v>
      </c>
      <c r="B126" s="46" t="s">
        <v>154</v>
      </c>
      <c r="C126" s="46" t="s">
        <v>155</v>
      </c>
      <c r="D126" s="47" t="s">
        <v>743</v>
      </c>
      <c r="E126" s="47" t="s">
        <v>124</v>
      </c>
      <c r="F126" s="46" t="s">
        <v>774</v>
      </c>
      <c r="G126" s="46" t="s">
        <v>775</v>
      </c>
      <c r="H126" s="47" t="s">
        <v>126</v>
      </c>
      <c r="I126" s="47" t="s">
        <v>325</v>
      </c>
      <c r="J126" s="46" t="s">
        <v>776</v>
      </c>
      <c r="K126" s="47" t="s">
        <v>747</v>
      </c>
      <c r="L126" s="48" t="s">
        <v>122</v>
      </c>
      <c r="M126" s="46" t="s">
        <v>748</v>
      </c>
      <c r="N126" s="48" t="s">
        <v>91</v>
      </c>
      <c r="O126" s="49">
        <v>4</v>
      </c>
      <c r="P126" s="48" t="s">
        <v>46</v>
      </c>
      <c r="Q126" s="41" t="s">
        <v>66</v>
      </c>
      <c r="R126" s="41" t="s">
        <v>234</v>
      </c>
      <c r="S126" s="41" t="s">
        <v>234</v>
      </c>
      <c r="T126" s="41" t="s">
        <v>234</v>
      </c>
      <c r="U126" s="41" t="s">
        <v>234</v>
      </c>
      <c r="V126" s="41" t="s">
        <v>234</v>
      </c>
      <c r="W126" s="41" t="s">
        <v>234</v>
      </c>
      <c r="X126" s="43">
        <v>0</v>
      </c>
      <c r="Y126" s="41" t="s">
        <v>97</v>
      </c>
      <c r="Z126" s="41" t="s">
        <v>97</v>
      </c>
      <c r="AA126" s="41" t="s">
        <v>113</v>
      </c>
      <c r="AB126" s="39" t="s">
        <v>46</v>
      </c>
      <c r="AC126" s="44" t="s">
        <v>46</v>
      </c>
    </row>
    <row r="127" spans="1:29" x14ac:dyDescent="0.25">
      <c r="A127" s="38" t="s">
        <v>777</v>
      </c>
      <c r="B127" s="39" t="s">
        <v>154</v>
      </c>
      <c r="C127" s="39" t="s">
        <v>155</v>
      </c>
      <c r="D127" s="40" t="s">
        <v>743</v>
      </c>
      <c r="E127" s="40" t="s">
        <v>124</v>
      </c>
      <c r="F127" s="39" t="s">
        <v>778</v>
      </c>
      <c r="G127" s="39" t="s">
        <v>779</v>
      </c>
      <c r="H127" s="40" t="s">
        <v>126</v>
      </c>
      <c r="I127" s="40" t="s">
        <v>325</v>
      </c>
      <c r="J127" s="39" t="s">
        <v>780</v>
      </c>
      <c r="K127" s="40" t="s">
        <v>747</v>
      </c>
      <c r="L127" s="41" t="s">
        <v>122</v>
      </c>
      <c r="M127" s="39" t="s">
        <v>748</v>
      </c>
      <c r="N127" s="41" t="s">
        <v>91</v>
      </c>
      <c r="O127" s="42">
        <v>6</v>
      </c>
      <c r="P127" s="41" t="s">
        <v>46</v>
      </c>
      <c r="Q127" s="41" t="s">
        <v>66</v>
      </c>
      <c r="R127" s="41" t="s">
        <v>234</v>
      </c>
      <c r="S127" s="41" t="s">
        <v>234</v>
      </c>
      <c r="T127" s="41" t="s">
        <v>234</v>
      </c>
      <c r="U127" s="41" t="s">
        <v>234</v>
      </c>
      <c r="V127" s="41" t="s">
        <v>234</v>
      </c>
      <c r="W127" s="41" t="s">
        <v>234</v>
      </c>
      <c r="X127" s="43">
        <v>0</v>
      </c>
      <c r="Y127" s="41" t="s">
        <v>97</v>
      </c>
      <c r="Z127" s="41" t="s">
        <v>97</v>
      </c>
      <c r="AA127" s="41" t="s">
        <v>113</v>
      </c>
      <c r="AB127" s="39" t="s">
        <v>46</v>
      </c>
      <c r="AC127" s="44" t="s">
        <v>46</v>
      </c>
    </row>
    <row r="128" spans="1:29" x14ac:dyDescent="0.25">
      <c r="A128" s="45" t="s">
        <v>781</v>
      </c>
      <c r="B128" s="46" t="s">
        <v>154</v>
      </c>
      <c r="C128" s="46" t="s">
        <v>155</v>
      </c>
      <c r="D128" s="47" t="s">
        <v>743</v>
      </c>
      <c r="E128" s="47" t="s">
        <v>124</v>
      </c>
      <c r="F128" s="46" t="s">
        <v>782</v>
      </c>
      <c r="G128" s="46" t="s">
        <v>783</v>
      </c>
      <c r="H128" s="47" t="s">
        <v>126</v>
      </c>
      <c r="I128" s="47" t="s">
        <v>364</v>
      </c>
      <c r="J128" s="46" t="s">
        <v>784</v>
      </c>
      <c r="K128" s="47" t="s">
        <v>747</v>
      </c>
      <c r="L128" s="48" t="s">
        <v>122</v>
      </c>
      <c r="M128" s="46" t="s">
        <v>748</v>
      </c>
      <c r="N128" s="48" t="s">
        <v>91</v>
      </c>
      <c r="O128" s="49">
        <v>6</v>
      </c>
      <c r="P128" s="48" t="s">
        <v>46</v>
      </c>
      <c r="Q128" s="41" t="s">
        <v>66</v>
      </c>
      <c r="R128" s="41" t="s">
        <v>234</v>
      </c>
      <c r="S128" s="41" t="s">
        <v>234</v>
      </c>
      <c r="T128" s="41" t="s">
        <v>234</v>
      </c>
      <c r="U128" s="41" t="s">
        <v>234</v>
      </c>
      <c r="V128" s="41" t="s">
        <v>234</v>
      </c>
      <c r="W128" s="41" t="s">
        <v>234</v>
      </c>
      <c r="X128" s="43">
        <v>0</v>
      </c>
      <c r="Y128" s="41" t="s">
        <v>97</v>
      </c>
      <c r="Z128" s="41" t="s">
        <v>97</v>
      </c>
      <c r="AA128" s="41" t="s">
        <v>113</v>
      </c>
      <c r="AB128" s="39" t="s">
        <v>46</v>
      </c>
      <c r="AC128" s="44" t="s">
        <v>46</v>
      </c>
    </row>
    <row r="129" spans="1:29" x14ac:dyDescent="0.25">
      <c r="A129" s="38" t="s">
        <v>785</v>
      </c>
      <c r="B129" s="39" t="s">
        <v>154</v>
      </c>
      <c r="C129" s="39" t="s">
        <v>155</v>
      </c>
      <c r="D129" s="40" t="s">
        <v>743</v>
      </c>
      <c r="E129" s="40" t="s">
        <v>124</v>
      </c>
      <c r="F129" s="39" t="s">
        <v>786</v>
      </c>
      <c r="G129" s="39" t="s">
        <v>787</v>
      </c>
      <c r="H129" s="40" t="s">
        <v>126</v>
      </c>
      <c r="I129" s="40" t="s">
        <v>325</v>
      </c>
      <c r="J129" s="39" t="s">
        <v>788</v>
      </c>
      <c r="K129" s="40" t="s">
        <v>747</v>
      </c>
      <c r="L129" s="41" t="s">
        <v>122</v>
      </c>
      <c r="M129" s="39" t="s">
        <v>748</v>
      </c>
      <c r="N129" s="41" t="s">
        <v>91</v>
      </c>
      <c r="O129" s="42">
        <v>5</v>
      </c>
      <c r="P129" s="41" t="s">
        <v>46</v>
      </c>
      <c r="Q129" s="41" t="s">
        <v>66</v>
      </c>
      <c r="R129" s="41" t="s">
        <v>234</v>
      </c>
      <c r="S129" s="41" t="s">
        <v>234</v>
      </c>
      <c r="T129" s="41" t="s">
        <v>234</v>
      </c>
      <c r="U129" s="41" t="s">
        <v>234</v>
      </c>
      <c r="V129" s="41" t="s">
        <v>234</v>
      </c>
      <c r="W129" s="41" t="s">
        <v>234</v>
      </c>
      <c r="X129" s="43">
        <v>0</v>
      </c>
      <c r="Y129" s="41" t="s">
        <v>97</v>
      </c>
      <c r="Z129" s="41" t="s">
        <v>97</v>
      </c>
      <c r="AA129" s="41" t="s">
        <v>113</v>
      </c>
      <c r="AB129" s="39" t="s">
        <v>789</v>
      </c>
      <c r="AC129" s="44" t="s">
        <v>46</v>
      </c>
    </row>
    <row r="130" spans="1:29" x14ac:dyDescent="0.25">
      <c r="A130" s="45" t="s">
        <v>790</v>
      </c>
      <c r="B130" s="46" t="s">
        <v>154</v>
      </c>
      <c r="C130" s="46" t="s">
        <v>155</v>
      </c>
      <c r="D130" s="47" t="s">
        <v>743</v>
      </c>
      <c r="E130" s="47" t="s">
        <v>124</v>
      </c>
      <c r="F130" s="46" t="s">
        <v>791</v>
      </c>
      <c r="G130" s="46" t="s">
        <v>792</v>
      </c>
      <c r="H130" s="47" t="s">
        <v>126</v>
      </c>
      <c r="I130" s="47" t="s">
        <v>325</v>
      </c>
      <c r="J130" s="46" t="s">
        <v>793</v>
      </c>
      <c r="K130" s="47" t="s">
        <v>747</v>
      </c>
      <c r="L130" s="48" t="s">
        <v>122</v>
      </c>
      <c r="M130" s="46" t="s">
        <v>748</v>
      </c>
      <c r="N130" s="48" t="s">
        <v>91</v>
      </c>
      <c r="O130" s="49">
        <v>5</v>
      </c>
      <c r="P130" s="48" t="s">
        <v>46</v>
      </c>
      <c r="Q130" s="41" t="s">
        <v>66</v>
      </c>
      <c r="R130" s="41" t="s">
        <v>234</v>
      </c>
      <c r="S130" s="41" t="s">
        <v>234</v>
      </c>
      <c r="T130" s="41" t="s">
        <v>234</v>
      </c>
      <c r="U130" s="41" t="s">
        <v>234</v>
      </c>
      <c r="V130" s="41" t="s">
        <v>234</v>
      </c>
      <c r="W130" s="41" t="s">
        <v>234</v>
      </c>
      <c r="X130" s="43">
        <v>0</v>
      </c>
      <c r="Y130" s="41" t="s">
        <v>97</v>
      </c>
      <c r="Z130" s="41" t="s">
        <v>97</v>
      </c>
      <c r="AA130" s="41" t="s">
        <v>113</v>
      </c>
      <c r="AB130" s="39" t="s">
        <v>46</v>
      </c>
      <c r="AC130" s="44" t="s">
        <v>46</v>
      </c>
    </row>
    <row r="131" spans="1:29" x14ac:dyDescent="0.25">
      <c r="A131" s="38" t="s">
        <v>794</v>
      </c>
      <c r="B131" s="39" t="s">
        <v>154</v>
      </c>
      <c r="C131" s="39" t="s">
        <v>155</v>
      </c>
      <c r="D131" s="40" t="s">
        <v>743</v>
      </c>
      <c r="E131" s="40" t="s">
        <v>124</v>
      </c>
      <c r="F131" s="39" t="s">
        <v>795</v>
      </c>
      <c r="G131" s="39" t="s">
        <v>796</v>
      </c>
      <c r="H131" s="40" t="s">
        <v>126</v>
      </c>
      <c r="I131" s="40" t="s">
        <v>325</v>
      </c>
      <c r="J131" s="39" t="s">
        <v>797</v>
      </c>
      <c r="K131" s="40" t="s">
        <v>747</v>
      </c>
      <c r="L131" s="41" t="s">
        <v>122</v>
      </c>
      <c r="M131" s="39" t="s">
        <v>748</v>
      </c>
      <c r="N131" s="41" t="s">
        <v>91</v>
      </c>
      <c r="O131" s="42">
        <v>5</v>
      </c>
      <c r="P131" s="41" t="s">
        <v>46</v>
      </c>
      <c r="Q131" s="41" t="s">
        <v>66</v>
      </c>
      <c r="R131" s="41" t="s">
        <v>234</v>
      </c>
      <c r="S131" s="41" t="s">
        <v>234</v>
      </c>
      <c r="T131" s="41" t="s">
        <v>234</v>
      </c>
      <c r="U131" s="41" t="s">
        <v>234</v>
      </c>
      <c r="V131" s="41" t="s">
        <v>234</v>
      </c>
      <c r="W131" s="41" t="s">
        <v>234</v>
      </c>
      <c r="X131" s="43">
        <v>0</v>
      </c>
      <c r="Y131" s="41" t="s">
        <v>97</v>
      </c>
      <c r="Z131" s="41" t="s">
        <v>97</v>
      </c>
      <c r="AA131" s="41" t="s">
        <v>113</v>
      </c>
      <c r="AB131" s="39" t="s">
        <v>46</v>
      </c>
      <c r="AC131" s="44" t="s">
        <v>46</v>
      </c>
    </row>
    <row r="132" spans="1:29" x14ac:dyDescent="0.25">
      <c r="A132" s="45" t="s">
        <v>798</v>
      </c>
      <c r="B132" s="46" t="s">
        <v>154</v>
      </c>
      <c r="C132" s="46" t="s">
        <v>155</v>
      </c>
      <c r="D132" s="47" t="s">
        <v>743</v>
      </c>
      <c r="E132" s="47" t="s">
        <v>124</v>
      </c>
      <c r="F132" s="46" t="s">
        <v>799</v>
      </c>
      <c r="G132" s="46" t="s">
        <v>800</v>
      </c>
      <c r="H132" s="47" t="s">
        <v>126</v>
      </c>
      <c r="I132" s="47" t="s">
        <v>325</v>
      </c>
      <c r="J132" s="46" t="s">
        <v>801</v>
      </c>
      <c r="K132" s="47" t="s">
        <v>747</v>
      </c>
      <c r="L132" s="48" t="s">
        <v>125</v>
      </c>
      <c r="M132" s="46" t="s">
        <v>748</v>
      </c>
      <c r="N132" s="48" t="s">
        <v>92</v>
      </c>
      <c r="O132" s="49">
        <v>6</v>
      </c>
      <c r="P132" s="48" t="s">
        <v>46</v>
      </c>
      <c r="Q132" s="41" t="s">
        <v>66</v>
      </c>
      <c r="R132" s="41" t="s">
        <v>234</v>
      </c>
      <c r="S132" s="41" t="s">
        <v>234</v>
      </c>
      <c r="T132" s="41" t="s">
        <v>234</v>
      </c>
      <c r="U132" s="41" t="s">
        <v>234</v>
      </c>
      <c r="V132" s="41" t="s">
        <v>234</v>
      </c>
      <c r="W132" s="41" t="s">
        <v>234</v>
      </c>
      <c r="X132" s="43">
        <v>0</v>
      </c>
      <c r="Y132" s="41" t="s">
        <v>97</v>
      </c>
      <c r="Z132" s="41" t="s">
        <v>97</v>
      </c>
      <c r="AA132" s="41" t="s">
        <v>113</v>
      </c>
      <c r="AB132" s="39" t="s">
        <v>46</v>
      </c>
      <c r="AC132" s="44" t="s">
        <v>46</v>
      </c>
    </row>
    <row r="133" spans="1:29" x14ac:dyDescent="0.25">
      <c r="A133" s="38" t="s">
        <v>802</v>
      </c>
      <c r="B133" s="39" t="s">
        <v>154</v>
      </c>
      <c r="C133" s="39" t="s">
        <v>155</v>
      </c>
      <c r="D133" s="40" t="s">
        <v>743</v>
      </c>
      <c r="E133" s="40" t="s">
        <v>131</v>
      </c>
      <c r="F133" s="39" t="s">
        <v>803</v>
      </c>
      <c r="G133" s="39" t="s">
        <v>804</v>
      </c>
      <c r="H133" s="40" t="s">
        <v>126</v>
      </c>
      <c r="I133" s="40" t="s">
        <v>469</v>
      </c>
      <c r="J133" s="39" t="s">
        <v>805</v>
      </c>
      <c r="K133" s="40" t="s">
        <v>747</v>
      </c>
      <c r="L133" s="41" t="s">
        <v>122</v>
      </c>
      <c r="M133" s="39" t="s">
        <v>748</v>
      </c>
      <c r="N133" s="41" t="s">
        <v>92</v>
      </c>
      <c r="O133" s="42">
        <v>6</v>
      </c>
      <c r="P133" s="41" t="s">
        <v>46</v>
      </c>
      <c r="Q133" s="41" t="s">
        <v>66</v>
      </c>
      <c r="R133" s="41" t="s">
        <v>234</v>
      </c>
      <c r="S133" s="41" t="s">
        <v>234</v>
      </c>
      <c r="T133" s="41" t="s">
        <v>234</v>
      </c>
      <c r="U133" s="41" t="s">
        <v>234</v>
      </c>
      <c r="V133" s="41" t="s">
        <v>234</v>
      </c>
      <c r="W133" s="41" t="s">
        <v>234</v>
      </c>
      <c r="X133" s="43">
        <v>0</v>
      </c>
      <c r="Y133" s="41" t="s">
        <v>97</v>
      </c>
      <c r="Z133" s="41" t="s">
        <v>97</v>
      </c>
      <c r="AA133" s="41" t="s">
        <v>113</v>
      </c>
      <c r="AB133" s="39" t="s">
        <v>46</v>
      </c>
      <c r="AC133" s="44" t="s">
        <v>46</v>
      </c>
    </row>
    <row r="134" spans="1:29" x14ac:dyDescent="0.25">
      <c r="A134" s="45" t="s">
        <v>806</v>
      </c>
      <c r="B134" s="46" t="s">
        <v>154</v>
      </c>
      <c r="C134" s="46" t="s">
        <v>155</v>
      </c>
      <c r="D134" s="47" t="s">
        <v>743</v>
      </c>
      <c r="E134" s="47" t="s">
        <v>124</v>
      </c>
      <c r="F134" s="46" t="s">
        <v>807</v>
      </c>
      <c r="G134" s="46" t="s">
        <v>808</v>
      </c>
      <c r="H134" s="47" t="s">
        <v>126</v>
      </c>
      <c r="I134" s="47" t="s">
        <v>325</v>
      </c>
      <c r="J134" s="46" t="s">
        <v>809</v>
      </c>
      <c r="K134" s="47" t="s">
        <v>747</v>
      </c>
      <c r="L134" s="48" t="s">
        <v>122</v>
      </c>
      <c r="M134" s="46" t="s">
        <v>748</v>
      </c>
      <c r="N134" s="48" t="s">
        <v>92</v>
      </c>
      <c r="O134" s="49">
        <v>5</v>
      </c>
      <c r="P134" s="48" t="s">
        <v>46</v>
      </c>
      <c r="Q134" s="41" t="s">
        <v>66</v>
      </c>
      <c r="R134" s="41" t="s">
        <v>234</v>
      </c>
      <c r="S134" s="41" t="s">
        <v>234</v>
      </c>
      <c r="T134" s="41" t="s">
        <v>234</v>
      </c>
      <c r="U134" s="41" t="s">
        <v>234</v>
      </c>
      <c r="V134" s="41" t="s">
        <v>234</v>
      </c>
      <c r="W134" s="41" t="s">
        <v>234</v>
      </c>
      <c r="X134" s="43">
        <v>0</v>
      </c>
      <c r="Y134" s="41" t="s">
        <v>97</v>
      </c>
      <c r="Z134" s="41" t="s">
        <v>97</v>
      </c>
      <c r="AA134" s="41" t="s">
        <v>113</v>
      </c>
      <c r="AB134" s="39" t="s">
        <v>810</v>
      </c>
      <c r="AC134" s="44" t="s">
        <v>46</v>
      </c>
    </row>
    <row r="135" spans="1:29" x14ac:dyDescent="0.25">
      <c r="A135" s="38" t="s">
        <v>811</v>
      </c>
      <c r="B135" s="39" t="s">
        <v>154</v>
      </c>
      <c r="C135" s="39" t="s">
        <v>155</v>
      </c>
      <c r="D135" s="40" t="s">
        <v>743</v>
      </c>
      <c r="E135" s="40" t="s">
        <v>124</v>
      </c>
      <c r="F135" s="39" t="s">
        <v>812</v>
      </c>
      <c r="G135" s="39" t="s">
        <v>813</v>
      </c>
      <c r="H135" s="40" t="s">
        <v>126</v>
      </c>
      <c r="I135" s="40" t="s">
        <v>325</v>
      </c>
      <c r="J135" s="39" t="s">
        <v>814</v>
      </c>
      <c r="K135" s="40" t="s">
        <v>747</v>
      </c>
      <c r="L135" s="41" t="s">
        <v>122</v>
      </c>
      <c r="M135" s="39" t="s">
        <v>748</v>
      </c>
      <c r="N135" s="41" t="s">
        <v>92</v>
      </c>
      <c r="O135" s="42">
        <v>6</v>
      </c>
      <c r="P135" s="41" t="s">
        <v>46</v>
      </c>
      <c r="Q135" s="41" t="s">
        <v>66</v>
      </c>
      <c r="R135" s="41" t="s">
        <v>234</v>
      </c>
      <c r="S135" s="41" t="s">
        <v>234</v>
      </c>
      <c r="T135" s="41" t="s">
        <v>234</v>
      </c>
      <c r="U135" s="41" t="s">
        <v>234</v>
      </c>
      <c r="V135" s="41" t="s">
        <v>234</v>
      </c>
      <c r="W135" s="41" t="s">
        <v>234</v>
      </c>
      <c r="X135" s="43">
        <v>0</v>
      </c>
      <c r="Y135" s="41" t="s">
        <v>97</v>
      </c>
      <c r="Z135" s="41" t="s">
        <v>97</v>
      </c>
      <c r="AA135" s="41" t="s">
        <v>113</v>
      </c>
      <c r="AB135" s="39" t="s">
        <v>46</v>
      </c>
      <c r="AC135" s="44" t="s">
        <v>46</v>
      </c>
    </row>
    <row r="136" spans="1:29" x14ac:dyDescent="0.25">
      <c r="A136" s="45" t="s">
        <v>815</v>
      </c>
      <c r="B136" s="46" t="s">
        <v>154</v>
      </c>
      <c r="C136" s="46" t="s">
        <v>155</v>
      </c>
      <c r="D136" s="47" t="s">
        <v>743</v>
      </c>
      <c r="E136" s="47" t="s">
        <v>131</v>
      </c>
      <c r="F136" s="46" t="s">
        <v>816</v>
      </c>
      <c r="G136" s="46" t="s">
        <v>817</v>
      </c>
      <c r="H136" s="47" t="s">
        <v>126</v>
      </c>
      <c r="I136" s="47" t="s">
        <v>469</v>
      </c>
      <c r="J136" s="46" t="s">
        <v>818</v>
      </c>
      <c r="K136" s="47" t="s">
        <v>819</v>
      </c>
      <c r="L136" s="48" t="s">
        <v>122</v>
      </c>
      <c r="M136" s="46" t="s">
        <v>748</v>
      </c>
      <c r="N136" s="48" t="s">
        <v>92</v>
      </c>
      <c r="O136" s="49">
        <v>6</v>
      </c>
      <c r="P136" s="48" t="s">
        <v>46</v>
      </c>
      <c r="Q136" s="41" t="s">
        <v>66</v>
      </c>
      <c r="R136" s="41" t="s">
        <v>234</v>
      </c>
      <c r="S136" s="41" t="s">
        <v>234</v>
      </c>
      <c r="T136" s="41" t="s">
        <v>234</v>
      </c>
      <c r="U136" s="41" t="s">
        <v>234</v>
      </c>
      <c r="V136" s="41" t="s">
        <v>234</v>
      </c>
      <c r="W136" s="41" t="s">
        <v>234</v>
      </c>
      <c r="X136" s="43">
        <v>0</v>
      </c>
      <c r="Y136" s="41" t="s">
        <v>97</v>
      </c>
      <c r="Z136" s="41" t="s">
        <v>97</v>
      </c>
      <c r="AA136" s="41" t="s">
        <v>113</v>
      </c>
      <c r="AB136" s="39" t="s">
        <v>46</v>
      </c>
      <c r="AC136" s="44" t="s">
        <v>46</v>
      </c>
    </row>
    <row r="137" spans="1:29" x14ac:dyDescent="0.25">
      <c r="A137" s="38" t="s">
        <v>820</v>
      </c>
      <c r="B137" s="39" t="s">
        <v>154</v>
      </c>
      <c r="C137" s="39" t="s">
        <v>155</v>
      </c>
      <c r="D137" s="40" t="s">
        <v>743</v>
      </c>
      <c r="E137" s="40" t="s">
        <v>131</v>
      </c>
      <c r="F137" s="39" t="s">
        <v>821</v>
      </c>
      <c r="G137" s="39" t="s">
        <v>822</v>
      </c>
      <c r="H137" s="40" t="s">
        <v>126</v>
      </c>
      <c r="I137" s="40" t="s">
        <v>469</v>
      </c>
      <c r="J137" s="39" t="s">
        <v>823</v>
      </c>
      <c r="K137" s="40" t="s">
        <v>747</v>
      </c>
      <c r="L137" s="41" t="s">
        <v>122</v>
      </c>
      <c r="M137" s="39" t="s">
        <v>748</v>
      </c>
      <c r="N137" s="41" t="s">
        <v>92</v>
      </c>
      <c r="O137" s="42">
        <v>5</v>
      </c>
      <c r="P137" s="41" t="s">
        <v>46</v>
      </c>
      <c r="Q137" s="41" t="s">
        <v>66</v>
      </c>
      <c r="R137" s="41" t="s">
        <v>234</v>
      </c>
      <c r="S137" s="41" t="s">
        <v>234</v>
      </c>
      <c r="T137" s="41" t="s">
        <v>234</v>
      </c>
      <c r="U137" s="41" t="s">
        <v>234</v>
      </c>
      <c r="V137" s="41" t="s">
        <v>234</v>
      </c>
      <c r="W137" s="41" t="s">
        <v>234</v>
      </c>
      <c r="X137" s="43">
        <v>0</v>
      </c>
      <c r="Y137" s="41" t="s">
        <v>97</v>
      </c>
      <c r="Z137" s="41" t="s">
        <v>97</v>
      </c>
      <c r="AA137" s="41" t="s">
        <v>113</v>
      </c>
      <c r="AB137" s="39" t="s">
        <v>46</v>
      </c>
      <c r="AC137" s="44" t="s">
        <v>46</v>
      </c>
    </row>
    <row r="138" spans="1:29" x14ac:dyDescent="0.25">
      <c r="A138" s="45" t="s">
        <v>824</v>
      </c>
      <c r="B138" s="46" t="s">
        <v>154</v>
      </c>
      <c r="C138" s="46" t="s">
        <v>155</v>
      </c>
      <c r="D138" s="47" t="s">
        <v>743</v>
      </c>
      <c r="E138" s="47" t="s">
        <v>124</v>
      </c>
      <c r="F138" s="46" t="s">
        <v>825</v>
      </c>
      <c r="G138" s="46" t="s">
        <v>826</v>
      </c>
      <c r="H138" s="47" t="s">
        <v>126</v>
      </c>
      <c r="I138" s="47" t="s">
        <v>325</v>
      </c>
      <c r="J138" s="46" t="s">
        <v>827</v>
      </c>
      <c r="K138" s="47" t="s">
        <v>747</v>
      </c>
      <c r="L138" s="48" t="s">
        <v>122</v>
      </c>
      <c r="M138" s="46" t="s">
        <v>748</v>
      </c>
      <c r="N138" s="48" t="s">
        <v>92</v>
      </c>
      <c r="O138" s="49">
        <v>5</v>
      </c>
      <c r="P138" s="48" t="s">
        <v>46</v>
      </c>
      <c r="Q138" s="41" t="s">
        <v>66</v>
      </c>
      <c r="R138" s="41" t="s">
        <v>234</v>
      </c>
      <c r="S138" s="41" t="s">
        <v>234</v>
      </c>
      <c r="T138" s="41" t="s">
        <v>234</v>
      </c>
      <c r="U138" s="41" t="s">
        <v>234</v>
      </c>
      <c r="V138" s="41" t="s">
        <v>234</v>
      </c>
      <c r="W138" s="41" t="s">
        <v>234</v>
      </c>
      <c r="X138" s="43">
        <v>0</v>
      </c>
      <c r="Y138" s="41" t="s">
        <v>97</v>
      </c>
      <c r="Z138" s="41" t="s">
        <v>97</v>
      </c>
      <c r="AA138" s="41" t="s">
        <v>113</v>
      </c>
      <c r="AB138" s="39" t="s">
        <v>46</v>
      </c>
      <c r="AC138" s="44" t="s">
        <v>46</v>
      </c>
    </row>
    <row r="139" spans="1:29" x14ac:dyDescent="0.25">
      <c r="A139" s="38" t="s">
        <v>828</v>
      </c>
      <c r="B139" s="39" t="s">
        <v>154</v>
      </c>
      <c r="C139" s="39" t="s">
        <v>155</v>
      </c>
      <c r="D139" s="40" t="s">
        <v>743</v>
      </c>
      <c r="E139" s="40" t="s">
        <v>135</v>
      </c>
      <c r="F139" s="39" t="s">
        <v>829</v>
      </c>
      <c r="G139" s="39" t="s">
        <v>830</v>
      </c>
      <c r="H139" s="40" t="s">
        <v>123</v>
      </c>
      <c r="I139" s="40" t="s">
        <v>135</v>
      </c>
      <c r="J139" s="39" t="s">
        <v>831</v>
      </c>
      <c r="K139" s="40" t="s">
        <v>747</v>
      </c>
      <c r="L139" s="41" t="s">
        <v>122</v>
      </c>
      <c r="M139" s="39" t="s">
        <v>748</v>
      </c>
      <c r="N139" s="41" t="s">
        <v>92</v>
      </c>
      <c r="O139" s="42">
        <v>14</v>
      </c>
      <c r="P139" s="41" t="s">
        <v>46</v>
      </c>
      <c r="Q139" s="41" t="s">
        <v>66</v>
      </c>
      <c r="R139" s="41" t="s">
        <v>234</v>
      </c>
      <c r="S139" s="41" t="s">
        <v>234</v>
      </c>
      <c r="T139" s="41" t="s">
        <v>234</v>
      </c>
      <c r="U139" s="41" t="s">
        <v>234</v>
      </c>
      <c r="V139" s="41" t="s">
        <v>234</v>
      </c>
      <c r="W139" s="41" t="s">
        <v>234</v>
      </c>
      <c r="X139" s="43">
        <v>0</v>
      </c>
      <c r="Y139" s="41" t="s">
        <v>97</v>
      </c>
      <c r="Z139" s="41" t="s">
        <v>97</v>
      </c>
      <c r="AA139" s="41" t="s">
        <v>113</v>
      </c>
      <c r="AB139" s="39" t="s">
        <v>832</v>
      </c>
      <c r="AC139" s="44" t="s">
        <v>46</v>
      </c>
    </row>
    <row r="140" spans="1:29" x14ac:dyDescent="0.25">
      <c r="A140" s="45" t="s">
        <v>833</v>
      </c>
      <c r="B140" s="46" t="s">
        <v>154</v>
      </c>
      <c r="C140" s="46" t="s">
        <v>155</v>
      </c>
      <c r="D140" s="47" t="s">
        <v>743</v>
      </c>
      <c r="E140" s="47" t="s">
        <v>135</v>
      </c>
      <c r="F140" s="46" t="s">
        <v>834</v>
      </c>
      <c r="G140" s="46" t="s">
        <v>835</v>
      </c>
      <c r="H140" s="47" t="s">
        <v>123</v>
      </c>
      <c r="I140" s="47" t="s">
        <v>135</v>
      </c>
      <c r="J140" s="46" t="s">
        <v>836</v>
      </c>
      <c r="K140" s="47" t="s">
        <v>819</v>
      </c>
      <c r="L140" s="48" t="s">
        <v>122</v>
      </c>
      <c r="M140" s="46" t="s">
        <v>748</v>
      </c>
      <c r="N140" s="48" t="s">
        <v>93</v>
      </c>
      <c r="O140" s="49">
        <v>8</v>
      </c>
      <c r="P140" s="48" t="s">
        <v>46</v>
      </c>
      <c r="Q140" s="41" t="s">
        <v>66</v>
      </c>
      <c r="R140" s="41" t="s">
        <v>234</v>
      </c>
      <c r="S140" s="41" t="s">
        <v>234</v>
      </c>
      <c r="T140" s="41" t="s">
        <v>234</v>
      </c>
      <c r="U140" s="41" t="s">
        <v>234</v>
      </c>
      <c r="V140" s="41" t="s">
        <v>234</v>
      </c>
      <c r="W140" s="41" t="s">
        <v>234</v>
      </c>
      <c r="X140" s="43">
        <v>0</v>
      </c>
      <c r="Y140" s="41" t="s">
        <v>97</v>
      </c>
      <c r="Z140" s="41" t="s">
        <v>97</v>
      </c>
      <c r="AA140" s="41" t="s">
        <v>113</v>
      </c>
      <c r="AB140" s="39" t="s">
        <v>46</v>
      </c>
      <c r="AC140" s="44" t="s">
        <v>46</v>
      </c>
    </row>
    <row r="141" spans="1:29" x14ac:dyDescent="0.25">
      <c r="A141" s="38" t="s">
        <v>837</v>
      </c>
      <c r="B141" s="39" t="s">
        <v>154</v>
      </c>
      <c r="C141" s="39" t="s">
        <v>155</v>
      </c>
      <c r="D141" s="40" t="s">
        <v>743</v>
      </c>
      <c r="E141" s="40" t="s">
        <v>135</v>
      </c>
      <c r="F141" s="39" t="s">
        <v>838</v>
      </c>
      <c r="G141" s="39" t="s">
        <v>839</v>
      </c>
      <c r="H141" s="40" t="s">
        <v>123</v>
      </c>
      <c r="I141" s="40" t="s">
        <v>135</v>
      </c>
      <c r="J141" s="39" t="s">
        <v>840</v>
      </c>
      <c r="K141" s="40" t="s">
        <v>841</v>
      </c>
      <c r="L141" s="41" t="s">
        <v>122</v>
      </c>
      <c r="M141" s="39" t="s">
        <v>748</v>
      </c>
      <c r="N141" s="41" t="s">
        <v>93</v>
      </c>
      <c r="O141" s="42">
        <v>8</v>
      </c>
      <c r="P141" s="41" t="s">
        <v>46</v>
      </c>
      <c r="Q141" s="41" t="s">
        <v>66</v>
      </c>
      <c r="R141" s="41" t="s">
        <v>234</v>
      </c>
      <c r="S141" s="41" t="s">
        <v>234</v>
      </c>
      <c r="T141" s="41" t="s">
        <v>234</v>
      </c>
      <c r="U141" s="41" t="s">
        <v>234</v>
      </c>
      <c r="V141" s="41" t="s">
        <v>234</v>
      </c>
      <c r="W141" s="41" t="s">
        <v>234</v>
      </c>
      <c r="X141" s="43">
        <v>0</v>
      </c>
      <c r="Y141" s="41" t="s">
        <v>97</v>
      </c>
      <c r="Z141" s="41" t="s">
        <v>97</v>
      </c>
      <c r="AA141" s="41" t="s">
        <v>113</v>
      </c>
      <c r="AB141" s="39" t="s">
        <v>46</v>
      </c>
      <c r="AC141" s="44" t="s">
        <v>46</v>
      </c>
    </row>
    <row r="142" spans="1:29" x14ac:dyDescent="0.25">
      <c r="A142" s="45" t="s">
        <v>842</v>
      </c>
      <c r="B142" s="46" t="s">
        <v>154</v>
      </c>
      <c r="C142" s="46" t="s">
        <v>155</v>
      </c>
      <c r="D142" s="47" t="s">
        <v>743</v>
      </c>
      <c r="E142" s="47" t="s">
        <v>123</v>
      </c>
      <c r="F142" s="46" t="s">
        <v>843</v>
      </c>
      <c r="G142" s="46" t="s">
        <v>844</v>
      </c>
      <c r="H142" s="47" t="s">
        <v>123</v>
      </c>
      <c r="I142" s="47" t="s">
        <v>307</v>
      </c>
      <c r="J142" s="46" t="s">
        <v>845</v>
      </c>
      <c r="K142" s="47" t="s">
        <v>747</v>
      </c>
      <c r="L142" s="48" t="s">
        <v>122</v>
      </c>
      <c r="M142" s="46" t="s">
        <v>748</v>
      </c>
      <c r="N142" s="48" t="s">
        <v>93</v>
      </c>
      <c r="O142" s="49">
        <v>10</v>
      </c>
      <c r="P142" s="48" t="s">
        <v>46</v>
      </c>
      <c r="Q142" s="41" t="s">
        <v>66</v>
      </c>
      <c r="R142" s="41" t="s">
        <v>234</v>
      </c>
      <c r="S142" s="41" t="s">
        <v>234</v>
      </c>
      <c r="T142" s="41" t="s">
        <v>234</v>
      </c>
      <c r="U142" s="41" t="s">
        <v>234</v>
      </c>
      <c r="V142" s="41" t="s">
        <v>234</v>
      </c>
      <c r="W142" s="41" t="s">
        <v>234</v>
      </c>
      <c r="X142" s="43">
        <v>0</v>
      </c>
      <c r="Y142" s="41" t="s">
        <v>97</v>
      </c>
      <c r="Z142" s="41" t="s">
        <v>97</v>
      </c>
      <c r="AA142" s="41" t="s">
        <v>113</v>
      </c>
      <c r="AB142" s="39" t="s">
        <v>46</v>
      </c>
      <c r="AC142" s="44" t="s">
        <v>46</v>
      </c>
    </row>
    <row r="143" spans="1:29" x14ac:dyDescent="0.25">
      <c r="A143" s="38" t="s">
        <v>846</v>
      </c>
      <c r="B143" s="39" t="s">
        <v>154</v>
      </c>
      <c r="C143" s="39" t="s">
        <v>155</v>
      </c>
      <c r="D143" s="40" t="s">
        <v>743</v>
      </c>
      <c r="E143" s="40" t="s">
        <v>56</v>
      </c>
      <c r="F143" s="39" t="s">
        <v>847</v>
      </c>
      <c r="G143" s="39" t="s">
        <v>848</v>
      </c>
      <c r="H143" s="40" t="s">
        <v>132</v>
      </c>
      <c r="I143" s="40" t="s">
        <v>522</v>
      </c>
      <c r="J143" s="39" t="s">
        <v>598</v>
      </c>
      <c r="K143" s="40" t="s">
        <v>747</v>
      </c>
      <c r="L143" s="41" t="s">
        <v>122</v>
      </c>
      <c r="M143" s="39" t="s">
        <v>748</v>
      </c>
      <c r="N143" s="41" t="s">
        <v>93</v>
      </c>
      <c r="O143" s="42">
        <v>12</v>
      </c>
      <c r="P143" s="41" t="s">
        <v>46</v>
      </c>
      <c r="Q143" s="41" t="s">
        <v>66</v>
      </c>
      <c r="R143" s="41" t="s">
        <v>234</v>
      </c>
      <c r="S143" s="41" t="s">
        <v>234</v>
      </c>
      <c r="T143" s="41" t="s">
        <v>234</v>
      </c>
      <c r="U143" s="41" t="s">
        <v>234</v>
      </c>
      <c r="V143" s="41" t="s">
        <v>234</v>
      </c>
      <c r="W143" s="41" t="s">
        <v>234</v>
      </c>
      <c r="X143" s="43">
        <v>0</v>
      </c>
      <c r="Y143" s="41" t="s">
        <v>97</v>
      </c>
      <c r="Z143" s="41" t="s">
        <v>97</v>
      </c>
      <c r="AA143" s="41" t="s">
        <v>113</v>
      </c>
      <c r="AB143" s="39" t="s">
        <v>46</v>
      </c>
      <c r="AC143" s="44" t="s">
        <v>46</v>
      </c>
    </row>
    <row r="144" spans="1:29" x14ac:dyDescent="0.25">
      <c r="A144" s="45" t="s">
        <v>849</v>
      </c>
      <c r="B144" s="46" t="s">
        <v>154</v>
      </c>
      <c r="C144" s="46" t="s">
        <v>156</v>
      </c>
      <c r="D144" s="47" t="s">
        <v>850</v>
      </c>
      <c r="E144" s="47" t="s">
        <v>398</v>
      </c>
      <c r="F144" s="46" t="s">
        <v>851</v>
      </c>
      <c r="G144" s="46" t="s">
        <v>852</v>
      </c>
      <c r="H144" s="47" t="s">
        <v>128</v>
      </c>
      <c r="I144" s="47" t="s">
        <v>401</v>
      </c>
      <c r="J144" s="46" t="s">
        <v>853</v>
      </c>
      <c r="K144" s="47" t="s">
        <v>854</v>
      </c>
      <c r="L144" s="48" t="s">
        <v>122</v>
      </c>
      <c r="M144" s="46" t="s">
        <v>855</v>
      </c>
      <c r="N144" s="48" t="s">
        <v>90</v>
      </c>
      <c r="O144" s="49">
        <v>4</v>
      </c>
      <c r="P144" s="48" t="s">
        <v>46</v>
      </c>
      <c r="Q144" s="41" t="s">
        <v>66</v>
      </c>
      <c r="R144" s="41" t="s">
        <v>234</v>
      </c>
      <c r="S144" s="41" t="s">
        <v>234</v>
      </c>
      <c r="T144" s="41" t="s">
        <v>234</v>
      </c>
      <c r="U144" s="41" t="s">
        <v>234</v>
      </c>
      <c r="V144" s="41" t="s">
        <v>234</v>
      </c>
      <c r="W144" s="41" t="s">
        <v>234</v>
      </c>
      <c r="X144" s="43">
        <v>0</v>
      </c>
      <c r="Y144" s="41" t="s">
        <v>97</v>
      </c>
      <c r="Z144" s="41" t="s">
        <v>97</v>
      </c>
      <c r="AA144" s="41" t="s">
        <v>113</v>
      </c>
      <c r="AB144" s="39" t="s">
        <v>46</v>
      </c>
      <c r="AC144" s="44" t="s">
        <v>46</v>
      </c>
    </row>
    <row r="145" spans="1:29" x14ac:dyDescent="0.25">
      <c r="A145" s="38" t="s">
        <v>856</v>
      </c>
      <c r="B145" s="39" t="s">
        <v>154</v>
      </c>
      <c r="C145" s="39" t="s">
        <v>156</v>
      </c>
      <c r="D145" s="40" t="s">
        <v>850</v>
      </c>
      <c r="E145" s="40" t="s">
        <v>124</v>
      </c>
      <c r="F145" s="39" t="s">
        <v>857</v>
      </c>
      <c r="G145" s="39" t="s">
        <v>858</v>
      </c>
      <c r="H145" s="40" t="s">
        <v>126</v>
      </c>
      <c r="I145" s="40" t="s">
        <v>325</v>
      </c>
      <c r="J145" s="39" t="s">
        <v>859</v>
      </c>
      <c r="K145" s="40" t="s">
        <v>854</v>
      </c>
      <c r="L145" s="41" t="s">
        <v>122</v>
      </c>
      <c r="M145" s="39" t="s">
        <v>855</v>
      </c>
      <c r="N145" s="41" t="s">
        <v>91</v>
      </c>
      <c r="O145" s="42">
        <v>5</v>
      </c>
      <c r="P145" s="41" t="s">
        <v>46</v>
      </c>
      <c r="Q145" s="41" t="s">
        <v>66</v>
      </c>
      <c r="R145" s="41" t="s">
        <v>234</v>
      </c>
      <c r="S145" s="41" t="s">
        <v>234</v>
      </c>
      <c r="T145" s="41" t="s">
        <v>234</v>
      </c>
      <c r="U145" s="41" t="s">
        <v>234</v>
      </c>
      <c r="V145" s="41" t="s">
        <v>234</v>
      </c>
      <c r="W145" s="41" t="s">
        <v>234</v>
      </c>
      <c r="X145" s="43">
        <v>0</v>
      </c>
      <c r="Y145" s="41" t="s">
        <v>97</v>
      </c>
      <c r="Z145" s="41" t="s">
        <v>97</v>
      </c>
      <c r="AA145" s="41" t="s">
        <v>113</v>
      </c>
      <c r="AB145" s="39" t="s">
        <v>46</v>
      </c>
      <c r="AC145" s="44" t="s">
        <v>46</v>
      </c>
    </row>
    <row r="146" spans="1:29" x14ac:dyDescent="0.25">
      <c r="A146" s="45" t="s">
        <v>860</v>
      </c>
      <c r="B146" s="46" t="s">
        <v>154</v>
      </c>
      <c r="C146" s="46" t="s">
        <v>156</v>
      </c>
      <c r="D146" s="47" t="s">
        <v>850</v>
      </c>
      <c r="E146" s="47" t="s">
        <v>124</v>
      </c>
      <c r="F146" s="46" t="s">
        <v>861</v>
      </c>
      <c r="G146" s="46" t="s">
        <v>862</v>
      </c>
      <c r="H146" s="47" t="s">
        <v>126</v>
      </c>
      <c r="I146" s="47" t="s">
        <v>325</v>
      </c>
      <c r="J146" s="46" t="s">
        <v>863</v>
      </c>
      <c r="K146" s="47" t="s">
        <v>854</v>
      </c>
      <c r="L146" s="48" t="s">
        <v>122</v>
      </c>
      <c r="M146" s="46" t="s">
        <v>855</v>
      </c>
      <c r="N146" s="48" t="s">
        <v>91</v>
      </c>
      <c r="O146" s="49">
        <v>4</v>
      </c>
      <c r="P146" s="48" t="s">
        <v>46</v>
      </c>
      <c r="Q146" s="41" t="s">
        <v>66</v>
      </c>
      <c r="R146" s="41" t="s">
        <v>234</v>
      </c>
      <c r="S146" s="41" t="s">
        <v>234</v>
      </c>
      <c r="T146" s="41" t="s">
        <v>234</v>
      </c>
      <c r="U146" s="41" t="s">
        <v>234</v>
      </c>
      <c r="V146" s="41" t="s">
        <v>234</v>
      </c>
      <c r="W146" s="41" t="s">
        <v>234</v>
      </c>
      <c r="X146" s="43">
        <v>0</v>
      </c>
      <c r="Y146" s="41" t="s">
        <v>97</v>
      </c>
      <c r="Z146" s="41" t="s">
        <v>97</v>
      </c>
      <c r="AA146" s="41" t="s">
        <v>113</v>
      </c>
      <c r="AB146" s="39" t="s">
        <v>46</v>
      </c>
      <c r="AC146" s="44" t="s">
        <v>46</v>
      </c>
    </row>
    <row r="147" spans="1:29" x14ac:dyDescent="0.25">
      <c r="A147" s="38" t="s">
        <v>864</v>
      </c>
      <c r="B147" s="39" t="s">
        <v>154</v>
      </c>
      <c r="C147" s="39" t="s">
        <v>156</v>
      </c>
      <c r="D147" s="40" t="s">
        <v>850</v>
      </c>
      <c r="E147" s="40" t="s">
        <v>289</v>
      </c>
      <c r="F147" s="39" t="s">
        <v>865</v>
      </c>
      <c r="G147" s="39" t="s">
        <v>866</v>
      </c>
      <c r="H147" s="40" t="s">
        <v>123</v>
      </c>
      <c r="I147" s="40" t="s">
        <v>135</v>
      </c>
      <c r="J147" s="39" t="s">
        <v>867</v>
      </c>
      <c r="K147" s="40" t="s">
        <v>854</v>
      </c>
      <c r="L147" s="41" t="s">
        <v>122</v>
      </c>
      <c r="M147" s="39" t="s">
        <v>855</v>
      </c>
      <c r="N147" s="41" t="s">
        <v>91</v>
      </c>
      <c r="O147" s="42">
        <v>4</v>
      </c>
      <c r="P147" s="41" t="s">
        <v>46</v>
      </c>
      <c r="Q147" s="41" t="s">
        <v>66</v>
      </c>
      <c r="R147" s="41" t="s">
        <v>234</v>
      </c>
      <c r="S147" s="41" t="s">
        <v>234</v>
      </c>
      <c r="T147" s="41" t="s">
        <v>234</v>
      </c>
      <c r="U147" s="41" t="s">
        <v>234</v>
      </c>
      <c r="V147" s="41" t="s">
        <v>234</v>
      </c>
      <c r="W147" s="41" t="s">
        <v>234</v>
      </c>
      <c r="X147" s="43">
        <v>0</v>
      </c>
      <c r="Y147" s="41" t="s">
        <v>97</v>
      </c>
      <c r="Z147" s="41" t="s">
        <v>97</v>
      </c>
      <c r="AA147" s="41" t="s">
        <v>113</v>
      </c>
      <c r="AB147" s="39" t="s">
        <v>46</v>
      </c>
      <c r="AC147" s="44" t="s">
        <v>46</v>
      </c>
    </row>
    <row r="148" spans="1:29" x14ac:dyDescent="0.25">
      <c r="A148" s="45" t="s">
        <v>868</v>
      </c>
      <c r="B148" s="46" t="s">
        <v>154</v>
      </c>
      <c r="C148" s="46" t="s">
        <v>156</v>
      </c>
      <c r="D148" s="47" t="s">
        <v>850</v>
      </c>
      <c r="E148" s="47" t="s">
        <v>289</v>
      </c>
      <c r="F148" s="46" t="s">
        <v>869</v>
      </c>
      <c r="G148" s="46" t="s">
        <v>870</v>
      </c>
      <c r="H148" s="47" t="s">
        <v>123</v>
      </c>
      <c r="I148" s="47" t="s">
        <v>135</v>
      </c>
      <c r="J148" s="46" t="s">
        <v>871</v>
      </c>
      <c r="K148" s="47" t="s">
        <v>854</v>
      </c>
      <c r="L148" s="48" t="s">
        <v>122</v>
      </c>
      <c r="M148" s="46" t="s">
        <v>855</v>
      </c>
      <c r="N148" s="48" t="s">
        <v>91</v>
      </c>
      <c r="O148" s="49">
        <v>4</v>
      </c>
      <c r="P148" s="48" t="s">
        <v>46</v>
      </c>
      <c r="Q148" s="41" t="s">
        <v>66</v>
      </c>
      <c r="R148" s="41" t="s">
        <v>234</v>
      </c>
      <c r="S148" s="41" t="s">
        <v>234</v>
      </c>
      <c r="T148" s="41" t="s">
        <v>234</v>
      </c>
      <c r="U148" s="41" t="s">
        <v>234</v>
      </c>
      <c r="V148" s="41" t="s">
        <v>234</v>
      </c>
      <c r="W148" s="41" t="s">
        <v>234</v>
      </c>
      <c r="X148" s="43">
        <v>0</v>
      </c>
      <c r="Y148" s="41" t="s">
        <v>97</v>
      </c>
      <c r="Z148" s="41" t="s">
        <v>97</v>
      </c>
      <c r="AA148" s="41" t="s">
        <v>113</v>
      </c>
      <c r="AB148" s="39" t="s">
        <v>46</v>
      </c>
      <c r="AC148" s="44" t="s">
        <v>46</v>
      </c>
    </row>
    <row r="149" spans="1:29" x14ac:dyDescent="0.25">
      <c r="A149" s="38" t="s">
        <v>872</v>
      </c>
      <c r="B149" s="39" t="s">
        <v>154</v>
      </c>
      <c r="C149" s="39" t="s">
        <v>156</v>
      </c>
      <c r="D149" s="40" t="s">
        <v>850</v>
      </c>
      <c r="E149" s="40" t="s">
        <v>135</v>
      </c>
      <c r="F149" s="39" t="s">
        <v>873</v>
      </c>
      <c r="G149" s="39" t="s">
        <v>874</v>
      </c>
      <c r="H149" s="40" t="s">
        <v>123</v>
      </c>
      <c r="I149" s="40" t="s">
        <v>135</v>
      </c>
      <c r="J149" s="39" t="s">
        <v>875</v>
      </c>
      <c r="K149" s="40" t="s">
        <v>854</v>
      </c>
      <c r="L149" s="41" t="s">
        <v>122</v>
      </c>
      <c r="M149" s="39" t="s">
        <v>855</v>
      </c>
      <c r="N149" s="41" t="s">
        <v>91</v>
      </c>
      <c r="O149" s="42">
        <v>6</v>
      </c>
      <c r="P149" s="41" t="s">
        <v>46</v>
      </c>
      <c r="Q149" s="41" t="s">
        <v>66</v>
      </c>
      <c r="R149" s="41" t="s">
        <v>234</v>
      </c>
      <c r="S149" s="41" t="s">
        <v>234</v>
      </c>
      <c r="T149" s="41" t="s">
        <v>234</v>
      </c>
      <c r="U149" s="41" t="s">
        <v>234</v>
      </c>
      <c r="V149" s="41" t="s">
        <v>234</v>
      </c>
      <c r="W149" s="41" t="s">
        <v>234</v>
      </c>
      <c r="X149" s="43">
        <v>0</v>
      </c>
      <c r="Y149" s="41" t="s">
        <v>97</v>
      </c>
      <c r="Z149" s="41" t="s">
        <v>97</v>
      </c>
      <c r="AA149" s="41" t="s">
        <v>113</v>
      </c>
      <c r="AB149" s="39" t="s">
        <v>46</v>
      </c>
      <c r="AC149" s="44" t="s">
        <v>46</v>
      </c>
    </row>
    <row r="150" spans="1:29" x14ac:dyDescent="0.25">
      <c r="A150" s="45" t="s">
        <v>876</v>
      </c>
      <c r="B150" s="46" t="s">
        <v>154</v>
      </c>
      <c r="C150" s="46" t="s">
        <v>156</v>
      </c>
      <c r="D150" s="47" t="s">
        <v>850</v>
      </c>
      <c r="E150" s="47" t="s">
        <v>56</v>
      </c>
      <c r="F150" s="46" t="s">
        <v>877</v>
      </c>
      <c r="G150" s="46" t="s">
        <v>878</v>
      </c>
      <c r="H150" s="47" t="s">
        <v>132</v>
      </c>
      <c r="I150" s="47" t="s">
        <v>522</v>
      </c>
      <c r="J150" s="46" t="s">
        <v>879</v>
      </c>
      <c r="K150" s="47" t="s">
        <v>854</v>
      </c>
      <c r="L150" s="48" t="s">
        <v>122</v>
      </c>
      <c r="M150" s="46" t="s">
        <v>855</v>
      </c>
      <c r="N150" s="48" t="s">
        <v>91</v>
      </c>
      <c r="O150" s="49">
        <v>5</v>
      </c>
      <c r="P150" s="48" t="s">
        <v>46</v>
      </c>
      <c r="Q150" s="41" t="s">
        <v>66</v>
      </c>
      <c r="R150" s="41" t="s">
        <v>234</v>
      </c>
      <c r="S150" s="41" t="s">
        <v>234</v>
      </c>
      <c r="T150" s="41" t="s">
        <v>234</v>
      </c>
      <c r="U150" s="41" t="s">
        <v>234</v>
      </c>
      <c r="V150" s="41" t="s">
        <v>234</v>
      </c>
      <c r="W150" s="41" t="s">
        <v>234</v>
      </c>
      <c r="X150" s="43">
        <v>0</v>
      </c>
      <c r="Y150" s="41" t="s">
        <v>97</v>
      </c>
      <c r="Z150" s="41" t="s">
        <v>97</v>
      </c>
      <c r="AA150" s="41" t="s">
        <v>113</v>
      </c>
      <c r="AB150" s="39" t="s">
        <v>46</v>
      </c>
      <c r="AC150" s="44" t="s">
        <v>46</v>
      </c>
    </row>
    <row r="151" spans="1:29" x14ac:dyDescent="0.25">
      <c r="A151" s="38" t="s">
        <v>880</v>
      </c>
      <c r="B151" s="39" t="s">
        <v>158</v>
      </c>
      <c r="C151" s="39" t="s">
        <v>157</v>
      </c>
      <c r="D151" s="40" t="s">
        <v>881</v>
      </c>
      <c r="E151" s="40" t="s">
        <v>131</v>
      </c>
      <c r="F151" s="39" t="s">
        <v>882</v>
      </c>
      <c r="G151" s="39" t="s">
        <v>883</v>
      </c>
      <c r="H151" s="40" t="s">
        <v>126</v>
      </c>
      <c r="I151" s="40" t="s">
        <v>469</v>
      </c>
      <c r="J151" s="39" t="s">
        <v>884</v>
      </c>
      <c r="K151" s="40" t="s">
        <v>885</v>
      </c>
      <c r="L151" s="41" t="s">
        <v>122</v>
      </c>
      <c r="M151" s="39" t="s">
        <v>855</v>
      </c>
      <c r="N151" s="41" t="s">
        <v>86</v>
      </c>
      <c r="O151" s="42">
        <v>8</v>
      </c>
      <c r="P151" s="41" t="s">
        <v>46</v>
      </c>
      <c r="Q151" s="41" t="s">
        <v>66</v>
      </c>
      <c r="R151" s="41" t="s">
        <v>234</v>
      </c>
      <c r="S151" s="41" t="s">
        <v>234</v>
      </c>
      <c r="T151" s="41" t="s">
        <v>234</v>
      </c>
      <c r="U151" s="41" t="s">
        <v>234</v>
      </c>
      <c r="V151" s="41" t="s">
        <v>234</v>
      </c>
      <c r="W151" s="41" t="s">
        <v>234</v>
      </c>
      <c r="X151" s="43">
        <v>0</v>
      </c>
      <c r="Y151" s="41" t="s">
        <v>97</v>
      </c>
      <c r="Z151" s="41" t="s">
        <v>97</v>
      </c>
      <c r="AA151" s="41" t="s">
        <v>113</v>
      </c>
      <c r="AB151" s="39" t="s">
        <v>46</v>
      </c>
      <c r="AC151" s="44" t="s">
        <v>46</v>
      </c>
    </row>
    <row r="152" spans="1:29" x14ac:dyDescent="0.25">
      <c r="A152" s="45" t="s">
        <v>886</v>
      </c>
      <c r="B152" s="46" t="s">
        <v>158</v>
      </c>
      <c r="C152" s="46" t="s">
        <v>157</v>
      </c>
      <c r="D152" s="47" t="s">
        <v>881</v>
      </c>
      <c r="E152" s="47" t="s">
        <v>295</v>
      </c>
      <c r="F152" s="46" t="s">
        <v>887</v>
      </c>
      <c r="G152" s="46" t="s">
        <v>888</v>
      </c>
      <c r="H152" s="47" t="s">
        <v>126</v>
      </c>
      <c r="I152" s="47" t="s">
        <v>325</v>
      </c>
      <c r="J152" s="46" t="s">
        <v>889</v>
      </c>
      <c r="K152" s="47" t="s">
        <v>885</v>
      </c>
      <c r="L152" s="48" t="s">
        <v>122</v>
      </c>
      <c r="M152" s="46" t="s">
        <v>855</v>
      </c>
      <c r="N152" s="48" t="s">
        <v>86</v>
      </c>
      <c r="O152" s="49">
        <v>8</v>
      </c>
      <c r="P152" s="48" t="s">
        <v>46</v>
      </c>
      <c r="Q152" s="41" t="s">
        <v>66</v>
      </c>
      <c r="R152" s="41" t="s">
        <v>234</v>
      </c>
      <c r="S152" s="41" t="s">
        <v>234</v>
      </c>
      <c r="T152" s="41" t="s">
        <v>234</v>
      </c>
      <c r="U152" s="41" t="s">
        <v>234</v>
      </c>
      <c r="V152" s="41" t="s">
        <v>234</v>
      </c>
      <c r="W152" s="41" t="s">
        <v>234</v>
      </c>
      <c r="X152" s="43">
        <v>0</v>
      </c>
      <c r="Y152" s="41" t="s">
        <v>97</v>
      </c>
      <c r="Z152" s="41" t="s">
        <v>97</v>
      </c>
      <c r="AA152" s="41" t="s">
        <v>113</v>
      </c>
      <c r="AB152" s="39" t="s">
        <v>46</v>
      </c>
      <c r="AC152" s="44" t="s">
        <v>46</v>
      </c>
    </row>
    <row r="153" spans="1:29" x14ac:dyDescent="0.25">
      <c r="A153" s="38" t="s">
        <v>890</v>
      </c>
      <c r="B153" s="39" t="s">
        <v>158</v>
      </c>
      <c r="C153" s="39" t="s">
        <v>157</v>
      </c>
      <c r="D153" s="40" t="s">
        <v>881</v>
      </c>
      <c r="E153" s="40" t="s">
        <v>124</v>
      </c>
      <c r="F153" s="39" t="s">
        <v>891</v>
      </c>
      <c r="G153" s="39" t="s">
        <v>892</v>
      </c>
      <c r="H153" s="40" t="s">
        <v>126</v>
      </c>
      <c r="I153" s="40" t="s">
        <v>325</v>
      </c>
      <c r="J153" s="39" t="s">
        <v>893</v>
      </c>
      <c r="K153" s="40" t="s">
        <v>885</v>
      </c>
      <c r="L153" s="41" t="s">
        <v>122</v>
      </c>
      <c r="M153" s="39" t="s">
        <v>855</v>
      </c>
      <c r="N153" s="41" t="s">
        <v>86</v>
      </c>
      <c r="O153" s="42">
        <v>4</v>
      </c>
      <c r="P153" s="41" t="s">
        <v>46</v>
      </c>
      <c r="Q153" s="41" t="s">
        <v>66</v>
      </c>
      <c r="R153" s="41" t="s">
        <v>234</v>
      </c>
      <c r="S153" s="41" t="s">
        <v>234</v>
      </c>
      <c r="T153" s="41" t="s">
        <v>234</v>
      </c>
      <c r="U153" s="41" t="s">
        <v>234</v>
      </c>
      <c r="V153" s="41" t="s">
        <v>234</v>
      </c>
      <c r="W153" s="41" t="s">
        <v>234</v>
      </c>
      <c r="X153" s="43">
        <v>0</v>
      </c>
      <c r="Y153" s="41" t="s">
        <v>97</v>
      </c>
      <c r="Z153" s="41" t="s">
        <v>97</v>
      </c>
      <c r="AA153" s="41" t="s">
        <v>113</v>
      </c>
      <c r="AB153" s="39" t="s">
        <v>46</v>
      </c>
      <c r="AC153" s="44" t="s">
        <v>46</v>
      </c>
    </row>
    <row r="154" spans="1:29" x14ac:dyDescent="0.25">
      <c r="A154" s="45" t="s">
        <v>894</v>
      </c>
      <c r="B154" s="46" t="s">
        <v>158</v>
      </c>
      <c r="C154" s="46" t="s">
        <v>157</v>
      </c>
      <c r="D154" s="47" t="s">
        <v>881</v>
      </c>
      <c r="E154" s="47" t="s">
        <v>124</v>
      </c>
      <c r="F154" s="46" t="s">
        <v>895</v>
      </c>
      <c r="G154" s="46" t="s">
        <v>896</v>
      </c>
      <c r="H154" s="47" t="s">
        <v>126</v>
      </c>
      <c r="I154" s="47" t="s">
        <v>414</v>
      </c>
      <c r="J154" s="46" t="s">
        <v>897</v>
      </c>
      <c r="K154" s="47" t="s">
        <v>885</v>
      </c>
      <c r="L154" s="48" t="s">
        <v>122</v>
      </c>
      <c r="M154" s="46" t="s">
        <v>855</v>
      </c>
      <c r="N154" s="48" t="s">
        <v>86</v>
      </c>
      <c r="O154" s="49">
        <v>5</v>
      </c>
      <c r="P154" s="48" t="s">
        <v>46</v>
      </c>
      <c r="Q154" s="41" t="s">
        <v>66</v>
      </c>
      <c r="R154" s="41" t="s">
        <v>234</v>
      </c>
      <c r="S154" s="41" t="s">
        <v>234</v>
      </c>
      <c r="T154" s="41" t="s">
        <v>234</v>
      </c>
      <c r="U154" s="41" t="s">
        <v>234</v>
      </c>
      <c r="V154" s="41" t="s">
        <v>234</v>
      </c>
      <c r="W154" s="41" t="s">
        <v>234</v>
      </c>
      <c r="X154" s="43">
        <v>0</v>
      </c>
      <c r="Y154" s="41" t="s">
        <v>97</v>
      </c>
      <c r="Z154" s="41" t="s">
        <v>97</v>
      </c>
      <c r="AA154" s="41" t="s">
        <v>113</v>
      </c>
      <c r="AB154" s="39" t="s">
        <v>46</v>
      </c>
      <c r="AC154" s="44" t="s">
        <v>46</v>
      </c>
    </row>
    <row r="155" spans="1:29" x14ac:dyDescent="0.25">
      <c r="A155" s="38" t="s">
        <v>898</v>
      </c>
      <c r="B155" s="39" t="s">
        <v>158</v>
      </c>
      <c r="C155" s="39" t="s">
        <v>157</v>
      </c>
      <c r="D155" s="40" t="s">
        <v>881</v>
      </c>
      <c r="E155" s="40" t="s">
        <v>124</v>
      </c>
      <c r="F155" s="39" t="s">
        <v>899</v>
      </c>
      <c r="G155" s="39" t="s">
        <v>900</v>
      </c>
      <c r="H155" s="40" t="s">
        <v>126</v>
      </c>
      <c r="I155" s="40" t="s">
        <v>246</v>
      </c>
      <c r="J155" s="39" t="s">
        <v>901</v>
      </c>
      <c r="K155" s="40" t="s">
        <v>885</v>
      </c>
      <c r="L155" s="41" t="s">
        <v>122</v>
      </c>
      <c r="M155" s="39" t="s">
        <v>855</v>
      </c>
      <c r="N155" s="41" t="s">
        <v>87</v>
      </c>
      <c r="O155" s="42">
        <v>14</v>
      </c>
      <c r="P155" s="41" t="s">
        <v>46</v>
      </c>
      <c r="Q155" s="41" t="s">
        <v>66</v>
      </c>
      <c r="R155" s="41" t="s">
        <v>234</v>
      </c>
      <c r="S155" s="41" t="s">
        <v>234</v>
      </c>
      <c r="T155" s="41" t="s">
        <v>234</v>
      </c>
      <c r="U155" s="41" t="s">
        <v>234</v>
      </c>
      <c r="V155" s="41" t="s">
        <v>234</v>
      </c>
      <c r="W155" s="41" t="s">
        <v>234</v>
      </c>
      <c r="X155" s="43">
        <v>0</v>
      </c>
      <c r="Y155" s="41" t="s">
        <v>97</v>
      </c>
      <c r="Z155" s="41" t="s">
        <v>97</v>
      </c>
      <c r="AA155" s="41" t="s">
        <v>113</v>
      </c>
      <c r="AB155" s="39" t="s">
        <v>902</v>
      </c>
      <c r="AC155" s="44" t="s">
        <v>46</v>
      </c>
    </row>
    <row r="156" spans="1:29" x14ac:dyDescent="0.25">
      <c r="A156" s="45" t="s">
        <v>903</v>
      </c>
      <c r="B156" s="46" t="s">
        <v>158</v>
      </c>
      <c r="C156" s="46" t="s">
        <v>157</v>
      </c>
      <c r="D156" s="47" t="s">
        <v>881</v>
      </c>
      <c r="E156" s="47" t="s">
        <v>124</v>
      </c>
      <c r="F156" s="46" t="s">
        <v>904</v>
      </c>
      <c r="G156" s="46" t="s">
        <v>905</v>
      </c>
      <c r="H156" s="47" t="s">
        <v>126</v>
      </c>
      <c r="I156" s="47" t="s">
        <v>246</v>
      </c>
      <c r="J156" s="46" t="s">
        <v>906</v>
      </c>
      <c r="K156" s="47" t="s">
        <v>885</v>
      </c>
      <c r="L156" s="48" t="s">
        <v>122</v>
      </c>
      <c r="M156" s="46" t="s">
        <v>855</v>
      </c>
      <c r="N156" s="48" t="s">
        <v>87</v>
      </c>
      <c r="O156" s="49">
        <v>8</v>
      </c>
      <c r="P156" s="48" t="s">
        <v>46</v>
      </c>
      <c r="Q156" s="41" t="s">
        <v>66</v>
      </c>
      <c r="R156" s="41" t="s">
        <v>234</v>
      </c>
      <c r="S156" s="41" t="s">
        <v>234</v>
      </c>
      <c r="T156" s="41" t="s">
        <v>234</v>
      </c>
      <c r="U156" s="41" t="s">
        <v>234</v>
      </c>
      <c r="V156" s="41" t="s">
        <v>234</v>
      </c>
      <c r="W156" s="41" t="s">
        <v>234</v>
      </c>
      <c r="X156" s="43">
        <v>0</v>
      </c>
      <c r="Y156" s="41" t="s">
        <v>97</v>
      </c>
      <c r="Z156" s="41" t="s">
        <v>97</v>
      </c>
      <c r="AA156" s="41" t="s">
        <v>113</v>
      </c>
      <c r="AB156" s="39" t="s">
        <v>46</v>
      </c>
      <c r="AC156" s="44" t="s">
        <v>46</v>
      </c>
    </row>
    <row r="157" spans="1:29" x14ac:dyDescent="0.25">
      <c r="A157" s="38" t="s">
        <v>907</v>
      </c>
      <c r="B157" s="39" t="s">
        <v>158</v>
      </c>
      <c r="C157" s="39" t="s">
        <v>157</v>
      </c>
      <c r="D157" s="40" t="s">
        <v>881</v>
      </c>
      <c r="E157" s="40" t="s">
        <v>124</v>
      </c>
      <c r="F157" s="39" t="s">
        <v>908</v>
      </c>
      <c r="G157" s="39" t="s">
        <v>909</v>
      </c>
      <c r="H157" s="40" t="s">
        <v>126</v>
      </c>
      <c r="I157" s="40" t="s">
        <v>246</v>
      </c>
      <c r="J157" s="39" t="s">
        <v>910</v>
      </c>
      <c r="K157" s="40" t="s">
        <v>885</v>
      </c>
      <c r="L157" s="41" t="s">
        <v>122</v>
      </c>
      <c r="M157" s="39" t="s">
        <v>855</v>
      </c>
      <c r="N157" s="41" t="s">
        <v>87</v>
      </c>
      <c r="O157" s="42">
        <v>8</v>
      </c>
      <c r="P157" s="41" t="s">
        <v>46</v>
      </c>
      <c r="Q157" s="41" t="s">
        <v>66</v>
      </c>
      <c r="R157" s="41" t="s">
        <v>234</v>
      </c>
      <c r="S157" s="41" t="s">
        <v>234</v>
      </c>
      <c r="T157" s="41" t="s">
        <v>234</v>
      </c>
      <c r="U157" s="41" t="s">
        <v>234</v>
      </c>
      <c r="V157" s="41" t="s">
        <v>234</v>
      </c>
      <c r="W157" s="41" t="s">
        <v>234</v>
      </c>
      <c r="X157" s="43">
        <v>0</v>
      </c>
      <c r="Y157" s="41" t="s">
        <v>97</v>
      </c>
      <c r="Z157" s="41" t="s">
        <v>97</v>
      </c>
      <c r="AA157" s="41" t="s">
        <v>113</v>
      </c>
      <c r="AB157" s="39" t="s">
        <v>46</v>
      </c>
      <c r="AC157" s="44" t="s">
        <v>46</v>
      </c>
    </row>
    <row r="158" spans="1:29" x14ac:dyDescent="0.25">
      <c r="A158" s="45" t="s">
        <v>911</v>
      </c>
      <c r="B158" s="46" t="s">
        <v>158</v>
      </c>
      <c r="C158" s="46" t="s">
        <v>157</v>
      </c>
      <c r="D158" s="47" t="s">
        <v>881</v>
      </c>
      <c r="E158" s="47" t="s">
        <v>124</v>
      </c>
      <c r="F158" s="46" t="s">
        <v>912</v>
      </c>
      <c r="G158" s="46" t="s">
        <v>913</v>
      </c>
      <c r="H158" s="47" t="s">
        <v>126</v>
      </c>
      <c r="I158" s="47" t="s">
        <v>414</v>
      </c>
      <c r="J158" s="46" t="s">
        <v>914</v>
      </c>
      <c r="K158" s="47" t="s">
        <v>885</v>
      </c>
      <c r="L158" s="48" t="s">
        <v>122</v>
      </c>
      <c r="M158" s="46" t="s">
        <v>855</v>
      </c>
      <c r="N158" s="48" t="s">
        <v>88</v>
      </c>
      <c r="O158" s="49">
        <v>10</v>
      </c>
      <c r="P158" s="48" t="s">
        <v>46</v>
      </c>
      <c r="Q158" s="41" t="s">
        <v>66</v>
      </c>
      <c r="R158" s="41" t="s">
        <v>234</v>
      </c>
      <c r="S158" s="41" t="s">
        <v>234</v>
      </c>
      <c r="T158" s="41" t="s">
        <v>234</v>
      </c>
      <c r="U158" s="41" t="s">
        <v>234</v>
      </c>
      <c r="V158" s="41" t="s">
        <v>234</v>
      </c>
      <c r="W158" s="41" t="s">
        <v>234</v>
      </c>
      <c r="X158" s="43">
        <v>0</v>
      </c>
      <c r="Y158" s="41" t="s">
        <v>97</v>
      </c>
      <c r="Z158" s="41" t="s">
        <v>97</v>
      </c>
      <c r="AA158" s="41" t="s">
        <v>113</v>
      </c>
      <c r="AB158" s="39" t="s">
        <v>46</v>
      </c>
      <c r="AC158" s="44" t="s">
        <v>46</v>
      </c>
    </row>
    <row r="159" spans="1:29" x14ac:dyDescent="0.25">
      <c r="A159" s="38" t="s">
        <v>915</v>
      </c>
      <c r="B159" s="39" t="s">
        <v>158</v>
      </c>
      <c r="C159" s="39" t="s">
        <v>157</v>
      </c>
      <c r="D159" s="40" t="s">
        <v>881</v>
      </c>
      <c r="E159" s="40" t="s">
        <v>124</v>
      </c>
      <c r="F159" s="39" t="s">
        <v>916</v>
      </c>
      <c r="G159" s="39" t="s">
        <v>917</v>
      </c>
      <c r="H159" s="40" t="s">
        <v>126</v>
      </c>
      <c r="I159" s="40" t="s">
        <v>246</v>
      </c>
      <c r="J159" s="39" t="s">
        <v>918</v>
      </c>
      <c r="K159" s="40" t="s">
        <v>885</v>
      </c>
      <c r="L159" s="41" t="s">
        <v>122</v>
      </c>
      <c r="M159" s="39" t="s">
        <v>855</v>
      </c>
      <c r="N159" s="41" t="s">
        <v>88</v>
      </c>
      <c r="O159" s="42">
        <v>6</v>
      </c>
      <c r="P159" s="41" t="s">
        <v>46</v>
      </c>
      <c r="Q159" s="41" t="s">
        <v>66</v>
      </c>
      <c r="R159" s="41" t="s">
        <v>234</v>
      </c>
      <c r="S159" s="41" t="s">
        <v>234</v>
      </c>
      <c r="T159" s="41" t="s">
        <v>234</v>
      </c>
      <c r="U159" s="41" t="s">
        <v>234</v>
      </c>
      <c r="V159" s="41" t="s">
        <v>234</v>
      </c>
      <c r="W159" s="41" t="s">
        <v>234</v>
      </c>
      <c r="X159" s="43">
        <v>0</v>
      </c>
      <c r="Y159" s="41" t="s">
        <v>97</v>
      </c>
      <c r="Z159" s="41" t="s">
        <v>97</v>
      </c>
      <c r="AA159" s="41" t="s">
        <v>113</v>
      </c>
      <c r="AB159" s="39" t="s">
        <v>46</v>
      </c>
      <c r="AC159" s="44" t="s">
        <v>46</v>
      </c>
    </row>
    <row r="160" spans="1:29" x14ac:dyDescent="0.25">
      <c r="A160" s="45" t="s">
        <v>919</v>
      </c>
      <c r="B160" s="46" t="s">
        <v>158</v>
      </c>
      <c r="C160" s="46" t="s">
        <v>157</v>
      </c>
      <c r="D160" s="47" t="s">
        <v>881</v>
      </c>
      <c r="E160" s="47" t="s">
        <v>124</v>
      </c>
      <c r="F160" s="46" t="s">
        <v>920</v>
      </c>
      <c r="G160" s="46" t="s">
        <v>921</v>
      </c>
      <c r="H160" s="47" t="s">
        <v>126</v>
      </c>
      <c r="I160" s="47" t="s">
        <v>246</v>
      </c>
      <c r="J160" s="46" t="s">
        <v>922</v>
      </c>
      <c r="K160" s="47" t="s">
        <v>885</v>
      </c>
      <c r="L160" s="48" t="s">
        <v>122</v>
      </c>
      <c r="M160" s="46" t="s">
        <v>855</v>
      </c>
      <c r="N160" s="48" t="s">
        <v>88</v>
      </c>
      <c r="O160" s="49">
        <v>6</v>
      </c>
      <c r="P160" s="48" t="s">
        <v>46</v>
      </c>
      <c r="Q160" s="41" t="s">
        <v>66</v>
      </c>
      <c r="R160" s="41" t="s">
        <v>234</v>
      </c>
      <c r="S160" s="41" t="s">
        <v>234</v>
      </c>
      <c r="T160" s="41" t="s">
        <v>234</v>
      </c>
      <c r="U160" s="41" t="s">
        <v>234</v>
      </c>
      <c r="V160" s="41" t="s">
        <v>234</v>
      </c>
      <c r="W160" s="41" t="s">
        <v>234</v>
      </c>
      <c r="X160" s="43">
        <v>0</v>
      </c>
      <c r="Y160" s="41" t="s">
        <v>97</v>
      </c>
      <c r="Z160" s="41" t="s">
        <v>97</v>
      </c>
      <c r="AA160" s="41" t="s">
        <v>113</v>
      </c>
      <c r="AB160" s="39" t="s">
        <v>46</v>
      </c>
      <c r="AC160" s="44" t="s">
        <v>46</v>
      </c>
    </row>
    <row r="161" spans="1:29" x14ac:dyDescent="0.25">
      <c r="A161" s="38" t="s">
        <v>923</v>
      </c>
      <c r="B161" s="39" t="s">
        <v>158</v>
      </c>
      <c r="C161" s="39" t="s">
        <v>157</v>
      </c>
      <c r="D161" s="40" t="s">
        <v>881</v>
      </c>
      <c r="E161" s="40" t="s">
        <v>124</v>
      </c>
      <c r="F161" s="39" t="s">
        <v>924</v>
      </c>
      <c r="G161" s="39" t="s">
        <v>925</v>
      </c>
      <c r="H161" s="40" t="s">
        <v>126</v>
      </c>
      <c r="I161" s="40" t="s">
        <v>246</v>
      </c>
      <c r="J161" s="39" t="s">
        <v>926</v>
      </c>
      <c r="K161" s="40" t="s">
        <v>885</v>
      </c>
      <c r="L161" s="41" t="s">
        <v>122</v>
      </c>
      <c r="M161" s="39" t="s">
        <v>855</v>
      </c>
      <c r="N161" s="41" t="s">
        <v>88</v>
      </c>
      <c r="O161" s="42">
        <v>6</v>
      </c>
      <c r="P161" s="41" t="s">
        <v>46</v>
      </c>
      <c r="Q161" s="41" t="s">
        <v>66</v>
      </c>
      <c r="R161" s="41" t="s">
        <v>234</v>
      </c>
      <c r="S161" s="41" t="s">
        <v>234</v>
      </c>
      <c r="T161" s="41" t="s">
        <v>234</v>
      </c>
      <c r="U161" s="41" t="s">
        <v>234</v>
      </c>
      <c r="V161" s="41" t="s">
        <v>234</v>
      </c>
      <c r="W161" s="41" t="s">
        <v>234</v>
      </c>
      <c r="X161" s="43">
        <v>0</v>
      </c>
      <c r="Y161" s="41" t="s">
        <v>97</v>
      </c>
      <c r="Z161" s="41" t="s">
        <v>97</v>
      </c>
      <c r="AA161" s="41" t="s">
        <v>113</v>
      </c>
      <c r="AB161" s="39" t="s">
        <v>46</v>
      </c>
      <c r="AC161" s="44" t="s">
        <v>46</v>
      </c>
    </row>
    <row r="162" spans="1:29" x14ac:dyDescent="0.25">
      <c r="A162" s="45" t="s">
        <v>927</v>
      </c>
      <c r="B162" s="46" t="s">
        <v>158</v>
      </c>
      <c r="C162" s="46" t="s">
        <v>157</v>
      </c>
      <c r="D162" s="47" t="s">
        <v>881</v>
      </c>
      <c r="E162" s="47" t="s">
        <v>124</v>
      </c>
      <c r="F162" s="46" t="s">
        <v>928</v>
      </c>
      <c r="G162" s="46" t="s">
        <v>929</v>
      </c>
      <c r="H162" s="47" t="s">
        <v>126</v>
      </c>
      <c r="I162" s="47" t="s">
        <v>246</v>
      </c>
      <c r="J162" s="46" t="s">
        <v>930</v>
      </c>
      <c r="K162" s="47" t="s">
        <v>885</v>
      </c>
      <c r="L162" s="48" t="s">
        <v>122</v>
      </c>
      <c r="M162" s="46" t="s">
        <v>855</v>
      </c>
      <c r="N162" s="48" t="s">
        <v>88</v>
      </c>
      <c r="O162" s="49">
        <v>6</v>
      </c>
      <c r="P162" s="48" t="s">
        <v>46</v>
      </c>
      <c r="Q162" s="41" t="s">
        <v>66</v>
      </c>
      <c r="R162" s="41" t="s">
        <v>234</v>
      </c>
      <c r="S162" s="41" t="s">
        <v>234</v>
      </c>
      <c r="T162" s="41" t="s">
        <v>234</v>
      </c>
      <c r="U162" s="41" t="s">
        <v>234</v>
      </c>
      <c r="V162" s="41" t="s">
        <v>234</v>
      </c>
      <c r="W162" s="41" t="s">
        <v>234</v>
      </c>
      <c r="X162" s="43">
        <v>0</v>
      </c>
      <c r="Y162" s="41" t="s">
        <v>97</v>
      </c>
      <c r="Z162" s="41" t="s">
        <v>97</v>
      </c>
      <c r="AA162" s="41" t="s">
        <v>113</v>
      </c>
      <c r="AB162" s="39" t="s">
        <v>46</v>
      </c>
      <c r="AC162" s="44" t="s">
        <v>46</v>
      </c>
    </row>
    <row r="163" spans="1:29" x14ac:dyDescent="0.25">
      <c r="A163" s="38" t="s">
        <v>931</v>
      </c>
      <c r="B163" s="39" t="s">
        <v>158</v>
      </c>
      <c r="C163" s="39" t="s">
        <v>157</v>
      </c>
      <c r="D163" s="40" t="s">
        <v>881</v>
      </c>
      <c r="E163" s="40" t="s">
        <v>124</v>
      </c>
      <c r="F163" s="39" t="s">
        <v>932</v>
      </c>
      <c r="G163" s="39" t="s">
        <v>933</v>
      </c>
      <c r="H163" s="40" t="s">
        <v>126</v>
      </c>
      <c r="I163" s="40" t="s">
        <v>246</v>
      </c>
      <c r="J163" s="39" t="s">
        <v>934</v>
      </c>
      <c r="K163" s="40" t="s">
        <v>885</v>
      </c>
      <c r="L163" s="41" t="s">
        <v>122</v>
      </c>
      <c r="M163" s="39" t="s">
        <v>855</v>
      </c>
      <c r="N163" s="41" t="s">
        <v>89</v>
      </c>
      <c r="O163" s="42">
        <v>6</v>
      </c>
      <c r="P163" s="41" t="s">
        <v>46</v>
      </c>
      <c r="Q163" s="41" t="s">
        <v>66</v>
      </c>
      <c r="R163" s="41" t="s">
        <v>234</v>
      </c>
      <c r="S163" s="41" t="s">
        <v>234</v>
      </c>
      <c r="T163" s="41" t="s">
        <v>234</v>
      </c>
      <c r="U163" s="41" t="s">
        <v>234</v>
      </c>
      <c r="V163" s="41" t="s">
        <v>234</v>
      </c>
      <c r="W163" s="41" t="s">
        <v>234</v>
      </c>
      <c r="X163" s="43">
        <v>0</v>
      </c>
      <c r="Y163" s="41" t="s">
        <v>97</v>
      </c>
      <c r="Z163" s="41" t="s">
        <v>97</v>
      </c>
      <c r="AA163" s="41" t="s">
        <v>113</v>
      </c>
      <c r="AB163" s="39" t="s">
        <v>935</v>
      </c>
      <c r="AC163" s="44" t="s">
        <v>46</v>
      </c>
    </row>
    <row r="164" spans="1:29" x14ac:dyDescent="0.25">
      <c r="A164" s="45" t="s">
        <v>936</v>
      </c>
      <c r="B164" s="46" t="s">
        <v>158</v>
      </c>
      <c r="C164" s="46" t="s">
        <v>157</v>
      </c>
      <c r="D164" s="47" t="s">
        <v>881</v>
      </c>
      <c r="E164" s="47" t="s">
        <v>124</v>
      </c>
      <c r="F164" s="46" t="s">
        <v>937</v>
      </c>
      <c r="G164" s="46" t="s">
        <v>938</v>
      </c>
      <c r="H164" s="47" t="s">
        <v>126</v>
      </c>
      <c r="I164" s="47" t="s">
        <v>325</v>
      </c>
      <c r="J164" s="46" t="s">
        <v>939</v>
      </c>
      <c r="K164" s="47" t="s">
        <v>885</v>
      </c>
      <c r="L164" s="48" t="s">
        <v>122</v>
      </c>
      <c r="M164" s="46" t="s">
        <v>855</v>
      </c>
      <c r="N164" s="48" t="s">
        <v>89</v>
      </c>
      <c r="O164" s="49">
        <v>6</v>
      </c>
      <c r="P164" s="48" t="s">
        <v>46</v>
      </c>
      <c r="Q164" s="41" t="s">
        <v>66</v>
      </c>
      <c r="R164" s="41" t="s">
        <v>234</v>
      </c>
      <c r="S164" s="41" t="s">
        <v>234</v>
      </c>
      <c r="T164" s="41" t="s">
        <v>234</v>
      </c>
      <c r="U164" s="41" t="s">
        <v>234</v>
      </c>
      <c r="V164" s="41" t="s">
        <v>234</v>
      </c>
      <c r="W164" s="41" t="s">
        <v>234</v>
      </c>
      <c r="X164" s="43">
        <v>0</v>
      </c>
      <c r="Y164" s="41" t="s">
        <v>97</v>
      </c>
      <c r="Z164" s="41" t="s">
        <v>97</v>
      </c>
      <c r="AA164" s="41" t="s">
        <v>113</v>
      </c>
      <c r="AB164" s="39" t="s">
        <v>46</v>
      </c>
      <c r="AC164" s="44" t="s">
        <v>46</v>
      </c>
    </row>
    <row r="165" spans="1:29" x14ac:dyDescent="0.25">
      <c r="A165" s="38" t="s">
        <v>940</v>
      </c>
      <c r="B165" s="39" t="s">
        <v>158</v>
      </c>
      <c r="C165" s="39" t="s">
        <v>157</v>
      </c>
      <c r="D165" s="40" t="s">
        <v>881</v>
      </c>
      <c r="E165" s="40" t="s">
        <v>124</v>
      </c>
      <c r="F165" s="39" t="s">
        <v>941</v>
      </c>
      <c r="G165" s="39" t="s">
        <v>942</v>
      </c>
      <c r="H165" s="40" t="s">
        <v>126</v>
      </c>
      <c r="I165" s="40" t="s">
        <v>246</v>
      </c>
      <c r="J165" s="39" t="s">
        <v>943</v>
      </c>
      <c r="K165" s="40" t="s">
        <v>885</v>
      </c>
      <c r="L165" s="41" t="s">
        <v>122</v>
      </c>
      <c r="M165" s="39" t="s">
        <v>855</v>
      </c>
      <c r="N165" s="41" t="s">
        <v>89</v>
      </c>
      <c r="O165" s="42">
        <v>6</v>
      </c>
      <c r="P165" s="41" t="s">
        <v>46</v>
      </c>
      <c r="Q165" s="41" t="s">
        <v>66</v>
      </c>
      <c r="R165" s="41" t="s">
        <v>234</v>
      </c>
      <c r="S165" s="41" t="s">
        <v>234</v>
      </c>
      <c r="T165" s="41" t="s">
        <v>234</v>
      </c>
      <c r="U165" s="41" t="s">
        <v>234</v>
      </c>
      <c r="V165" s="41" t="s">
        <v>234</v>
      </c>
      <c r="W165" s="41" t="s">
        <v>234</v>
      </c>
      <c r="X165" s="43">
        <v>0</v>
      </c>
      <c r="Y165" s="41" t="s">
        <v>97</v>
      </c>
      <c r="Z165" s="41" t="s">
        <v>97</v>
      </c>
      <c r="AA165" s="41" t="s">
        <v>113</v>
      </c>
      <c r="AB165" s="39" t="s">
        <v>46</v>
      </c>
      <c r="AC165" s="44" t="s">
        <v>46</v>
      </c>
    </row>
    <row r="166" spans="1:29" x14ac:dyDescent="0.25">
      <c r="A166" s="45" t="s">
        <v>944</v>
      </c>
      <c r="B166" s="46" t="s">
        <v>158</v>
      </c>
      <c r="C166" s="46" t="s">
        <v>157</v>
      </c>
      <c r="D166" s="47" t="s">
        <v>881</v>
      </c>
      <c r="E166" s="47" t="s">
        <v>124</v>
      </c>
      <c r="F166" s="46" t="s">
        <v>945</v>
      </c>
      <c r="G166" s="46" t="s">
        <v>946</v>
      </c>
      <c r="H166" s="47" t="s">
        <v>126</v>
      </c>
      <c r="I166" s="47" t="s">
        <v>246</v>
      </c>
      <c r="J166" s="46" t="s">
        <v>947</v>
      </c>
      <c r="K166" s="47" t="s">
        <v>885</v>
      </c>
      <c r="L166" s="48" t="s">
        <v>125</v>
      </c>
      <c r="M166" s="46" t="s">
        <v>855</v>
      </c>
      <c r="N166" s="48" t="s">
        <v>89</v>
      </c>
      <c r="O166" s="49">
        <v>8</v>
      </c>
      <c r="P166" s="48" t="s">
        <v>46</v>
      </c>
      <c r="Q166" s="41" t="s">
        <v>66</v>
      </c>
      <c r="R166" s="41" t="s">
        <v>234</v>
      </c>
      <c r="S166" s="41" t="s">
        <v>234</v>
      </c>
      <c r="T166" s="41" t="s">
        <v>234</v>
      </c>
      <c r="U166" s="41" t="s">
        <v>234</v>
      </c>
      <c r="V166" s="41" t="s">
        <v>234</v>
      </c>
      <c r="W166" s="41" t="s">
        <v>234</v>
      </c>
      <c r="X166" s="43">
        <v>0</v>
      </c>
      <c r="Y166" s="41" t="s">
        <v>97</v>
      </c>
      <c r="Z166" s="41" t="s">
        <v>97</v>
      </c>
      <c r="AA166" s="41" t="s">
        <v>113</v>
      </c>
      <c r="AB166" s="39" t="s">
        <v>46</v>
      </c>
      <c r="AC166" s="44" t="s">
        <v>46</v>
      </c>
    </row>
    <row r="167" spans="1:29" x14ac:dyDescent="0.25">
      <c r="A167" s="38" t="s">
        <v>948</v>
      </c>
      <c r="B167" s="39" t="s">
        <v>158</v>
      </c>
      <c r="C167" s="39" t="s">
        <v>157</v>
      </c>
      <c r="D167" s="40" t="s">
        <v>881</v>
      </c>
      <c r="E167" s="40" t="s">
        <v>124</v>
      </c>
      <c r="F167" s="39" t="s">
        <v>949</v>
      </c>
      <c r="G167" s="39" t="s">
        <v>950</v>
      </c>
      <c r="H167" s="40" t="s">
        <v>126</v>
      </c>
      <c r="I167" s="40" t="s">
        <v>325</v>
      </c>
      <c r="J167" s="39" t="s">
        <v>951</v>
      </c>
      <c r="K167" s="40" t="s">
        <v>885</v>
      </c>
      <c r="L167" s="41" t="s">
        <v>122</v>
      </c>
      <c r="M167" s="39" t="s">
        <v>855</v>
      </c>
      <c r="N167" s="41" t="s">
        <v>89</v>
      </c>
      <c r="O167" s="42">
        <v>6</v>
      </c>
      <c r="P167" s="41" t="s">
        <v>46</v>
      </c>
      <c r="Q167" s="41" t="s">
        <v>66</v>
      </c>
      <c r="R167" s="41" t="s">
        <v>234</v>
      </c>
      <c r="S167" s="41" t="s">
        <v>234</v>
      </c>
      <c r="T167" s="41" t="s">
        <v>234</v>
      </c>
      <c r="U167" s="41" t="s">
        <v>234</v>
      </c>
      <c r="V167" s="41" t="s">
        <v>234</v>
      </c>
      <c r="W167" s="41" t="s">
        <v>234</v>
      </c>
      <c r="X167" s="43">
        <v>0</v>
      </c>
      <c r="Y167" s="41" t="s">
        <v>97</v>
      </c>
      <c r="Z167" s="41" t="s">
        <v>97</v>
      </c>
      <c r="AA167" s="41" t="s">
        <v>113</v>
      </c>
      <c r="AB167" s="39" t="s">
        <v>46</v>
      </c>
      <c r="AC167" s="44" t="s">
        <v>46</v>
      </c>
    </row>
    <row r="168" spans="1:29" x14ac:dyDescent="0.25">
      <c r="A168" s="45" t="s">
        <v>952</v>
      </c>
      <c r="B168" s="46" t="s">
        <v>158</v>
      </c>
      <c r="C168" s="46" t="s">
        <v>157</v>
      </c>
      <c r="D168" s="47" t="s">
        <v>881</v>
      </c>
      <c r="E168" s="47" t="s">
        <v>289</v>
      </c>
      <c r="F168" s="46" t="s">
        <v>953</v>
      </c>
      <c r="G168" s="46" t="s">
        <v>954</v>
      </c>
      <c r="H168" s="47" t="s">
        <v>126</v>
      </c>
      <c r="I168" s="47" t="s">
        <v>325</v>
      </c>
      <c r="J168" s="46" t="s">
        <v>955</v>
      </c>
      <c r="K168" s="47" t="s">
        <v>885</v>
      </c>
      <c r="L168" s="48" t="s">
        <v>122</v>
      </c>
      <c r="M168" s="46" t="s">
        <v>855</v>
      </c>
      <c r="N168" s="48" t="s">
        <v>90</v>
      </c>
      <c r="O168" s="49">
        <v>6</v>
      </c>
      <c r="P168" s="48" t="s">
        <v>46</v>
      </c>
      <c r="Q168" s="41" t="s">
        <v>66</v>
      </c>
      <c r="R168" s="41" t="s">
        <v>234</v>
      </c>
      <c r="S168" s="41" t="s">
        <v>234</v>
      </c>
      <c r="T168" s="41" t="s">
        <v>234</v>
      </c>
      <c r="U168" s="41" t="s">
        <v>234</v>
      </c>
      <c r="V168" s="41" t="s">
        <v>234</v>
      </c>
      <c r="W168" s="41" t="s">
        <v>234</v>
      </c>
      <c r="X168" s="43">
        <v>0</v>
      </c>
      <c r="Y168" s="41" t="s">
        <v>97</v>
      </c>
      <c r="Z168" s="41" t="s">
        <v>97</v>
      </c>
      <c r="AA168" s="41" t="s">
        <v>113</v>
      </c>
      <c r="AB168" s="39" t="s">
        <v>46</v>
      </c>
      <c r="AC168" s="44" t="s">
        <v>46</v>
      </c>
    </row>
    <row r="169" spans="1:29" x14ac:dyDescent="0.25">
      <c r="A169" s="38" t="s">
        <v>956</v>
      </c>
      <c r="B169" s="39" t="s">
        <v>158</v>
      </c>
      <c r="C169" s="39" t="s">
        <v>157</v>
      </c>
      <c r="D169" s="40" t="s">
        <v>881</v>
      </c>
      <c r="E169" s="40" t="s">
        <v>124</v>
      </c>
      <c r="F169" s="39" t="s">
        <v>957</v>
      </c>
      <c r="G169" s="39" t="s">
        <v>958</v>
      </c>
      <c r="H169" s="40" t="s">
        <v>126</v>
      </c>
      <c r="I169" s="40" t="s">
        <v>325</v>
      </c>
      <c r="J169" s="39" t="s">
        <v>959</v>
      </c>
      <c r="K169" s="40" t="s">
        <v>885</v>
      </c>
      <c r="L169" s="41" t="s">
        <v>122</v>
      </c>
      <c r="M169" s="39" t="s">
        <v>855</v>
      </c>
      <c r="N169" s="41" t="s">
        <v>90</v>
      </c>
      <c r="O169" s="42">
        <v>5</v>
      </c>
      <c r="P169" s="41" t="s">
        <v>46</v>
      </c>
      <c r="Q169" s="41" t="s">
        <v>66</v>
      </c>
      <c r="R169" s="41" t="s">
        <v>234</v>
      </c>
      <c r="S169" s="41" t="s">
        <v>234</v>
      </c>
      <c r="T169" s="41" t="s">
        <v>234</v>
      </c>
      <c r="U169" s="41" t="s">
        <v>234</v>
      </c>
      <c r="V169" s="41" t="s">
        <v>234</v>
      </c>
      <c r="W169" s="41" t="s">
        <v>234</v>
      </c>
      <c r="X169" s="43">
        <v>0</v>
      </c>
      <c r="Y169" s="41" t="s">
        <v>97</v>
      </c>
      <c r="Z169" s="41" t="s">
        <v>97</v>
      </c>
      <c r="AA169" s="41" t="s">
        <v>113</v>
      </c>
      <c r="AB169" s="39" t="s">
        <v>46</v>
      </c>
      <c r="AC169" s="44" t="s">
        <v>46</v>
      </c>
    </row>
    <row r="170" spans="1:29" x14ac:dyDescent="0.25">
      <c r="A170" s="45" t="s">
        <v>960</v>
      </c>
      <c r="B170" s="46" t="s">
        <v>158</v>
      </c>
      <c r="C170" s="46" t="s">
        <v>157</v>
      </c>
      <c r="D170" s="47" t="s">
        <v>881</v>
      </c>
      <c r="E170" s="47" t="s">
        <v>124</v>
      </c>
      <c r="F170" s="46" t="s">
        <v>961</v>
      </c>
      <c r="G170" s="46" t="s">
        <v>962</v>
      </c>
      <c r="H170" s="47" t="s">
        <v>126</v>
      </c>
      <c r="I170" s="47" t="s">
        <v>325</v>
      </c>
      <c r="J170" s="46" t="s">
        <v>963</v>
      </c>
      <c r="K170" s="47" t="s">
        <v>885</v>
      </c>
      <c r="L170" s="48" t="s">
        <v>122</v>
      </c>
      <c r="M170" s="46" t="s">
        <v>855</v>
      </c>
      <c r="N170" s="48" t="s">
        <v>90</v>
      </c>
      <c r="O170" s="49">
        <v>5</v>
      </c>
      <c r="P170" s="48" t="s">
        <v>46</v>
      </c>
      <c r="Q170" s="41" t="s">
        <v>66</v>
      </c>
      <c r="R170" s="41" t="s">
        <v>234</v>
      </c>
      <c r="S170" s="41" t="s">
        <v>234</v>
      </c>
      <c r="T170" s="41" t="s">
        <v>234</v>
      </c>
      <c r="U170" s="41" t="s">
        <v>234</v>
      </c>
      <c r="V170" s="41" t="s">
        <v>234</v>
      </c>
      <c r="W170" s="41" t="s">
        <v>234</v>
      </c>
      <c r="X170" s="43">
        <v>0</v>
      </c>
      <c r="Y170" s="41" t="s">
        <v>97</v>
      </c>
      <c r="Z170" s="41" t="s">
        <v>97</v>
      </c>
      <c r="AA170" s="41" t="s">
        <v>113</v>
      </c>
      <c r="AB170" s="39" t="s">
        <v>964</v>
      </c>
      <c r="AC170" s="44" t="s">
        <v>46</v>
      </c>
    </row>
    <row r="171" spans="1:29" x14ac:dyDescent="0.25">
      <c r="A171" s="38" t="s">
        <v>965</v>
      </c>
      <c r="B171" s="39" t="s">
        <v>158</v>
      </c>
      <c r="C171" s="39" t="s">
        <v>157</v>
      </c>
      <c r="D171" s="40" t="s">
        <v>881</v>
      </c>
      <c r="E171" s="40" t="s">
        <v>124</v>
      </c>
      <c r="F171" s="39" t="s">
        <v>966</v>
      </c>
      <c r="G171" s="39" t="s">
        <v>967</v>
      </c>
      <c r="H171" s="40" t="s">
        <v>126</v>
      </c>
      <c r="I171" s="40" t="s">
        <v>325</v>
      </c>
      <c r="J171" s="39" t="s">
        <v>968</v>
      </c>
      <c r="K171" s="40" t="s">
        <v>885</v>
      </c>
      <c r="L171" s="41" t="s">
        <v>122</v>
      </c>
      <c r="M171" s="39" t="s">
        <v>855</v>
      </c>
      <c r="N171" s="41" t="s">
        <v>90</v>
      </c>
      <c r="O171" s="42">
        <v>6</v>
      </c>
      <c r="P171" s="41" t="s">
        <v>46</v>
      </c>
      <c r="Q171" s="41" t="s">
        <v>66</v>
      </c>
      <c r="R171" s="41" t="s">
        <v>234</v>
      </c>
      <c r="S171" s="41" t="s">
        <v>234</v>
      </c>
      <c r="T171" s="41" t="s">
        <v>234</v>
      </c>
      <c r="U171" s="41" t="s">
        <v>234</v>
      </c>
      <c r="V171" s="41" t="s">
        <v>234</v>
      </c>
      <c r="W171" s="41" t="s">
        <v>234</v>
      </c>
      <c r="X171" s="43">
        <v>0</v>
      </c>
      <c r="Y171" s="41" t="s">
        <v>97</v>
      </c>
      <c r="Z171" s="41" t="s">
        <v>97</v>
      </c>
      <c r="AA171" s="41" t="s">
        <v>113</v>
      </c>
      <c r="AB171" s="39" t="s">
        <v>46</v>
      </c>
      <c r="AC171" s="44" t="s">
        <v>46</v>
      </c>
    </row>
    <row r="172" spans="1:29" x14ac:dyDescent="0.25">
      <c r="A172" s="45" t="s">
        <v>969</v>
      </c>
      <c r="B172" s="46" t="s">
        <v>158</v>
      </c>
      <c r="C172" s="46" t="s">
        <v>157</v>
      </c>
      <c r="D172" s="47" t="s">
        <v>881</v>
      </c>
      <c r="E172" s="47" t="s">
        <v>135</v>
      </c>
      <c r="F172" s="46" t="s">
        <v>970</v>
      </c>
      <c r="G172" s="46" t="s">
        <v>971</v>
      </c>
      <c r="H172" s="47" t="s">
        <v>123</v>
      </c>
      <c r="I172" s="47" t="s">
        <v>135</v>
      </c>
      <c r="J172" s="46" t="s">
        <v>972</v>
      </c>
      <c r="K172" s="47" t="s">
        <v>973</v>
      </c>
      <c r="L172" s="48" t="s">
        <v>122</v>
      </c>
      <c r="M172" s="46" t="s">
        <v>855</v>
      </c>
      <c r="N172" s="48" t="s">
        <v>90</v>
      </c>
      <c r="O172" s="49">
        <v>10</v>
      </c>
      <c r="P172" s="48" t="s">
        <v>46</v>
      </c>
      <c r="Q172" s="41" t="s">
        <v>66</v>
      </c>
      <c r="R172" s="41" t="s">
        <v>234</v>
      </c>
      <c r="S172" s="41" t="s">
        <v>234</v>
      </c>
      <c r="T172" s="41" t="s">
        <v>234</v>
      </c>
      <c r="U172" s="41" t="s">
        <v>234</v>
      </c>
      <c r="V172" s="41" t="s">
        <v>234</v>
      </c>
      <c r="W172" s="41" t="s">
        <v>234</v>
      </c>
      <c r="X172" s="43">
        <v>0</v>
      </c>
      <c r="Y172" s="41" t="s">
        <v>97</v>
      </c>
      <c r="Z172" s="41" t="s">
        <v>97</v>
      </c>
      <c r="AA172" s="41" t="s">
        <v>113</v>
      </c>
      <c r="AB172" s="39" t="s">
        <v>46</v>
      </c>
      <c r="AC172" s="44" t="s">
        <v>46</v>
      </c>
    </row>
    <row r="173" spans="1:29" x14ac:dyDescent="0.25">
      <c r="A173" s="38" t="s">
        <v>974</v>
      </c>
      <c r="B173" s="39" t="s">
        <v>158</v>
      </c>
      <c r="C173" s="39" t="s">
        <v>157</v>
      </c>
      <c r="D173" s="40" t="s">
        <v>881</v>
      </c>
      <c r="E173" s="40" t="s">
        <v>135</v>
      </c>
      <c r="F173" s="39" t="s">
        <v>975</v>
      </c>
      <c r="G173" s="39" t="s">
        <v>976</v>
      </c>
      <c r="H173" s="40" t="s">
        <v>123</v>
      </c>
      <c r="I173" s="40" t="s">
        <v>135</v>
      </c>
      <c r="J173" s="39" t="s">
        <v>977</v>
      </c>
      <c r="K173" s="40" t="s">
        <v>978</v>
      </c>
      <c r="L173" s="41" t="s">
        <v>122</v>
      </c>
      <c r="M173" s="39" t="s">
        <v>855</v>
      </c>
      <c r="N173" s="41" t="s">
        <v>91</v>
      </c>
      <c r="O173" s="42">
        <v>12</v>
      </c>
      <c r="P173" s="41" t="s">
        <v>46</v>
      </c>
      <c r="Q173" s="41" t="s">
        <v>66</v>
      </c>
      <c r="R173" s="41" t="s">
        <v>234</v>
      </c>
      <c r="S173" s="41" t="s">
        <v>234</v>
      </c>
      <c r="T173" s="41" t="s">
        <v>234</v>
      </c>
      <c r="U173" s="41" t="s">
        <v>234</v>
      </c>
      <c r="V173" s="41" t="s">
        <v>234</v>
      </c>
      <c r="W173" s="41" t="s">
        <v>234</v>
      </c>
      <c r="X173" s="43">
        <v>0</v>
      </c>
      <c r="Y173" s="41" t="s">
        <v>97</v>
      </c>
      <c r="Z173" s="41" t="s">
        <v>97</v>
      </c>
      <c r="AA173" s="41" t="s">
        <v>113</v>
      </c>
      <c r="AB173" s="39" t="s">
        <v>46</v>
      </c>
      <c r="AC173" s="44" t="s">
        <v>46</v>
      </c>
    </row>
    <row r="174" spans="1:29" x14ac:dyDescent="0.25">
      <c r="A174" s="45" t="s">
        <v>979</v>
      </c>
      <c r="B174" s="46" t="s">
        <v>158</v>
      </c>
      <c r="C174" s="46" t="s">
        <v>157</v>
      </c>
      <c r="D174" s="47" t="s">
        <v>881</v>
      </c>
      <c r="E174" s="47" t="s">
        <v>123</v>
      </c>
      <c r="F174" s="46" t="s">
        <v>980</v>
      </c>
      <c r="G174" s="46" t="s">
        <v>981</v>
      </c>
      <c r="H174" s="47" t="s">
        <v>123</v>
      </c>
      <c r="I174" s="47" t="s">
        <v>307</v>
      </c>
      <c r="J174" s="46" t="s">
        <v>982</v>
      </c>
      <c r="K174" s="47" t="s">
        <v>885</v>
      </c>
      <c r="L174" s="48" t="s">
        <v>122</v>
      </c>
      <c r="M174" s="46" t="s">
        <v>855</v>
      </c>
      <c r="N174" s="48" t="s">
        <v>91</v>
      </c>
      <c r="O174" s="49">
        <v>10</v>
      </c>
      <c r="P174" s="48" t="s">
        <v>46</v>
      </c>
      <c r="Q174" s="41" t="s">
        <v>66</v>
      </c>
      <c r="R174" s="41" t="s">
        <v>234</v>
      </c>
      <c r="S174" s="41" t="s">
        <v>234</v>
      </c>
      <c r="T174" s="41" t="s">
        <v>234</v>
      </c>
      <c r="U174" s="41" t="s">
        <v>234</v>
      </c>
      <c r="V174" s="41" t="s">
        <v>234</v>
      </c>
      <c r="W174" s="41" t="s">
        <v>234</v>
      </c>
      <c r="X174" s="43">
        <v>0</v>
      </c>
      <c r="Y174" s="41" t="s">
        <v>97</v>
      </c>
      <c r="Z174" s="41" t="s">
        <v>97</v>
      </c>
      <c r="AA174" s="41" t="s">
        <v>113</v>
      </c>
      <c r="AB174" s="39" t="s">
        <v>46</v>
      </c>
      <c r="AC174" s="44" t="s">
        <v>46</v>
      </c>
    </row>
    <row r="175" spans="1:29" x14ac:dyDescent="0.25">
      <c r="A175" s="38" t="s">
        <v>983</v>
      </c>
      <c r="B175" s="39" t="s">
        <v>158</v>
      </c>
      <c r="C175" s="39" t="s">
        <v>157</v>
      </c>
      <c r="D175" s="40" t="s">
        <v>881</v>
      </c>
      <c r="E175" s="40" t="s">
        <v>56</v>
      </c>
      <c r="F175" s="39" t="s">
        <v>984</v>
      </c>
      <c r="G175" s="39" t="s">
        <v>985</v>
      </c>
      <c r="H175" s="40" t="s">
        <v>132</v>
      </c>
      <c r="I175" s="40" t="s">
        <v>522</v>
      </c>
      <c r="J175" s="39" t="s">
        <v>986</v>
      </c>
      <c r="K175" s="40" t="s">
        <v>885</v>
      </c>
      <c r="L175" s="41" t="s">
        <v>122</v>
      </c>
      <c r="M175" s="39" t="s">
        <v>855</v>
      </c>
      <c r="N175" s="41" t="s">
        <v>91</v>
      </c>
      <c r="O175" s="42">
        <v>16</v>
      </c>
      <c r="P175" s="41" t="s">
        <v>46</v>
      </c>
      <c r="Q175" s="41" t="s">
        <v>66</v>
      </c>
      <c r="R175" s="41" t="s">
        <v>234</v>
      </c>
      <c r="S175" s="41" t="s">
        <v>234</v>
      </c>
      <c r="T175" s="41" t="s">
        <v>234</v>
      </c>
      <c r="U175" s="41" t="s">
        <v>234</v>
      </c>
      <c r="V175" s="41" t="s">
        <v>234</v>
      </c>
      <c r="W175" s="41" t="s">
        <v>234</v>
      </c>
      <c r="X175" s="43">
        <v>0</v>
      </c>
      <c r="Y175" s="41" t="s">
        <v>97</v>
      </c>
      <c r="Z175" s="41" t="s">
        <v>97</v>
      </c>
      <c r="AA175" s="41" t="s">
        <v>113</v>
      </c>
      <c r="AB175" s="39" t="s">
        <v>46</v>
      </c>
      <c r="AC175" s="44" t="s">
        <v>46</v>
      </c>
    </row>
    <row r="176" spans="1:29" x14ac:dyDescent="0.25">
      <c r="A176" s="45" t="s">
        <v>987</v>
      </c>
      <c r="B176" s="46" t="s">
        <v>158</v>
      </c>
      <c r="C176" s="46" t="s">
        <v>159</v>
      </c>
      <c r="D176" s="47" t="s">
        <v>988</v>
      </c>
      <c r="E176" s="47" t="s">
        <v>124</v>
      </c>
      <c r="F176" s="46" t="s">
        <v>989</v>
      </c>
      <c r="G176" s="46" t="s">
        <v>990</v>
      </c>
      <c r="H176" s="47" t="s">
        <v>126</v>
      </c>
      <c r="I176" s="47" t="s">
        <v>325</v>
      </c>
      <c r="J176" s="46" t="s">
        <v>991</v>
      </c>
      <c r="K176" s="47" t="s">
        <v>992</v>
      </c>
      <c r="L176" s="48" t="s">
        <v>122</v>
      </c>
      <c r="M176" s="46" t="s">
        <v>993</v>
      </c>
      <c r="N176" s="48" t="s">
        <v>91</v>
      </c>
      <c r="O176" s="49">
        <v>5</v>
      </c>
      <c r="P176" s="48" t="s">
        <v>46</v>
      </c>
      <c r="Q176" s="41" t="s">
        <v>66</v>
      </c>
      <c r="R176" s="41" t="s">
        <v>234</v>
      </c>
      <c r="S176" s="41" t="s">
        <v>234</v>
      </c>
      <c r="T176" s="41" t="s">
        <v>234</v>
      </c>
      <c r="U176" s="41" t="s">
        <v>234</v>
      </c>
      <c r="V176" s="41" t="s">
        <v>234</v>
      </c>
      <c r="W176" s="41" t="s">
        <v>234</v>
      </c>
      <c r="X176" s="43">
        <v>0</v>
      </c>
      <c r="Y176" s="41" t="s">
        <v>97</v>
      </c>
      <c r="Z176" s="41" t="s">
        <v>97</v>
      </c>
      <c r="AA176" s="41" t="s">
        <v>113</v>
      </c>
      <c r="AB176" s="39" t="s">
        <v>46</v>
      </c>
      <c r="AC176" s="44" t="s">
        <v>46</v>
      </c>
    </row>
    <row r="177" spans="1:29" x14ac:dyDescent="0.25">
      <c r="A177" s="38" t="s">
        <v>994</v>
      </c>
      <c r="B177" s="39" t="s">
        <v>158</v>
      </c>
      <c r="C177" s="39" t="s">
        <v>159</v>
      </c>
      <c r="D177" s="40" t="s">
        <v>988</v>
      </c>
      <c r="E177" s="40" t="s">
        <v>124</v>
      </c>
      <c r="F177" s="39" t="s">
        <v>995</v>
      </c>
      <c r="G177" s="39" t="s">
        <v>996</v>
      </c>
      <c r="H177" s="40" t="s">
        <v>126</v>
      </c>
      <c r="I177" s="40" t="s">
        <v>325</v>
      </c>
      <c r="J177" s="39" t="s">
        <v>997</v>
      </c>
      <c r="K177" s="40" t="s">
        <v>992</v>
      </c>
      <c r="L177" s="41" t="s">
        <v>122</v>
      </c>
      <c r="M177" s="39" t="s">
        <v>993</v>
      </c>
      <c r="N177" s="41" t="s">
        <v>91</v>
      </c>
      <c r="O177" s="42">
        <v>6</v>
      </c>
      <c r="P177" s="41" t="s">
        <v>46</v>
      </c>
      <c r="Q177" s="41" t="s">
        <v>66</v>
      </c>
      <c r="R177" s="41" t="s">
        <v>234</v>
      </c>
      <c r="S177" s="41" t="s">
        <v>234</v>
      </c>
      <c r="T177" s="41" t="s">
        <v>234</v>
      </c>
      <c r="U177" s="41" t="s">
        <v>234</v>
      </c>
      <c r="V177" s="41" t="s">
        <v>234</v>
      </c>
      <c r="W177" s="41" t="s">
        <v>234</v>
      </c>
      <c r="X177" s="43">
        <v>0</v>
      </c>
      <c r="Y177" s="41" t="s">
        <v>97</v>
      </c>
      <c r="Z177" s="41" t="s">
        <v>97</v>
      </c>
      <c r="AA177" s="41" t="s">
        <v>113</v>
      </c>
      <c r="AB177" s="39" t="s">
        <v>46</v>
      </c>
      <c r="AC177" s="44" t="s">
        <v>46</v>
      </c>
    </row>
    <row r="178" spans="1:29" x14ac:dyDescent="0.25">
      <c r="A178" s="45" t="s">
        <v>998</v>
      </c>
      <c r="B178" s="46" t="s">
        <v>158</v>
      </c>
      <c r="C178" s="46" t="s">
        <v>159</v>
      </c>
      <c r="D178" s="47" t="s">
        <v>988</v>
      </c>
      <c r="E178" s="47" t="s">
        <v>124</v>
      </c>
      <c r="F178" s="46" t="s">
        <v>999</v>
      </c>
      <c r="G178" s="46" t="s">
        <v>1000</v>
      </c>
      <c r="H178" s="47" t="s">
        <v>126</v>
      </c>
      <c r="I178" s="47" t="s">
        <v>325</v>
      </c>
      <c r="J178" s="46" t="s">
        <v>1001</v>
      </c>
      <c r="K178" s="47" t="s">
        <v>992</v>
      </c>
      <c r="L178" s="48" t="s">
        <v>122</v>
      </c>
      <c r="M178" s="46" t="s">
        <v>993</v>
      </c>
      <c r="N178" s="48" t="s">
        <v>91</v>
      </c>
      <c r="O178" s="49">
        <v>4</v>
      </c>
      <c r="P178" s="48" t="s">
        <v>46</v>
      </c>
      <c r="Q178" s="41" t="s">
        <v>66</v>
      </c>
      <c r="R178" s="41" t="s">
        <v>234</v>
      </c>
      <c r="S178" s="41" t="s">
        <v>234</v>
      </c>
      <c r="T178" s="41" t="s">
        <v>234</v>
      </c>
      <c r="U178" s="41" t="s">
        <v>234</v>
      </c>
      <c r="V178" s="41" t="s">
        <v>234</v>
      </c>
      <c r="W178" s="41" t="s">
        <v>234</v>
      </c>
      <c r="X178" s="43">
        <v>0</v>
      </c>
      <c r="Y178" s="41" t="s">
        <v>97</v>
      </c>
      <c r="Z178" s="41" t="s">
        <v>97</v>
      </c>
      <c r="AA178" s="41" t="s">
        <v>113</v>
      </c>
      <c r="AB178" s="39" t="s">
        <v>46</v>
      </c>
      <c r="AC178" s="44" t="s">
        <v>46</v>
      </c>
    </row>
    <row r="179" spans="1:29" x14ac:dyDescent="0.25">
      <c r="A179" s="38" t="s">
        <v>1002</v>
      </c>
      <c r="B179" s="39" t="s">
        <v>158</v>
      </c>
      <c r="C179" s="39" t="s">
        <v>159</v>
      </c>
      <c r="D179" s="40" t="s">
        <v>988</v>
      </c>
      <c r="E179" s="40" t="s">
        <v>124</v>
      </c>
      <c r="F179" s="39" t="s">
        <v>1003</v>
      </c>
      <c r="G179" s="39" t="s">
        <v>1004</v>
      </c>
      <c r="H179" s="40" t="s">
        <v>126</v>
      </c>
      <c r="I179" s="40" t="s">
        <v>325</v>
      </c>
      <c r="J179" s="39" t="s">
        <v>1005</v>
      </c>
      <c r="K179" s="40" t="s">
        <v>992</v>
      </c>
      <c r="L179" s="41" t="s">
        <v>122</v>
      </c>
      <c r="M179" s="39" t="s">
        <v>993</v>
      </c>
      <c r="N179" s="41" t="s">
        <v>91</v>
      </c>
      <c r="O179" s="42">
        <v>6</v>
      </c>
      <c r="P179" s="41" t="s">
        <v>46</v>
      </c>
      <c r="Q179" s="41" t="s">
        <v>66</v>
      </c>
      <c r="R179" s="41" t="s">
        <v>234</v>
      </c>
      <c r="S179" s="41" t="s">
        <v>234</v>
      </c>
      <c r="T179" s="41" t="s">
        <v>234</v>
      </c>
      <c r="U179" s="41" t="s">
        <v>234</v>
      </c>
      <c r="V179" s="41" t="s">
        <v>234</v>
      </c>
      <c r="W179" s="41" t="s">
        <v>234</v>
      </c>
      <c r="X179" s="43">
        <v>0</v>
      </c>
      <c r="Y179" s="41" t="s">
        <v>97</v>
      </c>
      <c r="Z179" s="41" t="s">
        <v>97</v>
      </c>
      <c r="AA179" s="41" t="s">
        <v>113</v>
      </c>
      <c r="AB179" s="39" t="s">
        <v>46</v>
      </c>
      <c r="AC179" s="44" t="s">
        <v>46</v>
      </c>
    </row>
    <row r="180" spans="1:29" x14ac:dyDescent="0.25">
      <c r="A180" s="45" t="s">
        <v>1006</v>
      </c>
      <c r="B180" s="46" t="s">
        <v>158</v>
      </c>
      <c r="C180" s="46" t="s">
        <v>159</v>
      </c>
      <c r="D180" s="47" t="s">
        <v>988</v>
      </c>
      <c r="E180" s="47" t="s">
        <v>124</v>
      </c>
      <c r="F180" s="46" t="s">
        <v>1007</v>
      </c>
      <c r="G180" s="46" t="s">
        <v>1008</v>
      </c>
      <c r="H180" s="47" t="s">
        <v>126</v>
      </c>
      <c r="I180" s="47" t="s">
        <v>325</v>
      </c>
      <c r="J180" s="46" t="s">
        <v>1009</v>
      </c>
      <c r="K180" s="47" t="s">
        <v>992</v>
      </c>
      <c r="L180" s="48" t="s">
        <v>122</v>
      </c>
      <c r="M180" s="46" t="s">
        <v>993</v>
      </c>
      <c r="N180" s="48" t="s">
        <v>92</v>
      </c>
      <c r="O180" s="49">
        <v>5</v>
      </c>
      <c r="P180" s="48" t="s">
        <v>46</v>
      </c>
      <c r="Q180" s="41" t="s">
        <v>66</v>
      </c>
      <c r="R180" s="41" t="s">
        <v>234</v>
      </c>
      <c r="S180" s="41" t="s">
        <v>234</v>
      </c>
      <c r="T180" s="41" t="s">
        <v>234</v>
      </c>
      <c r="U180" s="41" t="s">
        <v>234</v>
      </c>
      <c r="V180" s="41" t="s">
        <v>234</v>
      </c>
      <c r="W180" s="41" t="s">
        <v>234</v>
      </c>
      <c r="X180" s="43">
        <v>0</v>
      </c>
      <c r="Y180" s="41" t="s">
        <v>97</v>
      </c>
      <c r="Z180" s="41" t="s">
        <v>97</v>
      </c>
      <c r="AA180" s="41" t="s">
        <v>113</v>
      </c>
      <c r="AB180" s="39" t="s">
        <v>46</v>
      </c>
      <c r="AC180" s="44" t="s">
        <v>46</v>
      </c>
    </row>
    <row r="181" spans="1:29" x14ac:dyDescent="0.25">
      <c r="A181" s="38" t="s">
        <v>1010</v>
      </c>
      <c r="B181" s="39" t="s">
        <v>158</v>
      </c>
      <c r="C181" s="39" t="s">
        <v>159</v>
      </c>
      <c r="D181" s="40" t="s">
        <v>988</v>
      </c>
      <c r="E181" s="40" t="s">
        <v>131</v>
      </c>
      <c r="F181" s="39" t="s">
        <v>1011</v>
      </c>
      <c r="G181" s="39" t="s">
        <v>1012</v>
      </c>
      <c r="H181" s="40" t="s">
        <v>126</v>
      </c>
      <c r="I181" s="40" t="s">
        <v>469</v>
      </c>
      <c r="J181" s="39" t="s">
        <v>1013</v>
      </c>
      <c r="K181" s="40" t="s">
        <v>992</v>
      </c>
      <c r="L181" s="41" t="s">
        <v>122</v>
      </c>
      <c r="M181" s="39" t="s">
        <v>993</v>
      </c>
      <c r="N181" s="41" t="s">
        <v>91</v>
      </c>
      <c r="O181" s="42">
        <v>6</v>
      </c>
      <c r="P181" s="41" t="s">
        <v>46</v>
      </c>
      <c r="Q181" s="41" t="s">
        <v>66</v>
      </c>
      <c r="R181" s="41" t="s">
        <v>234</v>
      </c>
      <c r="S181" s="41" t="s">
        <v>234</v>
      </c>
      <c r="T181" s="41" t="s">
        <v>234</v>
      </c>
      <c r="U181" s="41" t="s">
        <v>234</v>
      </c>
      <c r="V181" s="41" t="s">
        <v>234</v>
      </c>
      <c r="W181" s="41" t="s">
        <v>234</v>
      </c>
      <c r="X181" s="43">
        <v>0</v>
      </c>
      <c r="Y181" s="41" t="s">
        <v>97</v>
      </c>
      <c r="Z181" s="41" t="s">
        <v>97</v>
      </c>
      <c r="AA181" s="41" t="s">
        <v>113</v>
      </c>
      <c r="AB181" s="39" t="s">
        <v>46</v>
      </c>
      <c r="AC181" s="44" t="s">
        <v>46</v>
      </c>
    </row>
    <row r="182" spans="1:29" x14ac:dyDescent="0.25">
      <c r="A182" s="45" t="s">
        <v>1014</v>
      </c>
      <c r="B182" s="46" t="s">
        <v>158</v>
      </c>
      <c r="C182" s="46" t="s">
        <v>159</v>
      </c>
      <c r="D182" s="47" t="s">
        <v>988</v>
      </c>
      <c r="E182" s="47" t="s">
        <v>135</v>
      </c>
      <c r="F182" s="46" t="s">
        <v>1015</v>
      </c>
      <c r="G182" s="46" t="s">
        <v>1016</v>
      </c>
      <c r="H182" s="47" t="s">
        <v>123</v>
      </c>
      <c r="I182" s="47" t="s">
        <v>135</v>
      </c>
      <c r="J182" s="46" t="s">
        <v>1017</v>
      </c>
      <c r="K182" s="47" t="s">
        <v>992</v>
      </c>
      <c r="L182" s="48" t="s">
        <v>122</v>
      </c>
      <c r="M182" s="46" t="s">
        <v>993</v>
      </c>
      <c r="N182" s="48" t="s">
        <v>92</v>
      </c>
      <c r="O182" s="49">
        <v>10</v>
      </c>
      <c r="P182" s="48" t="s">
        <v>46</v>
      </c>
      <c r="Q182" s="41" t="s">
        <v>66</v>
      </c>
      <c r="R182" s="41" t="s">
        <v>234</v>
      </c>
      <c r="S182" s="41" t="s">
        <v>234</v>
      </c>
      <c r="T182" s="41" t="s">
        <v>234</v>
      </c>
      <c r="U182" s="41" t="s">
        <v>234</v>
      </c>
      <c r="V182" s="41" t="s">
        <v>234</v>
      </c>
      <c r="W182" s="41" t="s">
        <v>234</v>
      </c>
      <c r="X182" s="43">
        <v>0</v>
      </c>
      <c r="Y182" s="41" t="s">
        <v>97</v>
      </c>
      <c r="Z182" s="41" t="s">
        <v>97</v>
      </c>
      <c r="AA182" s="41" t="s">
        <v>113</v>
      </c>
      <c r="AB182" s="39" t="s">
        <v>46</v>
      </c>
      <c r="AC182" s="44" t="s">
        <v>46</v>
      </c>
    </row>
    <row r="183" spans="1:29" x14ac:dyDescent="0.25">
      <c r="A183" s="38" t="s">
        <v>1018</v>
      </c>
      <c r="B183" s="39" t="s">
        <v>158</v>
      </c>
      <c r="C183" s="39" t="s">
        <v>159</v>
      </c>
      <c r="D183" s="40" t="s">
        <v>988</v>
      </c>
      <c r="E183" s="40" t="s">
        <v>135</v>
      </c>
      <c r="F183" s="39" t="s">
        <v>1019</v>
      </c>
      <c r="G183" s="39" t="s">
        <v>1020</v>
      </c>
      <c r="H183" s="40" t="s">
        <v>123</v>
      </c>
      <c r="I183" s="40" t="s">
        <v>135</v>
      </c>
      <c r="J183" s="39" t="s">
        <v>1021</v>
      </c>
      <c r="K183" s="40" t="s">
        <v>992</v>
      </c>
      <c r="L183" s="41" t="s">
        <v>122</v>
      </c>
      <c r="M183" s="39" t="s">
        <v>993</v>
      </c>
      <c r="N183" s="41" t="s">
        <v>92</v>
      </c>
      <c r="O183" s="42">
        <v>12</v>
      </c>
      <c r="P183" s="41" t="s">
        <v>46</v>
      </c>
      <c r="Q183" s="41" t="s">
        <v>66</v>
      </c>
      <c r="R183" s="41" t="s">
        <v>234</v>
      </c>
      <c r="S183" s="41" t="s">
        <v>234</v>
      </c>
      <c r="T183" s="41" t="s">
        <v>234</v>
      </c>
      <c r="U183" s="41" t="s">
        <v>234</v>
      </c>
      <c r="V183" s="41" t="s">
        <v>234</v>
      </c>
      <c r="W183" s="41" t="s">
        <v>234</v>
      </c>
      <c r="X183" s="43">
        <v>0</v>
      </c>
      <c r="Y183" s="41" t="s">
        <v>97</v>
      </c>
      <c r="Z183" s="41" t="s">
        <v>97</v>
      </c>
      <c r="AA183" s="41" t="s">
        <v>113</v>
      </c>
      <c r="AB183" s="39" t="s">
        <v>1022</v>
      </c>
      <c r="AC183" s="44" t="s">
        <v>46</v>
      </c>
    </row>
    <row r="184" spans="1:29" x14ac:dyDescent="0.25">
      <c r="A184" s="45" t="s">
        <v>1023</v>
      </c>
      <c r="B184" s="46" t="s">
        <v>158</v>
      </c>
      <c r="C184" s="46" t="s">
        <v>159</v>
      </c>
      <c r="D184" s="47" t="s">
        <v>988</v>
      </c>
      <c r="E184" s="47" t="s">
        <v>289</v>
      </c>
      <c r="F184" s="46" t="s">
        <v>1024</v>
      </c>
      <c r="G184" s="46" t="s">
        <v>1025</v>
      </c>
      <c r="H184" s="47" t="s">
        <v>123</v>
      </c>
      <c r="I184" s="47" t="s">
        <v>135</v>
      </c>
      <c r="J184" s="46" t="s">
        <v>1026</v>
      </c>
      <c r="K184" s="47" t="s">
        <v>992</v>
      </c>
      <c r="L184" s="48" t="s">
        <v>122</v>
      </c>
      <c r="M184" s="46" t="s">
        <v>1027</v>
      </c>
      <c r="N184" s="48" t="s">
        <v>97</v>
      </c>
      <c r="O184" s="49">
        <v>5</v>
      </c>
      <c r="P184" s="48" t="s">
        <v>46</v>
      </c>
      <c r="Q184" s="41" t="s">
        <v>31</v>
      </c>
      <c r="R184" s="41" t="s">
        <v>234</v>
      </c>
      <c r="S184" s="41" t="s">
        <v>234</v>
      </c>
      <c r="T184" s="41" t="s">
        <v>234</v>
      </c>
      <c r="U184" s="41" t="s">
        <v>234</v>
      </c>
      <c r="V184" s="41" t="s">
        <v>234</v>
      </c>
      <c r="W184" s="41" t="s">
        <v>273</v>
      </c>
      <c r="X184" s="43">
        <v>0</v>
      </c>
      <c r="Y184" s="41" t="s">
        <v>97</v>
      </c>
      <c r="Z184" s="41" t="s">
        <v>97</v>
      </c>
      <c r="AA184" s="41" t="s">
        <v>113</v>
      </c>
      <c r="AB184" s="39" t="s">
        <v>1028</v>
      </c>
      <c r="AC184" s="44" t="s">
        <v>46</v>
      </c>
    </row>
    <row r="185" spans="1:29" x14ac:dyDescent="0.25">
      <c r="A185" s="38" t="s">
        <v>1029</v>
      </c>
      <c r="B185" s="39" t="s">
        <v>158</v>
      </c>
      <c r="C185" s="39" t="s">
        <v>159</v>
      </c>
      <c r="D185" s="40" t="s">
        <v>988</v>
      </c>
      <c r="E185" s="40" t="s">
        <v>56</v>
      </c>
      <c r="F185" s="39" t="s">
        <v>1030</v>
      </c>
      <c r="G185" s="39" t="s">
        <v>1031</v>
      </c>
      <c r="H185" s="40" t="s">
        <v>132</v>
      </c>
      <c r="I185" s="40" t="s">
        <v>522</v>
      </c>
      <c r="J185" s="39" t="s">
        <v>1032</v>
      </c>
      <c r="K185" s="40" t="s">
        <v>992</v>
      </c>
      <c r="L185" s="41" t="s">
        <v>122</v>
      </c>
      <c r="M185" s="39" t="s">
        <v>993</v>
      </c>
      <c r="N185" s="41" t="s">
        <v>92</v>
      </c>
      <c r="O185" s="42">
        <v>8</v>
      </c>
      <c r="P185" s="41" t="s">
        <v>46</v>
      </c>
      <c r="Q185" s="41" t="s">
        <v>66</v>
      </c>
      <c r="R185" s="41" t="s">
        <v>234</v>
      </c>
      <c r="S185" s="41" t="s">
        <v>234</v>
      </c>
      <c r="T185" s="41" t="s">
        <v>234</v>
      </c>
      <c r="U185" s="41" t="s">
        <v>234</v>
      </c>
      <c r="V185" s="41" t="s">
        <v>234</v>
      </c>
      <c r="W185" s="41" t="s">
        <v>234</v>
      </c>
      <c r="X185" s="43">
        <v>0</v>
      </c>
      <c r="Y185" s="41" t="s">
        <v>97</v>
      </c>
      <c r="Z185" s="41" t="s">
        <v>97</v>
      </c>
      <c r="AA185" s="41" t="s">
        <v>113</v>
      </c>
      <c r="AB185" s="39" t="s">
        <v>46</v>
      </c>
      <c r="AC185" s="44" t="s">
        <v>46</v>
      </c>
    </row>
    <row r="186" spans="1:29" x14ac:dyDescent="0.25">
      <c r="A186" s="45" t="s">
        <v>1033</v>
      </c>
      <c r="B186" s="46" t="s">
        <v>161</v>
      </c>
      <c r="C186" s="46" t="s">
        <v>160</v>
      </c>
      <c r="D186" s="47" t="s">
        <v>1034</v>
      </c>
      <c r="E186" s="47" t="s">
        <v>398</v>
      </c>
      <c r="F186" s="46" t="s">
        <v>1035</v>
      </c>
      <c r="G186" s="46" t="s">
        <v>1036</v>
      </c>
      <c r="H186" s="47" t="s">
        <v>128</v>
      </c>
      <c r="I186" s="47" t="s">
        <v>401</v>
      </c>
      <c r="J186" s="46" t="s">
        <v>1037</v>
      </c>
      <c r="K186" s="47" t="s">
        <v>1038</v>
      </c>
      <c r="L186" s="48" t="s">
        <v>122</v>
      </c>
      <c r="M186" s="46" t="s">
        <v>1039</v>
      </c>
      <c r="N186" s="48" t="s">
        <v>91</v>
      </c>
      <c r="O186" s="49">
        <v>5</v>
      </c>
      <c r="P186" s="48" t="s">
        <v>46</v>
      </c>
      <c r="Q186" s="41" t="s">
        <v>66</v>
      </c>
      <c r="R186" s="41" t="s">
        <v>234</v>
      </c>
      <c r="S186" s="41" t="s">
        <v>234</v>
      </c>
      <c r="T186" s="41" t="s">
        <v>234</v>
      </c>
      <c r="U186" s="41" t="s">
        <v>234</v>
      </c>
      <c r="V186" s="41" t="s">
        <v>234</v>
      </c>
      <c r="W186" s="41" t="s">
        <v>234</v>
      </c>
      <c r="X186" s="43">
        <v>0</v>
      </c>
      <c r="Y186" s="41" t="s">
        <v>97</v>
      </c>
      <c r="Z186" s="41" t="s">
        <v>97</v>
      </c>
      <c r="AA186" s="41" t="s">
        <v>113</v>
      </c>
      <c r="AB186" s="39" t="s">
        <v>46</v>
      </c>
      <c r="AC186" s="44" t="s">
        <v>46</v>
      </c>
    </row>
    <row r="187" spans="1:29" x14ac:dyDescent="0.25">
      <c r="A187" s="38" t="s">
        <v>1040</v>
      </c>
      <c r="B187" s="39" t="s">
        <v>161</v>
      </c>
      <c r="C187" s="39" t="s">
        <v>160</v>
      </c>
      <c r="D187" s="40" t="s">
        <v>1034</v>
      </c>
      <c r="E187" s="40" t="s">
        <v>124</v>
      </c>
      <c r="F187" s="39" t="s">
        <v>1041</v>
      </c>
      <c r="G187" s="39" t="s">
        <v>698</v>
      </c>
      <c r="H187" s="40" t="s">
        <v>126</v>
      </c>
      <c r="I187" s="40" t="s">
        <v>364</v>
      </c>
      <c r="J187" s="39" t="s">
        <v>699</v>
      </c>
      <c r="K187" s="40" t="s">
        <v>1038</v>
      </c>
      <c r="L187" s="41" t="s">
        <v>122</v>
      </c>
      <c r="M187" s="39" t="s">
        <v>1039</v>
      </c>
      <c r="N187" s="41" t="s">
        <v>92</v>
      </c>
      <c r="O187" s="42">
        <v>6</v>
      </c>
      <c r="P187" s="41" t="s">
        <v>46</v>
      </c>
      <c r="Q187" s="41" t="s">
        <v>66</v>
      </c>
      <c r="R187" s="41" t="s">
        <v>234</v>
      </c>
      <c r="S187" s="41" t="s">
        <v>234</v>
      </c>
      <c r="T187" s="41" t="s">
        <v>234</v>
      </c>
      <c r="U187" s="41" t="s">
        <v>234</v>
      </c>
      <c r="V187" s="41" t="s">
        <v>234</v>
      </c>
      <c r="W187" s="41" t="s">
        <v>234</v>
      </c>
      <c r="X187" s="43">
        <v>0</v>
      </c>
      <c r="Y187" s="41" t="s">
        <v>97</v>
      </c>
      <c r="Z187" s="41" t="s">
        <v>97</v>
      </c>
      <c r="AA187" s="41" t="s">
        <v>113</v>
      </c>
      <c r="AB187" s="39" t="s">
        <v>46</v>
      </c>
      <c r="AC187" s="44" t="s">
        <v>46</v>
      </c>
    </row>
    <row r="188" spans="1:29" x14ac:dyDescent="0.25">
      <c r="A188" s="45" t="s">
        <v>1042</v>
      </c>
      <c r="B188" s="46" t="s">
        <v>161</v>
      </c>
      <c r="C188" s="46" t="s">
        <v>160</v>
      </c>
      <c r="D188" s="47" t="s">
        <v>1034</v>
      </c>
      <c r="E188" s="47" t="s">
        <v>131</v>
      </c>
      <c r="F188" s="46" t="s">
        <v>1043</v>
      </c>
      <c r="G188" s="46" t="s">
        <v>1044</v>
      </c>
      <c r="H188" s="47" t="s">
        <v>126</v>
      </c>
      <c r="I188" s="47" t="s">
        <v>469</v>
      </c>
      <c r="J188" s="46" t="s">
        <v>1045</v>
      </c>
      <c r="K188" s="47" t="s">
        <v>1038</v>
      </c>
      <c r="L188" s="48" t="s">
        <v>122</v>
      </c>
      <c r="M188" s="46" t="s">
        <v>1039</v>
      </c>
      <c r="N188" s="48" t="s">
        <v>92</v>
      </c>
      <c r="O188" s="49">
        <v>8</v>
      </c>
      <c r="P188" s="48" t="s">
        <v>46</v>
      </c>
      <c r="Q188" s="41" t="s">
        <v>66</v>
      </c>
      <c r="R188" s="41" t="s">
        <v>234</v>
      </c>
      <c r="S188" s="41" t="s">
        <v>234</v>
      </c>
      <c r="T188" s="41" t="s">
        <v>234</v>
      </c>
      <c r="U188" s="41" t="s">
        <v>234</v>
      </c>
      <c r="V188" s="41" t="s">
        <v>234</v>
      </c>
      <c r="W188" s="41" t="s">
        <v>234</v>
      </c>
      <c r="X188" s="43">
        <v>0</v>
      </c>
      <c r="Y188" s="41" t="s">
        <v>97</v>
      </c>
      <c r="Z188" s="41" t="s">
        <v>97</v>
      </c>
      <c r="AA188" s="41" t="s">
        <v>113</v>
      </c>
      <c r="AB188" s="39" t="s">
        <v>46</v>
      </c>
      <c r="AC188" s="44" t="s">
        <v>46</v>
      </c>
    </row>
    <row r="189" spans="1:29" x14ac:dyDescent="0.25">
      <c r="A189" s="38" t="s">
        <v>1046</v>
      </c>
      <c r="B189" s="39" t="s">
        <v>161</v>
      </c>
      <c r="C189" s="39" t="s">
        <v>160</v>
      </c>
      <c r="D189" s="40" t="s">
        <v>1034</v>
      </c>
      <c r="E189" s="40" t="s">
        <v>124</v>
      </c>
      <c r="F189" s="39" t="s">
        <v>1047</v>
      </c>
      <c r="G189" s="39" t="s">
        <v>1048</v>
      </c>
      <c r="H189" s="40" t="s">
        <v>126</v>
      </c>
      <c r="I189" s="40" t="s">
        <v>325</v>
      </c>
      <c r="J189" s="39" t="s">
        <v>1049</v>
      </c>
      <c r="K189" s="40" t="s">
        <v>1038</v>
      </c>
      <c r="L189" s="41" t="s">
        <v>122</v>
      </c>
      <c r="M189" s="39" t="s">
        <v>1039</v>
      </c>
      <c r="N189" s="41" t="s">
        <v>92</v>
      </c>
      <c r="O189" s="42">
        <v>6</v>
      </c>
      <c r="P189" s="41" t="s">
        <v>46</v>
      </c>
      <c r="Q189" s="41" t="s">
        <v>66</v>
      </c>
      <c r="R189" s="41" t="s">
        <v>234</v>
      </c>
      <c r="S189" s="41" t="s">
        <v>234</v>
      </c>
      <c r="T189" s="41" t="s">
        <v>234</v>
      </c>
      <c r="U189" s="41" t="s">
        <v>234</v>
      </c>
      <c r="V189" s="41" t="s">
        <v>234</v>
      </c>
      <c r="W189" s="41" t="s">
        <v>234</v>
      </c>
      <c r="X189" s="43">
        <v>0</v>
      </c>
      <c r="Y189" s="41" t="s">
        <v>97</v>
      </c>
      <c r="Z189" s="41" t="s">
        <v>97</v>
      </c>
      <c r="AA189" s="41" t="s">
        <v>113</v>
      </c>
      <c r="AB189" s="39" t="s">
        <v>46</v>
      </c>
      <c r="AC189" s="44" t="s">
        <v>46</v>
      </c>
    </row>
    <row r="190" spans="1:29" x14ac:dyDescent="0.25">
      <c r="A190" s="45" t="s">
        <v>1050</v>
      </c>
      <c r="B190" s="46" t="s">
        <v>161</v>
      </c>
      <c r="C190" s="46" t="s">
        <v>160</v>
      </c>
      <c r="D190" s="47" t="s">
        <v>1034</v>
      </c>
      <c r="E190" s="47" t="s">
        <v>124</v>
      </c>
      <c r="F190" s="46" t="s">
        <v>1051</v>
      </c>
      <c r="G190" s="46" t="s">
        <v>1052</v>
      </c>
      <c r="H190" s="47" t="s">
        <v>126</v>
      </c>
      <c r="I190" s="47" t="s">
        <v>325</v>
      </c>
      <c r="J190" s="46" t="s">
        <v>1053</v>
      </c>
      <c r="K190" s="47" t="s">
        <v>1038</v>
      </c>
      <c r="L190" s="48" t="s">
        <v>122</v>
      </c>
      <c r="M190" s="46" t="s">
        <v>1039</v>
      </c>
      <c r="N190" s="48" t="s">
        <v>92</v>
      </c>
      <c r="O190" s="49">
        <v>6</v>
      </c>
      <c r="P190" s="48" t="s">
        <v>46</v>
      </c>
      <c r="Q190" s="41" t="s">
        <v>66</v>
      </c>
      <c r="R190" s="41" t="s">
        <v>234</v>
      </c>
      <c r="S190" s="41" t="s">
        <v>234</v>
      </c>
      <c r="T190" s="41" t="s">
        <v>234</v>
      </c>
      <c r="U190" s="41" t="s">
        <v>234</v>
      </c>
      <c r="V190" s="41" t="s">
        <v>234</v>
      </c>
      <c r="W190" s="41" t="s">
        <v>234</v>
      </c>
      <c r="X190" s="43">
        <v>0</v>
      </c>
      <c r="Y190" s="41" t="s">
        <v>97</v>
      </c>
      <c r="Z190" s="41" t="s">
        <v>97</v>
      </c>
      <c r="AA190" s="41" t="s">
        <v>113</v>
      </c>
      <c r="AB190" s="39" t="s">
        <v>46</v>
      </c>
      <c r="AC190" s="44" t="s">
        <v>46</v>
      </c>
    </row>
    <row r="191" spans="1:29" x14ac:dyDescent="0.25">
      <c r="A191" s="38" t="s">
        <v>1054</v>
      </c>
      <c r="B191" s="39" t="s">
        <v>161</v>
      </c>
      <c r="C191" s="39" t="s">
        <v>160</v>
      </c>
      <c r="D191" s="40" t="s">
        <v>1034</v>
      </c>
      <c r="E191" s="40" t="s">
        <v>124</v>
      </c>
      <c r="F191" s="39" t="s">
        <v>1055</v>
      </c>
      <c r="G191" s="39" t="s">
        <v>1056</v>
      </c>
      <c r="H191" s="40" t="s">
        <v>126</v>
      </c>
      <c r="I191" s="40" t="s">
        <v>325</v>
      </c>
      <c r="J191" s="39" t="s">
        <v>1057</v>
      </c>
      <c r="K191" s="40" t="s">
        <v>1038</v>
      </c>
      <c r="L191" s="41" t="s">
        <v>122</v>
      </c>
      <c r="M191" s="39" t="s">
        <v>1039</v>
      </c>
      <c r="N191" s="41" t="s">
        <v>93</v>
      </c>
      <c r="O191" s="42">
        <v>5</v>
      </c>
      <c r="P191" s="41" t="s">
        <v>46</v>
      </c>
      <c r="Q191" s="41" t="s">
        <v>66</v>
      </c>
      <c r="R191" s="41" t="s">
        <v>234</v>
      </c>
      <c r="S191" s="41" t="s">
        <v>234</v>
      </c>
      <c r="T191" s="41" t="s">
        <v>234</v>
      </c>
      <c r="U191" s="41" t="s">
        <v>234</v>
      </c>
      <c r="V191" s="41" t="s">
        <v>234</v>
      </c>
      <c r="W191" s="41" t="s">
        <v>234</v>
      </c>
      <c r="X191" s="43">
        <v>0</v>
      </c>
      <c r="Y191" s="41" t="s">
        <v>97</v>
      </c>
      <c r="Z191" s="41" t="s">
        <v>97</v>
      </c>
      <c r="AA191" s="41" t="s">
        <v>113</v>
      </c>
      <c r="AB191" s="39" t="s">
        <v>46</v>
      </c>
      <c r="AC191" s="44" t="s">
        <v>46</v>
      </c>
    </row>
    <row r="192" spans="1:29" x14ac:dyDescent="0.25">
      <c r="A192" s="45" t="s">
        <v>1058</v>
      </c>
      <c r="B192" s="46" t="s">
        <v>161</v>
      </c>
      <c r="C192" s="46" t="s">
        <v>160</v>
      </c>
      <c r="D192" s="47" t="s">
        <v>1034</v>
      </c>
      <c r="E192" s="47" t="s">
        <v>124</v>
      </c>
      <c r="F192" s="46" t="s">
        <v>1059</v>
      </c>
      <c r="G192" s="46" t="s">
        <v>787</v>
      </c>
      <c r="H192" s="47" t="s">
        <v>126</v>
      </c>
      <c r="I192" s="47" t="s">
        <v>325</v>
      </c>
      <c r="J192" s="46" t="s">
        <v>1060</v>
      </c>
      <c r="K192" s="47" t="s">
        <v>1038</v>
      </c>
      <c r="L192" s="48" t="s">
        <v>122</v>
      </c>
      <c r="M192" s="46" t="s">
        <v>1039</v>
      </c>
      <c r="N192" s="48" t="s">
        <v>93</v>
      </c>
      <c r="O192" s="49">
        <v>5</v>
      </c>
      <c r="P192" s="48" t="s">
        <v>46</v>
      </c>
      <c r="Q192" s="41" t="s">
        <v>66</v>
      </c>
      <c r="R192" s="41" t="s">
        <v>234</v>
      </c>
      <c r="S192" s="41" t="s">
        <v>234</v>
      </c>
      <c r="T192" s="41" t="s">
        <v>234</v>
      </c>
      <c r="U192" s="41" t="s">
        <v>234</v>
      </c>
      <c r="V192" s="41" t="s">
        <v>234</v>
      </c>
      <c r="W192" s="41" t="s">
        <v>234</v>
      </c>
      <c r="X192" s="43">
        <v>0</v>
      </c>
      <c r="Y192" s="41" t="s">
        <v>97</v>
      </c>
      <c r="Z192" s="41" t="s">
        <v>97</v>
      </c>
      <c r="AA192" s="41" t="s">
        <v>113</v>
      </c>
      <c r="AB192" s="39" t="s">
        <v>46</v>
      </c>
      <c r="AC192" s="44" t="s">
        <v>46</v>
      </c>
    </row>
    <row r="193" spans="1:29" x14ac:dyDescent="0.25">
      <c r="A193" s="38" t="s">
        <v>1061</v>
      </c>
      <c r="B193" s="39" t="s">
        <v>161</v>
      </c>
      <c r="C193" s="39" t="s">
        <v>160</v>
      </c>
      <c r="D193" s="40" t="s">
        <v>1034</v>
      </c>
      <c r="E193" s="40" t="s">
        <v>124</v>
      </c>
      <c r="F193" s="39" t="s">
        <v>1062</v>
      </c>
      <c r="G193" s="39" t="s">
        <v>1063</v>
      </c>
      <c r="H193" s="40" t="s">
        <v>126</v>
      </c>
      <c r="I193" s="40" t="s">
        <v>325</v>
      </c>
      <c r="J193" s="39" t="s">
        <v>1064</v>
      </c>
      <c r="K193" s="40" t="s">
        <v>1038</v>
      </c>
      <c r="L193" s="41" t="s">
        <v>122</v>
      </c>
      <c r="M193" s="39" t="s">
        <v>1039</v>
      </c>
      <c r="N193" s="41" t="s">
        <v>93</v>
      </c>
      <c r="O193" s="42">
        <v>5</v>
      </c>
      <c r="P193" s="41" t="s">
        <v>46</v>
      </c>
      <c r="Q193" s="41" t="s">
        <v>66</v>
      </c>
      <c r="R193" s="41" t="s">
        <v>234</v>
      </c>
      <c r="S193" s="41" t="s">
        <v>234</v>
      </c>
      <c r="T193" s="41" t="s">
        <v>234</v>
      </c>
      <c r="U193" s="41" t="s">
        <v>234</v>
      </c>
      <c r="V193" s="41" t="s">
        <v>234</v>
      </c>
      <c r="W193" s="41" t="s">
        <v>234</v>
      </c>
      <c r="X193" s="43">
        <v>0</v>
      </c>
      <c r="Y193" s="41" t="s">
        <v>97</v>
      </c>
      <c r="Z193" s="41" t="s">
        <v>97</v>
      </c>
      <c r="AA193" s="41" t="s">
        <v>113</v>
      </c>
      <c r="AB193" s="39" t="s">
        <v>46</v>
      </c>
      <c r="AC193" s="44" t="s">
        <v>46</v>
      </c>
    </row>
    <row r="194" spans="1:29" x14ac:dyDescent="0.25">
      <c r="A194" s="45" t="s">
        <v>1065</v>
      </c>
      <c r="B194" s="46" t="s">
        <v>161</v>
      </c>
      <c r="C194" s="46" t="s">
        <v>160</v>
      </c>
      <c r="D194" s="47" t="s">
        <v>1034</v>
      </c>
      <c r="E194" s="47" t="s">
        <v>131</v>
      </c>
      <c r="F194" s="46" t="s">
        <v>1066</v>
      </c>
      <c r="G194" s="46" t="s">
        <v>1067</v>
      </c>
      <c r="H194" s="47" t="s">
        <v>126</v>
      </c>
      <c r="I194" s="47" t="s">
        <v>469</v>
      </c>
      <c r="J194" s="46" t="s">
        <v>1068</v>
      </c>
      <c r="K194" s="47" t="s">
        <v>1038</v>
      </c>
      <c r="L194" s="48" t="s">
        <v>122</v>
      </c>
      <c r="M194" s="46" t="s">
        <v>1039</v>
      </c>
      <c r="N194" s="48" t="s">
        <v>93</v>
      </c>
      <c r="O194" s="49">
        <v>6</v>
      </c>
      <c r="P194" s="48" t="s">
        <v>46</v>
      </c>
      <c r="Q194" s="41" t="s">
        <v>66</v>
      </c>
      <c r="R194" s="41" t="s">
        <v>234</v>
      </c>
      <c r="S194" s="41" t="s">
        <v>234</v>
      </c>
      <c r="T194" s="41" t="s">
        <v>234</v>
      </c>
      <c r="U194" s="41" t="s">
        <v>234</v>
      </c>
      <c r="V194" s="41" t="s">
        <v>234</v>
      </c>
      <c r="W194" s="41" t="s">
        <v>234</v>
      </c>
      <c r="X194" s="43">
        <v>0</v>
      </c>
      <c r="Y194" s="41" t="s">
        <v>97</v>
      </c>
      <c r="Z194" s="41" t="s">
        <v>97</v>
      </c>
      <c r="AA194" s="41" t="s">
        <v>113</v>
      </c>
      <c r="AB194" s="39" t="s">
        <v>46</v>
      </c>
      <c r="AC194" s="44" t="s">
        <v>46</v>
      </c>
    </row>
    <row r="195" spans="1:29" x14ac:dyDescent="0.25">
      <c r="A195" s="38" t="s">
        <v>1069</v>
      </c>
      <c r="B195" s="39" t="s">
        <v>161</v>
      </c>
      <c r="C195" s="39" t="s">
        <v>160</v>
      </c>
      <c r="D195" s="40" t="s">
        <v>1034</v>
      </c>
      <c r="E195" s="40" t="s">
        <v>131</v>
      </c>
      <c r="F195" s="39" t="s">
        <v>1070</v>
      </c>
      <c r="G195" s="39" t="s">
        <v>1071</v>
      </c>
      <c r="H195" s="40" t="s">
        <v>126</v>
      </c>
      <c r="I195" s="40" t="s">
        <v>469</v>
      </c>
      <c r="J195" s="39" t="s">
        <v>1068</v>
      </c>
      <c r="K195" s="40" t="s">
        <v>1038</v>
      </c>
      <c r="L195" s="41" t="s">
        <v>122</v>
      </c>
      <c r="M195" s="39" t="s">
        <v>1039</v>
      </c>
      <c r="N195" s="41" t="s">
        <v>93</v>
      </c>
      <c r="O195" s="42">
        <v>5</v>
      </c>
      <c r="P195" s="41" t="s">
        <v>46</v>
      </c>
      <c r="Q195" s="41" t="s">
        <v>66</v>
      </c>
      <c r="R195" s="41" t="s">
        <v>234</v>
      </c>
      <c r="S195" s="41" t="s">
        <v>234</v>
      </c>
      <c r="T195" s="41" t="s">
        <v>234</v>
      </c>
      <c r="U195" s="41" t="s">
        <v>234</v>
      </c>
      <c r="V195" s="41" t="s">
        <v>234</v>
      </c>
      <c r="W195" s="41" t="s">
        <v>234</v>
      </c>
      <c r="X195" s="43">
        <v>0</v>
      </c>
      <c r="Y195" s="41" t="s">
        <v>97</v>
      </c>
      <c r="Z195" s="41" t="s">
        <v>97</v>
      </c>
      <c r="AA195" s="41" t="s">
        <v>113</v>
      </c>
      <c r="AB195" s="39" t="s">
        <v>46</v>
      </c>
      <c r="AC195" s="44" t="s">
        <v>46</v>
      </c>
    </row>
    <row r="196" spans="1:29" x14ac:dyDescent="0.25">
      <c r="A196" s="45" t="s">
        <v>1072</v>
      </c>
      <c r="B196" s="46" t="s">
        <v>161</v>
      </c>
      <c r="C196" s="46" t="s">
        <v>160</v>
      </c>
      <c r="D196" s="47" t="s">
        <v>1034</v>
      </c>
      <c r="E196" s="47" t="s">
        <v>135</v>
      </c>
      <c r="F196" s="46" t="s">
        <v>1073</v>
      </c>
      <c r="G196" s="46" t="s">
        <v>1074</v>
      </c>
      <c r="H196" s="47" t="s">
        <v>123</v>
      </c>
      <c r="I196" s="47" t="s">
        <v>135</v>
      </c>
      <c r="J196" s="46" t="s">
        <v>1075</v>
      </c>
      <c r="K196" s="47" t="s">
        <v>1038</v>
      </c>
      <c r="L196" s="48" t="s">
        <v>122</v>
      </c>
      <c r="M196" s="46" t="s">
        <v>1039</v>
      </c>
      <c r="N196" s="48" t="s">
        <v>93</v>
      </c>
      <c r="O196" s="49">
        <v>8</v>
      </c>
      <c r="P196" s="48" t="s">
        <v>46</v>
      </c>
      <c r="Q196" s="41" t="s">
        <v>66</v>
      </c>
      <c r="R196" s="41" t="s">
        <v>234</v>
      </c>
      <c r="S196" s="41" t="s">
        <v>234</v>
      </c>
      <c r="T196" s="41" t="s">
        <v>234</v>
      </c>
      <c r="U196" s="41" t="s">
        <v>234</v>
      </c>
      <c r="V196" s="41" t="s">
        <v>234</v>
      </c>
      <c r="W196" s="41" t="s">
        <v>234</v>
      </c>
      <c r="X196" s="43">
        <v>0</v>
      </c>
      <c r="Y196" s="41" t="s">
        <v>97</v>
      </c>
      <c r="Z196" s="41" t="s">
        <v>97</v>
      </c>
      <c r="AA196" s="41" t="s">
        <v>113</v>
      </c>
      <c r="AB196" s="39" t="s">
        <v>1076</v>
      </c>
      <c r="AC196" s="44" t="s">
        <v>46</v>
      </c>
    </row>
    <row r="197" spans="1:29" x14ac:dyDescent="0.25">
      <c r="A197" s="38" t="s">
        <v>1077</v>
      </c>
      <c r="B197" s="39" t="s">
        <v>161</v>
      </c>
      <c r="C197" s="39" t="s">
        <v>160</v>
      </c>
      <c r="D197" s="40" t="s">
        <v>1034</v>
      </c>
      <c r="E197" s="40" t="s">
        <v>135</v>
      </c>
      <c r="F197" s="39" t="s">
        <v>1078</v>
      </c>
      <c r="G197" s="39" t="s">
        <v>1079</v>
      </c>
      <c r="H197" s="40" t="s">
        <v>123</v>
      </c>
      <c r="I197" s="40" t="s">
        <v>135</v>
      </c>
      <c r="J197" s="39" t="s">
        <v>840</v>
      </c>
      <c r="K197" s="40" t="s">
        <v>1038</v>
      </c>
      <c r="L197" s="41" t="s">
        <v>122</v>
      </c>
      <c r="M197" s="39" t="s">
        <v>1039</v>
      </c>
      <c r="N197" s="41" t="s">
        <v>94</v>
      </c>
      <c r="O197" s="42">
        <v>6</v>
      </c>
      <c r="P197" s="41" t="s">
        <v>46</v>
      </c>
      <c r="Q197" s="41" t="s">
        <v>66</v>
      </c>
      <c r="R197" s="41" t="s">
        <v>234</v>
      </c>
      <c r="S197" s="41" t="s">
        <v>234</v>
      </c>
      <c r="T197" s="41" t="s">
        <v>234</v>
      </c>
      <c r="U197" s="41" t="s">
        <v>234</v>
      </c>
      <c r="V197" s="41" t="s">
        <v>234</v>
      </c>
      <c r="W197" s="41" t="s">
        <v>234</v>
      </c>
      <c r="X197" s="43">
        <v>0</v>
      </c>
      <c r="Y197" s="41" t="s">
        <v>97</v>
      </c>
      <c r="Z197" s="41" t="s">
        <v>97</v>
      </c>
      <c r="AA197" s="41" t="s">
        <v>113</v>
      </c>
      <c r="AB197" s="39" t="s">
        <v>1080</v>
      </c>
      <c r="AC197" s="44" t="s">
        <v>46</v>
      </c>
    </row>
    <row r="198" spans="1:29" x14ac:dyDescent="0.25">
      <c r="A198" s="45" t="s">
        <v>1081</v>
      </c>
      <c r="B198" s="46" t="s">
        <v>161</v>
      </c>
      <c r="C198" s="46" t="s">
        <v>160</v>
      </c>
      <c r="D198" s="47" t="s">
        <v>1034</v>
      </c>
      <c r="E198" s="47" t="s">
        <v>56</v>
      </c>
      <c r="F198" s="46" t="s">
        <v>1082</v>
      </c>
      <c r="G198" s="46" t="s">
        <v>1083</v>
      </c>
      <c r="H198" s="47" t="s">
        <v>132</v>
      </c>
      <c r="I198" s="47" t="s">
        <v>522</v>
      </c>
      <c r="J198" s="46" t="s">
        <v>598</v>
      </c>
      <c r="K198" s="47" t="s">
        <v>1038</v>
      </c>
      <c r="L198" s="48" t="s">
        <v>122</v>
      </c>
      <c r="M198" s="46" t="s">
        <v>1039</v>
      </c>
      <c r="N198" s="48" t="s">
        <v>94</v>
      </c>
      <c r="O198" s="49">
        <v>8</v>
      </c>
      <c r="P198" s="48" t="s">
        <v>46</v>
      </c>
      <c r="Q198" s="41" t="s">
        <v>66</v>
      </c>
      <c r="R198" s="41" t="s">
        <v>234</v>
      </c>
      <c r="S198" s="41" t="s">
        <v>234</v>
      </c>
      <c r="T198" s="41" t="s">
        <v>234</v>
      </c>
      <c r="U198" s="41" t="s">
        <v>234</v>
      </c>
      <c r="V198" s="41" t="s">
        <v>234</v>
      </c>
      <c r="W198" s="41" t="s">
        <v>234</v>
      </c>
      <c r="X198" s="43">
        <v>0</v>
      </c>
      <c r="Y198" s="41" t="s">
        <v>97</v>
      </c>
      <c r="Z198" s="41" t="s">
        <v>97</v>
      </c>
      <c r="AA198" s="41" t="s">
        <v>113</v>
      </c>
      <c r="AB198" s="39" t="s">
        <v>46</v>
      </c>
      <c r="AC198" s="44" t="s">
        <v>46</v>
      </c>
    </row>
    <row r="199" spans="1:29" x14ac:dyDescent="0.25">
      <c r="A199" s="38" t="s">
        <v>1084</v>
      </c>
      <c r="B199" s="39" t="s">
        <v>161</v>
      </c>
      <c r="C199" s="39" t="s">
        <v>162</v>
      </c>
      <c r="D199" s="40" t="s">
        <v>1085</v>
      </c>
      <c r="E199" s="40" t="s">
        <v>398</v>
      </c>
      <c r="F199" s="39" t="s">
        <v>1086</v>
      </c>
      <c r="G199" s="39" t="s">
        <v>1087</v>
      </c>
      <c r="H199" s="40" t="s">
        <v>128</v>
      </c>
      <c r="I199" s="40" t="s">
        <v>401</v>
      </c>
      <c r="J199" s="39" t="s">
        <v>1088</v>
      </c>
      <c r="K199" s="40" t="s">
        <v>1089</v>
      </c>
      <c r="L199" s="41" t="s">
        <v>122</v>
      </c>
      <c r="M199" s="39" t="s">
        <v>1090</v>
      </c>
      <c r="N199" s="41" t="s">
        <v>92</v>
      </c>
      <c r="O199" s="42">
        <v>6</v>
      </c>
      <c r="P199" s="41" t="s">
        <v>46</v>
      </c>
      <c r="Q199" s="41" t="s">
        <v>66</v>
      </c>
      <c r="R199" s="41" t="s">
        <v>234</v>
      </c>
      <c r="S199" s="41" t="s">
        <v>234</v>
      </c>
      <c r="T199" s="41" t="s">
        <v>234</v>
      </c>
      <c r="U199" s="41" t="s">
        <v>234</v>
      </c>
      <c r="V199" s="41" t="s">
        <v>234</v>
      </c>
      <c r="W199" s="41" t="s">
        <v>234</v>
      </c>
      <c r="X199" s="43">
        <v>0</v>
      </c>
      <c r="Y199" s="41" t="s">
        <v>97</v>
      </c>
      <c r="Z199" s="41" t="s">
        <v>97</v>
      </c>
      <c r="AA199" s="41" t="s">
        <v>113</v>
      </c>
      <c r="AB199" s="39" t="s">
        <v>46</v>
      </c>
      <c r="AC199" s="44" t="s">
        <v>46</v>
      </c>
    </row>
    <row r="200" spans="1:29" x14ac:dyDescent="0.25">
      <c r="A200" s="45" t="s">
        <v>1091</v>
      </c>
      <c r="B200" s="46" t="s">
        <v>161</v>
      </c>
      <c r="C200" s="46" t="s">
        <v>162</v>
      </c>
      <c r="D200" s="47" t="s">
        <v>1085</v>
      </c>
      <c r="E200" s="47" t="s">
        <v>124</v>
      </c>
      <c r="F200" s="46" t="s">
        <v>1092</v>
      </c>
      <c r="G200" s="46" t="s">
        <v>1093</v>
      </c>
      <c r="H200" s="47" t="s">
        <v>126</v>
      </c>
      <c r="I200" s="47" t="s">
        <v>364</v>
      </c>
      <c r="J200" s="46" t="s">
        <v>1094</v>
      </c>
      <c r="K200" s="47" t="s">
        <v>1089</v>
      </c>
      <c r="L200" s="48" t="s">
        <v>122</v>
      </c>
      <c r="M200" s="46" t="s">
        <v>1090</v>
      </c>
      <c r="N200" s="48" t="s">
        <v>93</v>
      </c>
      <c r="O200" s="49">
        <v>10</v>
      </c>
      <c r="P200" s="48" t="s">
        <v>46</v>
      </c>
      <c r="Q200" s="41" t="s">
        <v>66</v>
      </c>
      <c r="R200" s="41" t="s">
        <v>234</v>
      </c>
      <c r="S200" s="41" t="s">
        <v>234</v>
      </c>
      <c r="T200" s="41" t="s">
        <v>234</v>
      </c>
      <c r="U200" s="41" t="s">
        <v>234</v>
      </c>
      <c r="V200" s="41" t="s">
        <v>234</v>
      </c>
      <c r="W200" s="41" t="s">
        <v>234</v>
      </c>
      <c r="X200" s="43">
        <v>0</v>
      </c>
      <c r="Y200" s="41" t="s">
        <v>97</v>
      </c>
      <c r="Z200" s="41" t="s">
        <v>97</v>
      </c>
      <c r="AA200" s="41" t="s">
        <v>113</v>
      </c>
      <c r="AB200" s="39" t="s">
        <v>46</v>
      </c>
      <c r="AC200" s="44" t="s">
        <v>46</v>
      </c>
    </row>
    <row r="201" spans="1:29" x14ac:dyDescent="0.25">
      <c r="A201" s="38" t="s">
        <v>1095</v>
      </c>
      <c r="B201" s="39" t="s">
        <v>161</v>
      </c>
      <c r="C201" s="39" t="s">
        <v>162</v>
      </c>
      <c r="D201" s="40" t="s">
        <v>1085</v>
      </c>
      <c r="E201" s="40" t="s">
        <v>124</v>
      </c>
      <c r="F201" s="39" t="s">
        <v>1096</v>
      </c>
      <c r="G201" s="39" t="s">
        <v>1097</v>
      </c>
      <c r="H201" s="40" t="s">
        <v>126</v>
      </c>
      <c r="I201" s="40" t="s">
        <v>364</v>
      </c>
      <c r="J201" s="39" t="s">
        <v>1098</v>
      </c>
      <c r="K201" s="40" t="s">
        <v>1089</v>
      </c>
      <c r="L201" s="41" t="s">
        <v>122</v>
      </c>
      <c r="M201" s="39" t="s">
        <v>1090</v>
      </c>
      <c r="N201" s="41" t="s">
        <v>93</v>
      </c>
      <c r="O201" s="42">
        <v>10</v>
      </c>
      <c r="P201" s="41" t="s">
        <v>46</v>
      </c>
      <c r="Q201" s="41" t="s">
        <v>66</v>
      </c>
      <c r="R201" s="41" t="s">
        <v>234</v>
      </c>
      <c r="S201" s="41" t="s">
        <v>234</v>
      </c>
      <c r="T201" s="41" t="s">
        <v>234</v>
      </c>
      <c r="U201" s="41" t="s">
        <v>234</v>
      </c>
      <c r="V201" s="41" t="s">
        <v>234</v>
      </c>
      <c r="W201" s="41" t="s">
        <v>234</v>
      </c>
      <c r="X201" s="43">
        <v>0</v>
      </c>
      <c r="Y201" s="41" t="s">
        <v>97</v>
      </c>
      <c r="Z201" s="41" t="s">
        <v>97</v>
      </c>
      <c r="AA201" s="41" t="s">
        <v>113</v>
      </c>
      <c r="AB201" s="39" t="s">
        <v>46</v>
      </c>
      <c r="AC201" s="44" t="s">
        <v>46</v>
      </c>
    </row>
    <row r="202" spans="1:29" x14ac:dyDescent="0.25">
      <c r="A202" s="45" t="s">
        <v>1099</v>
      </c>
      <c r="B202" s="46" t="s">
        <v>161</v>
      </c>
      <c r="C202" s="46" t="s">
        <v>162</v>
      </c>
      <c r="D202" s="47" t="s">
        <v>1085</v>
      </c>
      <c r="E202" s="47" t="s">
        <v>124</v>
      </c>
      <c r="F202" s="46" t="s">
        <v>1100</v>
      </c>
      <c r="G202" s="46" t="s">
        <v>1101</v>
      </c>
      <c r="H202" s="47" t="s">
        <v>126</v>
      </c>
      <c r="I202" s="47" t="s">
        <v>342</v>
      </c>
      <c r="J202" s="46" t="s">
        <v>1102</v>
      </c>
      <c r="K202" s="47" t="s">
        <v>1089</v>
      </c>
      <c r="L202" s="48" t="s">
        <v>122</v>
      </c>
      <c r="M202" s="46" t="s">
        <v>1090</v>
      </c>
      <c r="N202" s="48" t="s">
        <v>93</v>
      </c>
      <c r="O202" s="49">
        <v>12</v>
      </c>
      <c r="P202" s="48" t="s">
        <v>46</v>
      </c>
      <c r="Q202" s="41" t="s">
        <v>66</v>
      </c>
      <c r="R202" s="41" t="s">
        <v>234</v>
      </c>
      <c r="S202" s="41" t="s">
        <v>234</v>
      </c>
      <c r="T202" s="41" t="s">
        <v>234</v>
      </c>
      <c r="U202" s="41" t="s">
        <v>234</v>
      </c>
      <c r="V202" s="41" t="s">
        <v>234</v>
      </c>
      <c r="W202" s="41" t="s">
        <v>234</v>
      </c>
      <c r="X202" s="43">
        <v>0</v>
      </c>
      <c r="Y202" s="41" t="s">
        <v>97</v>
      </c>
      <c r="Z202" s="41" t="s">
        <v>97</v>
      </c>
      <c r="AA202" s="41" t="s">
        <v>113</v>
      </c>
      <c r="AB202" s="39" t="s">
        <v>46</v>
      </c>
      <c r="AC202" s="44" t="s">
        <v>46</v>
      </c>
    </row>
    <row r="203" spans="1:29" x14ac:dyDescent="0.25">
      <c r="A203" s="38" t="s">
        <v>1103</v>
      </c>
      <c r="B203" s="39" t="s">
        <v>161</v>
      </c>
      <c r="C203" s="39" t="s">
        <v>162</v>
      </c>
      <c r="D203" s="40" t="s">
        <v>1085</v>
      </c>
      <c r="E203" s="40" t="s">
        <v>131</v>
      </c>
      <c r="F203" s="39" t="s">
        <v>1104</v>
      </c>
      <c r="G203" s="39" t="s">
        <v>1105</v>
      </c>
      <c r="H203" s="40" t="s">
        <v>126</v>
      </c>
      <c r="I203" s="40" t="s">
        <v>469</v>
      </c>
      <c r="J203" s="39" t="s">
        <v>1106</v>
      </c>
      <c r="K203" s="40" t="s">
        <v>1089</v>
      </c>
      <c r="L203" s="41" t="s">
        <v>122</v>
      </c>
      <c r="M203" s="39" t="s">
        <v>1090</v>
      </c>
      <c r="N203" s="41" t="s">
        <v>93</v>
      </c>
      <c r="O203" s="42">
        <v>8</v>
      </c>
      <c r="P203" s="41" t="s">
        <v>46</v>
      </c>
      <c r="Q203" s="41" t="s">
        <v>66</v>
      </c>
      <c r="R203" s="41" t="s">
        <v>234</v>
      </c>
      <c r="S203" s="41" t="s">
        <v>234</v>
      </c>
      <c r="T203" s="41" t="s">
        <v>234</v>
      </c>
      <c r="U203" s="41" t="s">
        <v>234</v>
      </c>
      <c r="V203" s="41" t="s">
        <v>234</v>
      </c>
      <c r="W203" s="41" t="s">
        <v>234</v>
      </c>
      <c r="X203" s="43">
        <v>0</v>
      </c>
      <c r="Y203" s="41" t="s">
        <v>97</v>
      </c>
      <c r="Z203" s="41" t="s">
        <v>97</v>
      </c>
      <c r="AA203" s="41" t="s">
        <v>113</v>
      </c>
      <c r="AB203" s="39" t="s">
        <v>46</v>
      </c>
      <c r="AC203" s="44" t="s">
        <v>46</v>
      </c>
    </row>
    <row r="204" spans="1:29" x14ac:dyDescent="0.25">
      <c r="A204" s="45" t="s">
        <v>1107</v>
      </c>
      <c r="B204" s="46" t="s">
        <v>161</v>
      </c>
      <c r="C204" s="46" t="s">
        <v>162</v>
      </c>
      <c r="D204" s="47" t="s">
        <v>1085</v>
      </c>
      <c r="E204" s="47" t="s">
        <v>124</v>
      </c>
      <c r="F204" s="46" t="s">
        <v>1108</v>
      </c>
      <c r="G204" s="46" t="s">
        <v>1109</v>
      </c>
      <c r="H204" s="47" t="s">
        <v>126</v>
      </c>
      <c r="I204" s="47" t="s">
        <v>325</v>
      </c>
      <c r="J204" s="46" t="s">
        <v>1110</v>
      </c>
      <c r="K204" s="47" t="s">
        <v>1089</v>
      </c>
      <c r="L204" s="48" t="s">
        <v>122</v>
      </c>
      <c r="M204" s="46" t="s">
        <v>1090</v>
      </c>
      <c r="N204" s="48" t="s">
        <v>94</v>
      </c>
      <c r="O204" s="49">
        <v>6</v>
      </c>
      <c r="P204" s="48" t="s">
        <v>46</v>
      </c>
      <c r="Q204" s="41" t="s">
        <v>66</v>
      </c>
      <c r="R204" s="41" t="s">
        <v>234</v>
      </c>
      <c r="S204" s="41" t="s">
        <v>234</v>
      </c>
      <c r="T204" s="41" t="s">
        <v>234</v>
      </c>
      <c r="U204" s="41" t="s">
        <v>234</v>
      </c>
      <c r="V204" s="41" t="s">
        <v>234</v>
      </c>
      <c r="W204" s="41" t="s">
        <v>234</v>
      </c>
      <c r="X204" s="43">
        <v>0</v>
      </c>
      <c r="Y204" s="41" t="s">
        <v>97</v>
      </c>
      <c r="Z204" s="41" t="s">
        <v>97</v>
      </c>
      <c r="AA204" s="41" t="s">
        <v>113</v>
      </c>
      <c r="AB204" s="39" t="s">
        <v>46</v>
      </c>
      <c r="AC204" s="44" t="s">
        <v>46</v>
      </c>
    </row>
    <row r="205" spans="1:29" x14ac:dyDescent="0.25">
      <c r="A205" s="38" t="s">
        <v>1111</v>
      </c>
      <c r="B205" s="39" t="s">
        <v>161</v>
      </c>
      <c r="C205" s="39" t="s">
        <v>162</v>
      </c>
      <c r="D205" s="40" t="s">
        <v>1085</v>
      </c>
      <c r="E205" s="40" t="s">
        <v>124</v>
      </c>
      <c r="F205" s="39" t="s">
        <v>1112</v>
      </c>
      <c r="G205" s="39" t="s">
        <v>1113</v>
      </c>
      <c r="H205" s="40" t="s">
        <v>126</v>
      </c>
      <c r="I205" s="40" t="s">
        <v>325</v>
      </c>
      <c r="J205" s="39" t="s">
        <v>1114</v>
      </c>
      <c r="K205" s="40" t="s">
        <v>1089</v>
      </c>
      <c r="L205" s="41" t="s">
        <v>122</v>
      </c>
      <c r="M205" s="39" t="s">
        <v>1090</v>
      </c>
      <c r="N205" s="41" t="s">
        <v>94</v>
      </c>
      <c r="O205" s="42">
        <v>8</v>
      </c>
      <c r="P205" s="41" t="s">
        <v>46</v>
      </c>
      <c r="Q205" s="41" t="s">
        <v>66</v>
      </c>
      <c r="R205" s="41" t="s">
        <v>234</v>
      </c>
      <c r="S205" s="41" t="s">
        <v>234</v>
      </c>
      <c r="T205" s="41" t="s">
        <v>234</v>
      </c>
      <c r="U205" s="41" t="s">
        <v>234</v>
      </c>
      <c r="V205" s="41" t="s">
        <v>234</v>
      </c>
      <c r="W205" s="41" t="s">
        <v>234</v>
      </c>
      <c r="X205" s="43">
        <v>0</v>
      </c>
      <c r="Y205" s="41" t="s">
        <v>97</v>
      </c>
      <c r="Z205" s="41" t="s">
        <v>97</v>
      </c>
      <c r="AA205" s="41" t="s">
        <v>113</v>
      </c>
      <c r="AB205" s="39" t="s">
        <v>46</v>
      </c>
      <c r="AC205" s="44" t="s">
        <v>46</v>
      </c>
    </row>
    <row r="206" spans="1:29" x14ac:dyDescent="0.25">
      <c r="A206" s="45" t="s">
        <v>1115</v>
      </c>
      <c r="B206" s="46" t="s">
        <v>161</v>
      </c>
      <c r="C206" s="46" t="s">
        <v>162</v>
      </c>
      <c r="D206" s="47" t="s">
        <v>1085</v>
      </c>
      <c r="E206" s="47" t="s">
        <v>124</v>
      </c>
      <c r="F206" s="46" t="s">
        <v>1116</v>
      </c>
      <c r="G206" s="46" t="s">
        <v>1117</v>
      </c>
      <c r="H206" s="47" t="s">
        <v>126</v>
      </c>
      <c r="I206" s="47" t="s">
        <v>325</v>
      </c>
      <c r="J206" s="46" t="s">
        <v>1118</v>
      </c>
      <c r="K206" s="47" t="s">
        <v>1089</v>
      </c>
      <c r="L206" s="48" t="s">
        <v>122</v>
      </c>
      <c r="M206" s="46" t="s">
        <v>1090</v>
      </c>
      <c r="N206" s="48" t="s">
        <v>94</v>
      </c>
      <c r="O206" s="49">
        <v>6</v>
      </c>
      <c r="P206" s="48" t="s">
        <v>46</v>
      </c>
      <c r="Q206" s="41" t="s">
        <v>66</v>
      </c>
      <c r="R206" s="41" t="s">
        <v>234</v>
      </c>
      <c r="S206" s="41" t="s">
        <v>234</v>
      </c>
      <c r="T206" s="41" t="s">
        <v>234</v>
      </c>
      <c r="U206" s="41" t="s">
        <v>234</v>
      </c>
      <c r="V206" s="41" t="s">
        <v>234</v>
      </c>
      <c r="W206" s="41" t="s">
        <v>234</v>
      </c>
      <c r="X206" s="43">
        <v>0</v>
      </c>
      <c r="Y206" s="41" t="s">
        <v>97</v>
      </c>
      <c r="Z206" s="41" t="s">
        <v>97</v>
      </c>
      <c r="AA206" s="41" t="s">
        <v>113</v>
      </c>
      <c r="AB206" s="39" t="s">
        <v>46</v>
      </c>
      <c r="AC206" s="44" t="s">
        <v>46</v>
      </c>
    </row>
    <row r="207" spans="1:29" x14ac:dyDescent="0.25">
      <c r="A207" s="38" t="s">
        <v>1119</v>
      </c>
      <c r="B207" s="39" t="s">
        <v>161</v>
      </c>
      <c r="C207" s="39" t="s">
        <v>162</v>
      </c>
      <c r="D207" s="40" t="s">
        <v>1085</v>
      </c>
      <c r="E207" s="40" t="s">
        <v>124</v>
      </c>
      <c r="F207" s="39" t="s">
        <v>1120</v>
      </c>
      <c r="G207" s="39" t="s">
        <v>1121</v>
      </c>
      <c r="H207" s="40" t="s">
        <v>126</v>
      </c>
      <c r="I207" s="40" t="s">
        <v>325</v>
      </c>
      <c r="J207" s="39" t="s">
        <v>1122</v>
      </c>
      <c r="K207" s="40" t="s">
        <v>1089</v>
      </c>
      <c r="L207" s="41" t="s">
        <v>122</v>
      </c>
      <c r="M207" s="39" t="s">
        <v>1090</v>
      </c>
      <c r="N207" s="41" t="s">
        <v>94</v>
      </c>
      <c r="O207" s="42">
        <v>8</v>
      </c>
      <c r="P207" s="41" t="s">
        <v>46</v>
      </c>
      <c r="Q207" s="41" t="s">
        <v>66</v>
      </c>
      <c r="R207" s="41" t="s">
        <v>234</v>
      </c>
      <c r="S207" s="41" t="s">
        <v>234</v>
      </c>
      <c r="T207" s="41" t="s">
        <v>234</v>
      </c>
      <c r="U207" s="41" t="s">
        <v>234</v>
      </c>
      <c r="V207" s="41" t="s">
        <v>234</v>
      </c>
      <c r="W207" s="41" t="s">
        <v>234</v>
      </c>
      <c r="X207" s="43">
        <v>0</v>
      </c>
      <c r="Y207" s="41" t="s">
        <v>97</v>
      </c>
      <c r="Z207" s="41" t="s">
        <v>97</v>
      </c>
      <c r="AA207" s="41" t="s">
        <v>113</v>
      </c>
      <c r="AB207" s="39" t="s">
        <v>1123</v>
      </c>
      <c r="AC207" s="44" t="s">
        <v>46</v>
      </c>
    </row>
    <row r="208" spans="1:29" x14ac:dyDescent="0.25">
      <c r="A208" s="45" t="s">
        <v>1124</v>
      </c>
      <c r="B208" s="46" t="s">
        <v>161</v>
      </c>
      <c r="C208" s="46" t="s">
        <v>162</v>
      </c>
      <c r="D208" s="47" t="s">
        <v>1085</v>
      </c>
      <c r="E208" s="47" t="s">
        <v>124</v>
      </c>
      <c r="F208" s="46" t="s">
        <v>1125</v>
      </c>
      <c r="G208" s="46" t="s">
        <v>1126</v>
      </c>
      <c r="H208" s="47" t="s">
        <v>126</v>
      </c>
      <c r="I208" s="47" t="s">
        <v>325</v>
      </c>
      <c r="J208" s="46" t="s">
        <v>1127</v>
      </c>
      <c r="K208" s="47" t="s">
        <v>1089</v>
      </c>
      <c r="L208" s="48" t="s">
        <v>122</v>
      </c>
      <c r="M208" s="46" t="s">
        <v>1090</v>
      </c>
      <c r="N208" s="48" t="s">
        <v>94</v>
      </c>
      <c r="O208" s="49">
        <v>6</v>
      </c>
      <c r="P208" s="48" t="s">
        <v>46</v>
      </c>
      <c r="Q208" s="41" t="s">
        <v>66</v>
      </c>
      <c r="R208" s="41" t="s">
        <v>234</v>
      </c>
      <c r="S208" s="41" t="s">
        <v>234</v>
      </c>
      <c r="T208" s="41" t="s">
        <v>234</v>
      </c>
      <c r="U208" s="41" t="s">
        <v>234</v>
      </c>
      <c r="V208" s="41" t="s">
        <v>234</v>
      </c>
      <c r="W208" s="41" t="s">
        <v>234</v>
      </c>
      <c r="X208" s="43">
        <v>0</v>
      </c>
      <c r="Y208" s="41" t="s">
        <v>97</v>
      </c>
      <c r="Z208" s="41" t="s">
        <v>97</v>
      </c>
      <c r="AA208" s="41" t="s">
        <v>113</v>
      </c>
      <c r="AB208" s="39" t="s">
        <v>46</v>
      </c>
      <c r="AC208" s="44" t="s">
        <v>46</v>
      </c>
    </row>
    <row r="209" spans="1:29" x14ac:dyDescent="0.25">
      <c r="A209" s="38" t="s">
        <v>1128</v>
      </c>
      <c r="B209" s="39" t="s">
        <v>161</v>
      </c>
      <c r="C209" s="39" t="s">
        <v>162</v>
      </c>
      <c r="D209" s="40" t="s">
        <v>1085</v>
      </c>
      <c r="E209" s="40" t="s">
        <v>129</v>
      </c>
      <c r="F209" s="39" t="s">
        <v>1129</v>
      </c>
      <c r="G209" s="39" t="s">
        <v>1130</v>
      </c>
      <c r="H209" s="40" t="s">
        <v>126</v>
      </c>
      <c r="I209" s="40" t="s">
        <v>325</v>
      </c>
      <c r="J209" s="39" t="s">
        <v>1131</v>
      </c>
      <c r="K209" s="40" t="s">
        <v>1089</v>
      </c>
      <c r="L209" s="41" t="s">
        <v>122</v>
      </c>
      <c r="M209" s="39" t="s">
        <v>1090</v>
      </c>
      <c r="N209" s="41" t="s">
        <v>94</v>
      </c>
      <c r="O209" s="42">
        <v>5</v>
      </c>
      <c r="P209" s="41" t="s">
        <v>46</v>
      </c>
      <c r="Q209" s="41" t="s">
        <v>66</v>
      </c>
      <c r="R209" s="41" t="s">
        <v>234</v>
      </c>
      <c r="S209" s="41" t="s">
        <v>234</v>
      </c>
      <c r="T209" s="41" t="s">
        <v>234</v>
      </c>
      <c r="U209" s="41" t="s">
        <v>234</v>
      </c>
      <c r="V209" s="41" t="s">
        <v>234</v>
      </c>
      <c r="W209" s="41" t="s">
        <v>234</v>
      </c>
      <c r="X209" s="43">
        <v>0</v>
      </c>
      <c r="Y209" s="41" t="s">
        <v>97</v>
      </c>
      <c r="Z209" s="41" t="s">
        <v>97</v>
      </c>
      <c r="AA209" s="41" t="s">
        <v>113</v>
      </c>
      <c r="AB209" s="39" t="s">
        <v>46</v>
      </c>
      <c r="AC209" s="44" t="s">
        <v>46</v>
      </c>
    </row>
    <row r="210" spans="1:29" x14ac:dyDescent="0.25">
      <c r="A210" s="45" t="s">
        <v>1132</v>
      </c>
      <c r="B210" s="46" t="s">
        <v>161</v>
      </c>
      <c r="C210" s="46" t="s">
        <v>162</v>
      </c>
      <c r="D210" s="47" t="s">
        <v>1085</v>
      </c>
      <c r="E210" s="47" t="s">
        <v>124</v>
      </c>
      <c r="F210" s="46" t="s">
        <v>1133</v>
      </c>
      <c r="G210" s="46" t="s">
        <v>1134</v>
      </c>
      <c r="H210" s="47" t="s">
        <v>126</v>
      </c>
      <c r="I210" s="47" t="s">
        <v>325</v>
      </c>
      <c r="J210" s="46" t="s">
        <v>1135</v>
      </c>
      <c r="K210" s="47" t="s">
        <v>1089</v>
      </c>
      <c r="L210" s="48" t="s">
        <v>122</v>
      </c>
      <c r="M210" s="46" t="s">
        <v>1090</v>
      </c>
      <c r="N210" s="48" t="s">
        <v>94</v>
      </c>
      <c r="O210" s="49">
        <v>6</v>
      </c>
      <c r="P210" s="48" t="s">
        <v>46</v>
      </c>
      <c r="Q210" s="41" t="s">
        <v>66</v>
      </c>
      <c r="R210" s="41" t="s">
        <v>234</v>
      </c>
      <c r="S210" s="41" t="s">
        <v>234</v>
      </c>
      <c r="T210" s="41" t="s">
        <v>234</v>
      </c>
      <c r="U210" s="41" t="s">
        <v>234</v>
      </c>
      <c r="V210" s="41" t="s">
        <v>234</v>
      </c>
      <c r="W210" s="41" t="s">
        <v>234</v>
      </c>
      <c r="X210" s="43">
        <v>0</v>
      </c>
      <c r="Y210" s="41" t="s">
        <v>97</v>
      </c>
      <c r="Z210" s="41" t="s">
        <v>97</v>
      </c>
      <c r="AA210" s="41" t="s">
        <v>113</v>
      </c>
      <c r="AB210" s="39" t="s">
        <v>46</v>
      </c>
      <c r="AC210" s="44" t="s">
        <v>46</v>
      </c>
    </row>
    <row r="211" spans="1:29" x14ac:dyDescent="0.25">
      <c r="A211" s="38" t="s">
        <v>1136</v>
      </c>
      <c r="B211" s="39" t="s">
        <v>161</v>
      </c>
      <c r="C211" s="39" t="s">
        <v>162</v>
      </c>
      <c r="D211" s="40" t="s">
        <v>1085</v>
      </c>
      <c r="E211" s="40" t="s">
        <v>124</v>
      </c>
      <c r="F211" s="39" t="s">
        <v>1137</v>
      </c>
      <c r="G211" s="39" t="s">
        <v>1138</v>
      </c>
      <c r="H211" s="40" t="s">
        <v>126</v>
      </c>
      <c r="I211" s="40" t="s">
        <v>325</v>
      </c>
      <c r="J211" s="39" t="s">
        <v>1139</v>
      </c>
      <c r="K211" s="40" t="s">
        <v>1089</v>
      </c>
      <c r="L211" s="41" t="s">
        <v>122</v>
      </c>
      <c r="M211" s="39" t="s">
        <v>1090</v>
      </c>
      <c r="N211" s="41" t="s">
        <v>94</v>
      </c>
      <c r="O211" s="42">
        <v>12</v>
      </c>
      <c r="P211" s="41" t="s">
        <v>46</v>
      </c>
      <c r="Q211" s="41" t="s">
        <v>66</v>
      </c>
      <c r="R211" s="41" t="s">
        <v>234</v>
      </c>
      <c r="S211" s="41" t="s">
        <v>234</v>
      </c>
      <c r="T211" s="41" t="s">
        <v>234</v>
      </c>
      <c r="U211" s="41" t="s">
        <v>234</v>
      </c>
      <c r="V211" s="41" t="s">
        <v>234</v>
      </c>
      <c r="W211" s="41" t="s">
        <v>234</v>
      </c>
      <c r="X211" s="43">
        <v>0</v>
      </c>
      <c r="Y211" s="41" t="s">
        <v>97</v>
      </c>
      <c r="Z211" s="41" t="s">
        <v>97</v>
      </c>
      <c r="AA211" s="41" t="s">
        <v>113</v>
      </c>
      <c r="AB211" s="39" t="s">
        <v>46</v>
      </c>
      <c r="AC211" s="44" t="s">
        <v>46</v>
      </c>
    </row>
    <row r="212" spans="1:29" x14ac:dyDescent="0.25">
      <c r="A212" s="45" t="s">
        <v>1140</v>
      </c>
      <c r="B212" s="46" t="s">
        <v>161</v>
      </c>
      <c r="C212" s="46" t="s">
        <v>162</v>
      </c>
      <c r="D212" s="47" t="s">
        <v>1085</v>
      </c>
      <c r="E212" s="47" t="s">
        <v>124</v>
      </c>
      <c r="F212" s="46" t="s">
        <v>1141</v>
      </c>
      <c r="G212" s="46" t="s">
        <v>1142</v>
      </c>
      <c r="H212" s="47" t="s">
        <v>126</v>
      </c>
      <c r="I212" s="47" t="s">
        <v>325</v>
      </c>
      <c r="J212" s="46" t="s">
        <v>1143</v>
      </c>
      <c r="K212" s="47" t="s">
        <v>1089</v>
      </c>
      <c r="L212" s="48" t="s">
        <v>122</v>
      </c>
      <c r="M212" s="46" t="s">
        <v>1090</v>
      </c>
      <c r="N212" s="48" t="s">
        <v>94</v>
      </c>
      <c r="O212" s="49">
        <v>4</v>
      </c>
      <c r="P212" s="48" t="s">
        <v>46</v>
      </c>
      <c r="Q212" s="41" t="s">
        <v>66</v>
      </c>
      <c r="R212" s="41" t="s">
        <v>234</v>
      </c>
      <c r="S212" s="41" t="s">
        <v>234</v>
      </c>
      <c r="T212" s="41" t="s">
        <v>234</v>
      </c>
      <c r="U212" s="41" t="s">
        <v>234</v>
      </c>
      <c r="V212" s="41" t="s">
        <v>234</v>
      </c>
      <c r="W212" s="41" t="s">
        <v>234</v>
      </c>
      <c r="X212" s="43">
        <v>0</v>
      </c>
      <c r="Y212" s="41" t="s">
        <v>97</v>
      </c>
      <c r="Z212" s="41" t="s">
        <v>97</v>
      </c>
      <c r="AA212" s="41" t="s">
        <v>113</v>
      </c>
      <c r="AB212" s="39" t="s">
        <v>46</v>
      </c>
      <c r="AC212" s="44" t="s">
        <v>46</v>
      </c>
    </row>
    <row r="213" spans="1:29" x14ac:dyDescent="0.25">
      <c r="A213" s="38" t="s">
        <v>1144</v>
      </c>
      <c r="B213" s="39" t="s">
        <v>161</v>
      </c>
      <c r="C213" s="39" t="s">
        <v>162</v>
      </c>
      <c r="D213" s="40" t="s">
        <v>1085</v>
      </c>
      <c r="E213" s="40" t="s">
        <v>124</v>
      </c>
      <c r="F213" s="39" t="s">
        <v>1145</v>
      </c>
      <c r="G213" s="39" t="s">
        <v>1146</v>
      </c>
      <c r="H213" s="40" t="s">
        <v>126</v>
      </c>
      <c r="I213" s="40" t="s">
        <v>325</v>
      </c>
      <c r="J213" s="39" t="s">
        <v>1147</v>
      </c>
      <c r="K213" s="40" t="s">
        <v>1089</v>
      </c>
      <c r="L213" s="41" t="s">
        <v>122</v>
      </c>
      <c r="M213" s="39" t="s">
        <v>1090</v>
      </c>
      <c r="N213" s="41" t="s">
        <v>94</v>
      </c>
      <c r="O213" s="42">
        <v>5</v>
      </c>
      <c r="P213" s="41" t="s">
        <v>46</v>
      </c>
      <c r="Q213" s="41" t="s">
        <v>66</v>
      </c>
      <c r="R213" s="41" t="s">
        <v>234</v>
      </c>
      <c r="S213" s="41" t="s">
        <v>234</v>
      </c>
      <c r="T213" s="41" t="s">
        <v>234</v>
      </c>
      <c r="U213" s="41" t="s">
        <v>234</v>
      </c>
      <c r="V213" s="41" t="s">
        <v>234</v>
      </c>
      <c r="W213" s="41" t="s">
        <v>234</v>
      </c>
      <c r="X213" s="43">
        <v>0</v>
      </c>
      <c r="Y213" s="41" t="s">
        <v>97</v>
      </c>
      <c r="Z213" s="41" t="s">
        <v>97</v>
      </c>
      <c r="AA213" s="41" t="s">
        <v>113</v>
      </c>
      <c r="AB213" s="39" t="s">
        <v>46</v>
      </c>
      <c r="AC213" s="44" t="s">
        <v>46</v>
      </c>
    </row>
    <row r="214" spans="1:29" x14ac:dyDescent="0.25">
      <c r="A214" s="45" t="s">
        <v>1148</v>
      </c>
      <c r="B214" s="46" t="s">
        <v>161</v>
      </c>
      <c r="C214" s="46" t="s">
        <v>162</v>
      </c>
      <c r="D214" s="47" t="s">
        <v>1085</v>
      </c>
      <c r="E214" s="47" t="s">
        <v>131</v>
      </c>
      <c r="F214" s="46" t="s">
        <v>1149</v>
      </c>
      <c r="G214" s="46" t="s">
        <v>1150</v>
      </c>
      <c r="H214" s="47" t="s">
        <v>126</v>
      </c>
      <c r="I214" s="47" t="s">
        <v>469</v>
      </c>
      <c r="J214" s="46" t="s">
        <v>1151</v>
      </c>
      <c r="K214" s="47" t="s">
        <v>1152</v>
      </c>
      <c r="L214" s="48" t="s">
        <v>122</v>
      </c>
      <c r="M214" s="46" t="s">
        <v>1090</v>
      </c>
      <c r="N214" s="48" t="s">
        <v>94</v>
      </c>
      <c r="O214" s="49">
        <v>6</v>
      </c>
      <c r="P214" s="48" t="s">
        <v>46</v>
      </c>
      <c r="Q214" s="41" t="s">
        <v>66</v>
      </c>
      <c r="R214" s="41" t="s">
        <v>234</v>
      </c>
      <c r="S214" s="41" t="s">
        <v>234</v>
      </c>
      <c r="T214" s="41" t="s">
        <v>234</v>
      </c>
      <c r="U214" s="41" t="s">
        <v>234</v>
      </c>
      <c r="V214" s="41" t="s">
        <v>234</v>
      </c>
      <c r="W214" s="41" t="s">
        <v>234</v>
      </c>
      <c r="X214" s="43">
        <v>0</v>
      </c>
      <c r="Y214" s="41" t="s">
        <v>97</v>
      </c>
      <c r="Z214" s="41" t="s">
        <v>97</v>
      </c>
      <c r="AA214" s="41" t="s">
        <v>113</v>
      </c>
      <c r="AB214" s="39" t="s">
        <v>46</v>
      </c>
      <c r="AC214" s="44" t="s">
        <v>46</v>
      </c>
    </row>
    <row r="215" spans="1:29" x14ac:dyDescent="0.25">
      <c r="A215" s="38" t="s">
        <v>1153</v>
      </c>
      <c r="B215" s="39" t="s">
        <v>161</v>
      </c>
      <c r="C215" s="39" t="s">
        <v>162</v>
      </c>
      <c r="D215" s="40" t="s">
        <v>1085</v>
      </c>
      <c r="E215" s="40" t="s">
        <v>123</v>
      </c>
      <c r="F215" s="39" t="s">
        <v>1154</v>
      </c>
      <c r="G215" s="39" t="s">
        <v>1155</v>
      </c>
      <c r="H215" s="40" t="s">
        <v>123</v>
      </c>
      <c r="I215" s="40" t="s">
        <v>495</v>
      </c>
      <c r="J215" s="39" t="s">
        <v>1156</v>
      </c>
      <c r="K215" s="40" t="s">
        <v>1089</v>
      </c>
      <c r="L215" s="41" t="s">
        <v>125</v>
      </c>
      <c r="M215" s="39" t="s">
        <v>1090</v>
      </c>
      <c r="N215" s="41" t="s">
        <v>95</v>
      </c>
      <c r="O215" s="42">
        <v>6</v>
      </c>
      <c r="P215" s="41" t="s">
        <v>46</v>
      </c>
      <c r="Q215" s="41" t="s">
        <v>66</v>
      </c>
      <c r="R215" s="41" t="s">
        <v>234</v>
      </c>
      <c r="S215" s="41" t="s">
        <v>234</v>
      </c>
      <c r="T215" s="41" t="s">
        <v>234</v>
      </c>
      <c r="U215" s="41" t="s">
        <v>234</v>
      </c>
      <c r="V215" s="41" t="s">
        <v>234</v>
      </c>
      <c r="W215" s="41" t="s">
        <v>234</v>
      </c>
      <c r="X215" s="43">
        <v>0</v>
      </c>
      <c r="Y215" s="41" t="s">
        <v>97</v>
      </c>
      <c r="Z215" s="41" t="s">
        <v>97</v>
      </c>
      <c r="AA215" s="41" t="s">
        <v>113</v>
      </c>
      <c r="AB215" s="39" t="s">
        <v>46</v>
      </c>
      <c r="AC215" s="44" t="s">
        <v>46</v>
      </c>
    </row>
    <row r="216" spans="1:29" x14ac:dyDescent="0.25">
      <c r="A216" s="45" t="s">
        <v>1157</v>
      </c>
      <c r="B216" s="46" t="s">
        <v>161</v>
      </c>
      <c r="C216" s="46" t="s">
        <v>162</v>
      </c>
      <c r="D216" s="47" t="s">
        <v>1085</v>
      </c>
      <c r="E216" s="47" t="s">
        <v>124</v>
      </c>
      <c r="F216" s="46" t="s">
        <v>1158</v>
      </c>
      <c r="G216" s="46" t="s">
        <v>1159</v>
      </c>
      <c r="H216" s="47" t="s">
        <v>126</v>
      </c>
      <c r="I216" s="47" t="s">
        <v>325</v>
      </c>
      <c r="J216" s="46" t="s">
        <v>1160</v>
      </c>
      <c r="K216" s="47" t="s">
        <v>1089</v>
      </c>
      <c r="L216" s="48" t="s">
        <v>125</v>
      </c>
      <c r="M216" s="46" t="s">
        <v>1090</v>
      </c>
      <c r="N216" s="48" t="s">
        <v>95</v>
      </c>
      <c r="O216" s="49">
        <v>6</v>
      </c>
      <c r="P216" s="48" t="s">
        <v>46</v>
      </c>
      <c r="Q216" s="41" t="s">
        <v>66</v>
      </c>
      <c r="R216" s="41" t="s">
        <v>234</v>
      </c>
      <c r="S216" s="41" t="s">
        <v>234</v>
      </c>
      <c r="T216" s="41" t="s">
        <v>234</v>
      </c>
      <c r="U216" s="41" t="s">
        <v>234</v>
      </c>
      <c r="V216" s="41" t="s">
        <v>234</v>
      </c>
      <c r="W216" s="41" t="s">
        <v>234</v>
      </c>
      <c r="X216" s="43">
        <v>0</v>
      </c>
      <c r="Y216" s="41" t="s">
        <v>97</v>
      </c>
      <c r="Z216" s="41" t="s">
        <v>97</v>
      </c>
      <c r="AA216" s="41" t="s">
        <v>113</v>
      </c>
      <c r="AB216" s="39" t="s">
        <v>1161</v>
      </c>
      <c r="AC216" s="44" t="s">
        <v>46</v>
      </c>
    </row>
    <row r="217" spans="1:29" x14ac:dyDescent="0.25">
      <c r="A217" s="38" t="s">
        <v>1162</v>
      </c>
      <c r="B217" s="39" t="s">
        <v>161</v>
      </c>
      <c r="C217" s="39" t="s">
        <v>162</v>
      </c>
      <c r="D217" s="40" t="s">
        <v>1085</v>
      </c>
      <c r="E217" s="40" t="s">
        <v>135</v>
      </c>
      <c r="F217" s="39" t="s">
        <v>1163</v>
      </c>
      <c r="G217" s="39" t="s">
        <v>1164</v>
      </c>
      <c r="H217" s="40" t="s">
        <v>123</v>
      </c>
      <c r="I217" s="40" t="s">
        <v>135</v>
      </c>
      <c r="J217" s="39" t="s">
        <v>1165</v>
      </c>
      <c r="K217" s="40" t="s">
        <v>1152</v>
      </c>
      <c r="L217" s="41" t="s">
        <v>125</v>
      </c>
      <c r="M217" s="39" t="s">
        <v>1090</v>
      </c>
      <c r="N217" s="41" t="s">
        <v>95</v>
      </c>
      <c r="O217" s="42">
        <v>12</v>
      </c>
      <c r="P217" s="41" t="s">
        <v>46</v>
      </c>
      <c r="Q217" s="41" t="s">
        <v>66</v>
      </c>
      <c r="R217" s="41" t="s">
        <v>234</v>
      </c>
      <c r="S217" s="41" t="s">
        <v>234</v>
      </c>
      <c r="T217" s="41" t="s">
        <v>234</v>
      </c>
      <c r="U217" s="41" t="s">
        <v>234</v>
      </c>
      <c r="V217" s="41" t="s">
        <v>234</v>
      </c>
      <c r="W217" s="41" t="s">
        <v>234</v>
      </c>
      <c r="X217" s="43">
        <v>0</v>
      </c>
      <c r="Y217" s="41" t="s">
        <v>97</v>
      </c>
      <c r="Z217" s="41" t="s">
        <v>97</v>
      </c>
      <c r="AA217" s="41" t="s">
        <v>113</v>
      </c>
      <c r="AB217" s="39" t="s">
        <v>46</v>
      </c>
      <c r="AC217" s="44" t="s">
        <v>46</v>
      </c>
    </row>
    <row r="218" spans="1:29" x14ac:dyDescent="0.25">
      <c r="A218" s="45" t="s">
        <v>1166</v>
      </c>
      <c r="B218" s="46" t="s">
        <v>161</v>
      </c>
      <c r="C218" s="46" t="s">
        <v>162</v>
      </c>
      <c r="D218" s="47" t="s">
        <v>1085</v>
      </c>
      <c r="E218" s="47" t="s">
        <v>135</v>
      </c>
      <c r="F218" s="46" t="s">
        <v>1167</v>
      </c>
      <c r="G218" s="46" t="s">
        <v>1168</v>
      </c>
      <c r="H218" s="47" t="s">
        <v>123</v>
      </c>
      <c r="I218" s="47" t="s">
        <v>135</v>
      </c>
      <c r="J218" s="46" t="s">
        <v>1169</v>
      </c>
      <c r="K218" s="47" t="s">
        <v>1089</v>
      </c>
      <c r="L218" s="48" t="s">
        <v>125</v>
      </c>
      <c r="M218" s="46" t="s">
        <v>1090</v>
      </c>
      <c r="N218" s="48" t="s">
        <v>95</v>
      </c>
      <c r="O218" s="49">
        <v>5</v>
      </c>
      <c r="P218" s="48" t="s">
        <v>46</v>
      </c>
      <c r="Q218" s="41" t="s">
        <v>66</v>
      </c>
      <c r="R218" s="41" t="s">
        <v>234</v>
      </c>
      <c r="S218" s="41" t="s">
        <v>234</v>
      </c>
      <c r="T218" s="41" t="s">
        <v>234</v>
      </c>
      <c r="U218" s="41" t="s">
        <v>234</v>
      </c>
      <c r="V218" s="41" t="s">
        <v>234</v>
      </c>
      <c r="W218" s="41" t="s">
        <v>234</v>
      </c>
      <c r="X218" s="43">
        <v>0</v>
      </c>
      <c r="Y218" s="41" t="s">
        <v>97</v>
      </c>
      <c r="Z218" s="41" t="s">
        <v>97</v>
      </c>
      <c r="AA218" s="41" t="s">
        <v>113</v>
      </c>
      <c r="AB218" s="39" t="s">
        <v>46</v>
      </c>
      <c r="AC218" s="44" t="s">
        <v>46</v>
      </c>
    </row>
    <row r="219" spans="1:29" x14ac:dyDescent="0.25">
      <c r="A219" s="38" t="s">
        <v>1170</v>
      </c>
      <c r="B219" s="39" t="s">
        <v>161</v>
      </c>
      <c r="C219" s="39" t="s">
        <v>162</v>
      </c>
      <c r="D219" s="40" t="s">
        <v>1085</v>
      </c>
      <c r="E219" s="40" t="s">
        <v>56</v>
      </c>
      <c r="F219" s="39" t="s">
        <v>1171</v>
      </c>
      <c r="G219" s="39" t="s">
        <v>1172</v>
      </c>
      <c r="H219" s="40" t="s">
        <v>132</v>
      </c>
      <c r="I219" s="40" t="s">
        <v>522</v>
      </c>
      <c r="J219" s="39" t="s">
        <v>1173</v>
      </c>
      <c r="K219" s="40" t="s">
        <v>1089</v>
      </c>
      <c r="L219" s="41" t="s">
        <v>122</v>
      </c>
      <c r="M219" s="39" t="s">
        <v>1090</v>
      </c>
      <c r="N219" s="41" t="s">
        <v>94</v>
      </c>
      <c r="O219" s="42">
        <v>14</v>
      </c>
      <c r="P219" s="41" t="s">
        <v>46</v>
      </c>
      <c r="Q219" s="41" t="s">
        <v>66</v>
      </c>
      <c r="R219" s="41" t="s">
        <v>234</v>
      </c>
      <c r="S219" s="41" t="s">
        <v>234</v>
      </c>
      <c r="T219" s="41" t="s">
        <v>234</v>
      </c>
      <c r="U219" s="41" t="s">
        <v>234</v>
      </c>
      <c r="V219" s="41" t="s">
        <v>234</v>
      </c>
      <c r="W219" s="41" t="s">
        <v>234</v>
      </c>
      <c r="X219" s="43">
        <v>0</v>
      </c>
      <c r="Y219" s="41" t="s">
        <v>97</v>
      </c>
      <c r="Z219" s="41" t="s">
        <v>97</v>
      </c>
      <c r="AA219" s="41" t="s">
        <v>113</v>
      </c>
      <c r="AB219" s="39" t="s">
        <v>46</v>
      </c>
      <c r="AC219" s="44" t="s">
        <v>46</v>
      </c>
    </row>
    <row r="220" spans="1:29" x14ac:dyDescent="0.25">
      <c r="A220" s="45" t="s">
        <v>1174</v>
      </c>
      <c r="B220" s="46" t="s">
        <v>161</v>
      </c>
      <c r="C220" s="46" t="s">
        <v>162</v>
      </c>
      <c r="D220" s="47" t="s">
        <v>1085</v>
      </c>
      <c r="E220" s="47" t="s">
        <v>56</v>
      </c>
      <c r="F220" s="46" t="s">
        <v>1175</v>
      </c>
      <c r="G220" s="46" t="s">
        <v>1176</v>
      </c>
      <c r="H220" s="47" t="s">
        <v>132</v>
      </c>
      <c r="I220" s="47" t="s">
        <v>522</v>
      </c>
      <c r="J220" s="46" t="s">
        <v>598</v>
      </c>
      <c r="K220" s="47" t="s">
        <v>1089</v>
      </c>
      <c r="L220" s="48" t="s">
        <v>125</v>
      </c>
      <c r="M220" s="46" t="s">
        <v>1090</v>
      </c>
      <c r="N220" s="48" t="s">
        <v>95</v>
      </c>
      <c r="O220" s="49">
        <v>12</v>
      </c>
      <c r="P220" s="48" t="s">
        <v>46</v>
      </c>
      <c r="Q220" s="41" t="s">
        <v>66</v>
      </c>
      <c r="R220" s="41" t="s">
        <v>234</v>
      </c>
      <c r="S220" s="41" t="s">
        <v>234</v>
      </c>
      <c r="T220" s="41" t="s">
        <v>234</v>
      </c>
      <c r="U220" s="41" t="s">
        <v>234</v>
      </c>
      <c r="V220" s="41" t="s">
        <v>234</v>
      </c>
      <c r="W220" s="41" t="s">
        <v>234</v>
      </c>
      <c r="X220" s="43">
        <v>0</v>
      </c>
      <c r="Y220" s="41" t="s">
        <v>97</v>
      </c>
      <c r="Z220" s="41" t="s">
        <v>97</v>
      </c>
      <c r="AA220" s="41" t="s">
        <v>113</v>
      </c>
      <c r="AB220" s="39" t="s">
        <v>46</v>
      </c>
      <c r="AC220" s="44" t="s">
        <v>46</v>
      </c>
    </row>
    <row r="221" spans="1:29" x14ac:dyDescent="0.25">
      <c r="A221" s="38" t="s">
        <v>1177</v>
      </c>
      <c r="B221" s="39" t="s">
        <v>161</v>
      </c>
      <c r="C221" s="39" t="s">
        <v>163</v>
      </c>
      <c r="D221" s="40" t="s">
        <v>1178</v>
      </c>
      <c r="E221" s="40" t="s">
        <v>1179</v>
      </c>
      <c r="F221" s="39" t="s">
        <v>1180</v>
      </c>
      <c r="G221" s="39" t="s">
        <v>1181</v>
      </c>
      <c r="H221" s="40" t="s">
        <v>126</v>
      </c>
      <c r="I221" s="40" t="s">
        <v>246</v>
      </c>
      <c r="J221" s="39" t="s">
        <v>1182</v>
      </c>
      <c r="K221" s="40" t="s">
        <v>1183</v>
      </c>
      <c r="L221" s="41" t="s">
        <v>122</v>
      </c>
      <c r="M221" s="39" t="s">
        <v>1184</v>
      </c>
      <c r="N221" s="41" t="s">
        <v>88</v>
      </c>
      <c r="O221" s="42">
        <v>8</v>
      </c>
      <c r="P221" s="41" t="s">
        <v>46</v>
      </c>
      <c r="Q221" s="41" t="s">
        <v>66</v>
      </c>
      <c r="R221" s="41" t="s">
        <v>234</v>
      </c>
      <c r="S221" s="41" t="s">
        <v>234</v>
      </c>
      <c r="T221" s="41" t="s">
        <v>234</v>
      </c>
      <c r="U221" s="41" t="s">
        <v>234</v>
      </c>
      <c r="V221" s="41" t="s">
        <v>234</v>
      </c>
      <c r="W221" s="41" t="s">
        <v>234</v>
      </c>
      <c r="X221" s="43">
        <v>0</v>
      </c>
      <c r="Y221" s="41" t="s">
        <v>97</v>
      </c>
      <c r="Z221" s="41" t="s">
        <v>97</v>
      </c>
      <c r="AA221" s="41" t="s">
        <v>113</v>
      </c>
      <c r="AB221" s="39" t="s">
        <v>46</v>
      </c>
      <c r="AC221" s="44" t="s">
        <v>46</v>
      </c>
    </row>
    <row r="222" spans="1:29" x14ac:dyDescent="0.25">
      <c r="A222" s="45" t="s">
        <v>1185</v>
      </c>
      <c r="B222" s="46" t="s">
        <v>161</v>
      </c>
      <c r="C222" s="46" t="s">
        <v>163</v>
      </c>
      <c r="D222" s="47" t="s">
        <v>1178</v>
      </c>
      <c r="E222" s="47" t="s">
        <v>129</v>
      </c>
      <c r="F222" s="46" t="s">
        <v>1186</v>
      </c>
      <c r="G222" s="46" t="s">
        <v>1187</v>
      </c>
      <c r="H222" s="47" t="s">
        <v>126</v>
      </c>
      <c r="I222" s="47" t="s">
        <v>325</v>
      </c>
      <c r="J222" s="46" t="s">
        <v>1188</v>
      </c>
      <c r="K222" s="47" t="s">
        <v>1183</v>
      </c>
      <c r="L222" s="48" t="s">
        <v>122</v>
      </c>
      <c r="M222" s="46" t="s">
        <v>1184</v>
      </c>
      <c r="N222" s="48" t="s">
        <v>88</v>
      </c>
      <c r="O222" s="49">
        <v>5</v>
      </c>
      <c r="P222" s="48" t="s">
        <v>46</v>
      </c>
      <c r="Q222" s="41" t="s">
        <v>66</v>
      </c>
      <c r="R222" s="41" t="s">
        <v>234</v>
      </c>
      <c r="S222" s="41" t="s">
        <v>234</v>
      </c>
      <c r="T222" s="41" t="s">
        <v>234</v>
      </c>
      <c r="U222" s="41" t="s">
        <v>234</v>
      </c>
      <c r="V222" s="41" t="s">
        <v>234</v>
      </c>
      <c r="W222" s="41" t="s">
        <v>234</v>
      </c>
      <c r="X222" s="43">
        <v>0</v>
      </c>
      <c r="Y222" s="41" t="s">
        <v>97</v>
      </c>
      <c r="Z222" s="41" t="s">
        <v>97</v>
      </c>
      <c r="AA222" s="41" t="s">
        <v>113</v>
      </c>
      <c r="AB222" s="39" t="s">
        <v>46</v>
      </c>
      <c r="AC222" s="44" t="s">
        <v>46</v>
      </c>
    </row>
    <row r="223" spans="1:29" x14ac:dyDescent="0.25">
      <c r="A223" s="38" t="s">
        <v>1189</v>
      </c>
      <c r="B223" s="39" t="s">
        <v>161</v>
      </c>
      <c r="C223" s="39" t="s">
        <v>163</v>
      </c>
      <c r="D223" s="40" t="s">
        <v>1178</v>
      </c>
      <c r="E223" s="40" t="s">
        <v>1179</v>
      </c>
      <c r="F223" s="39" t="s">
        <v>1190</v>
      </c>
      <c r="G223" s="39" t="s">
        <v>1191</v>
      </c>
      <c r="H223" s="40" t="s">
        <v>126</v>
      </c>
      <c r="I223" s="40" t="s">
        <v>325</v>
      </c>
      <c r="J223" s="39" t="s">
        <v>1192</v>
      </c>
      <c r="K223" s="40" t="s">
        <v>1183</v>
      </c>
      <c r="L223" s="41" t="s">
        <v>122</v>
      </c>
      <c r="M223" s="39" t="s">
        <v>1184</v>
      </c>
      <c r="N223" s="41" t="s">
        <v>89</v>
      </c>
      <c r="O223" s="42">
        <v>5</v>
      </c>
      <c r="P223" s="41" t="s">
        <v>46</v>
      </c>
      <c r="Q223" s="41" t="s">
        <v>66</v>
      </c>
      <c r="R223" s="41" t="s">
        <v>234</v>
      </c>
      <c r="S223" s="41" t="s">
        <v>234</v>
      </c>
      <c r="T223" s="41" t="s">
        <v>234</v>
      </c>
      <c r="U223" s="41" t="s">
        <v>234</v>
      </c>
      <c r="V223" s="41" t="s">
        <v>234</v>
      </c>
      <c r="W223" s="41" t="s">
        <v>234</v>
      </c>
      <c r="X223" s="43">
        <v>0</v>
      </c>
      <c r="Y223" s="41" t="s">
        <v>97</v>
      </c>
      <c r="Z223" s="41" t="s">
        <v>97</v>
      </c>
      <c r="AA223" s="41" t="s">
        <v>113</v>
      </c>
      <c r="AB223" s="39" t="s">
        <v>46</v>
      </c>
      <c r="AC223" s="44" t="s">
        <v>46</v>
      </c>
    </row>
    <row r="224" spans="1:29" x14ac:dyDescent="0.25">
      <c r="A224" s="45" t="s">
        <v>1193</v>
      </c>
      <c r="B224" s="46" t="s">
        <v>161</v>
      </c>
      <c r="C224" s="46" t="s">
        <v>163</v>
      </c>
      <c r="D224" s="47" t="s">
        <v>1178</v>
      </c>
      <c r="E224" s="47" t="s">
        <v>1179</v>
      </c>
      <c r="F224" s="46" t="s">
        <v>1194</v>
      </c>
      <c r="G224" s="46" t="s">
        <v>1195</v>
      </c>
      <c r="H224" s="47" t="s">
        <v>126</v>
      </c>
      <c r="I224" s="47" t="s">
        <v>325</v>
      </c>
      <c r="J224" s="46" t="s">
        <v>1196</v>
      </c>
      <c r="K224" s="47" t="s">
        <v>1183</v>
      </c>
      <c r="L224" s="48" t="s">
        <v>122</v>
      </c>
      <c r="M224" s="46" t="s">
        <v>1184</v>
      </c>
      <c r="N224" s="48" t="s">
        <v>89</v>
      </c>
      <c r="O224" s="49">
        <v>6</v>
      </c>
      <c r="P224" s="48" t="s">
        <v>46</v>
      </c>
      <c r="Q224" s="41" t="s">
        <v>66</v>
      </c>
      <c r="R224" s="41" t="s">
        <v>234</v>
      </c>
      <c r="S224" s="41" t="s">
        <v>234</v>
      </c>
      <c r="T224" s="41" t="s">
        <v>234</v>
      </c>
      <c r="U224" s="41" t="s">
        <v>234</v>
      </c>
      <c r="V224" s="41" t="s">
        <v>234</v>
      </c>
      <c r="W224" s="41" t="s">
        <v>234</v>
      </c>
      <c r="X224" s="43">
        <v>0</v>
      </c>
      <c r="Y224" s="41" t="s">
        <v>97</v>
      </c>
      <c r="Z224" s="41" t="s">
        <v>97</v>
      </c>
      <c r="AA224" s="41" t="s">
        <v>113</v>
      </c>
      <c r="AB224" s="39" t="s">
        <v>46</v>
      </c>
      <c r="AC224" s="44" t="s">
        <v>46</v>
      </c>
    </row>
    <row r="225" spans="1:29" x14ac:dyDescent="0.25">
      <c r="A225" s="38" t="s">
        <v>1197</v>
      </c>
      <c r="B225" s="39" t="s">
        <v>161</v>
      </c>
      <c r="C225" s="39" t="s">
        <v>163</v>
      </c>
      <c r="D225" s="40" t="s">
        <v>1178</v>
      </c>
      <c r="E225" s="40" t="s">
        <v>1179</v>
      </c>
      <c r="F225" s="39" t="s">
        <v>1198</v>
      </c>
      <c r="G225" s="39" t="s">
        <v>1199</v>
      </c>
      <c r="H225" s="40" t="s">
        <v>126</v>
      </c>
      <c r="I225" s="40" t="s">
        <v>325</v>
      </c>
      <c r="J225" s="39" t="s">
        <v>1200</v>
      </c>
      <c r="K225" s="40" t="s">
        <v>1183</v>
      </c>
      <c r="L225" s="41" t="s">
        <v>122</v>
      </c>
      <c r="M225" s="39" t="s">
        <v>1184</v>
      </c>
      <c r="N225" s="41" t="s">
        <v>89</v>
      </c>
      <c r="O225" s="42">
        <v>6</v>
      </c>
      <c r="P225" s="41" t="s">
        <v>46</v>
      </c>
      <c r="Q225" s="41" t="s">
        <v>66</v>
      </c>
      <c r="R225" s="41" t="s">
        <v>234</v>
      </c>
      <c r="S225" s="41" t="s">
        <v>234</v>
      </c>
      <c r="T225" s="41" t="s">
        <v>234</v>
      </c>
      <c r="U225" s="41" t="s">
        <v>234</v>
      </c>
      <c r="V225" s="41" t="s">
        <v>234</v>
      </c>
      <c r="W225" s="41" t="s">
        <v>234</v>
      </c>
      <c r="X225" s="43">
        <v>0</v>
      </c>
      <c r="Y225" s="41" t="s">
        <v>97</v>
      </c>
      <c r="Z225" s="41" t="s">
        <v>97</v>
      </c>
      <c r="AA225" s="41" t="s">
        <v>113</v>
      </c>
      <c r="AB225" s="39" t="s">
        <v>46</v>
      </c>
      <c r="AC225" s="44" t="s">
        <v>46</v>
      </c>
    </row>
    <row r="226" spans="1:29" x14ac:dyDescent="0.25">
      <c r="A226" s="45" t="s">
        <v>1201</v>
      </c>
      <c r="B226" s="46" t="s">
        <v>161</v>
      </c>
      <c r="C226" s="46" t="s">
        <v>163</v>
      </c>
      <c r="D226" s="47" t="s">
        <v>1178</v>
      </c>
      <c r="E226" s="47" t="s">
        <v>1179</v>
      </c>
      <c r="F226" s="46" t="s">
        <v>1202</v>
      </c>
      <c r="G226" s="46" t="s">
        <v>1203</v>
      </c>
      <c r="H226" s="47" t="s">
        <v>126</v>
      </c>
      <c r="I226" s="47" t="s">
        <v>325</v>
      </c>
      <c r="J226" s="46" t="s">
        <v>1204</v>
      </c>
      <c r="K226" s="47" t="s">
        <v>1183</v>
      </c>
      <c r="L226" s="48" t="s">
        <v>122</v>
      </c>
      <c r="M226" s="46" t="s">
        <v>1184</v>
      </c>
      <c r="N226" s="48" t="s">
        <v>89</v>
      </c>
      <c r="O226" s="49">
        <v>6</v>
      </c>
      <c r="P226" s="48" t="s">
        <v>46</v>
      </c>
      <c r="Q226" s="41" t="s">
        <v>66</v>
      </c>
      <c r="R226" s="41" t="s">
        <v>234</v>
      </c>
      <c r="S226" s="41" t="s">
        <v>234</v>
      </c>
      <c r="T226" s="41" t="s">
        <v>234</v>
      </c>
      <c r="U226" s="41" t="s">
        <v>234</v>
      </c>
      <c r="V226" s="41" t="s">
        <v>234</v>
      </c>
      <c r="W226" s="41" t="s">
        <v>234</v>
      </c>
      <c r="X226" s="43">
        <v>0</v>
      </c>
      <c r="Y226" s="41" t="s">
        <v>97</v>
      </c>
      <c r="Z226" s="41" t="s">
        <v>97</v>
      </c>
      <c r="AA226" s="41" t="s">
        <v>113</v>
      </c>
      <c r="AB226" s="39" t="s">
        <v>46</v>
      </c>
      <c r="AC226" s="44" t="s">
        <v>46</v>
      </c>
    </row>
    <row r="227" spans="1:29" x14ac:dyDescent="0.25">
      <c r="A227" s="38" t="s">
        <v>1205</v>
      </c>
      <c r="B227" s="39" t="s">
        <v>161</v>
      </c>
      <c r="C227" s="39" t="s">
        <v>163</v>
      </c>
      <c r="D227" s="40" t="s">
        <v>1178</v>
      </c>
      <c r="E227" s="40" t="s">
        <v>131</v>
      </c>
      <c r="F227" s="39" t="s">
        <v>1206</v>
      </c>
      <c r="G227" s="39" t="s">
        <v>1207</v>
      </c>
      <c r="H227" s="40" t="s">
        <v>126</v>
      </c>
      <c r="I227" s="40" t="s">
        <v>469</v>
      </c>
      <c r="J227" s="39" t="s">
        <v>1208</v>
      </c>
      <c r="K227" s="40" t="s">
        <v>1183</v>
      </c>
      <c r="L227" s="41" t="s">
        <v>122</v>
      </c>
      <c r="M227" s="39" t="s">
        <v>1184</v>
      </c>
      <c r="N227" s="41" t="s">
        <v>90</v>
      </c>
      <c r="O227" s="42">
        <v>8</v>
      </c>
      <c r="P227" s="41" t="s">
        <v>46</v>
      </c>
      <c r="Q227" s="41" t="s">
        <v>66</v>
      </c>
      <c r="R227" s="41" t="s">
        <v>234</v>
      </c>
      <c r="S227" s="41" t="s">
        <v>234</v>
      </c>
      <c r="T227" s="41" t="s">
        <v>234</v>
      </c>
      <c r="U227" s="41" t="s">
        <v>234</v>
      </c>
      <c r="V227" s="41" t="s">
        <v>234</v>
      </c>
      <c r="W227" s="41" t="s">
        <v>234</v>
      </c>
      <c r="X227" s="43">
        <v>0</v>
      </c>
      <c r="Y227" s="41" t="s">
        <v>97</v>
      </c>
      <c r="Z227" s="41" t="s">
        <v>97</v>
      </c>
      <c r="AA227" s="41" t="s">
        <v>113</v>
      </c>
      <c r="AB227" s="39" t="s">
        <v>46</v>
      </c>
      <c r="AC227" s="44" t="s">
        <v>46</v>
      </c>
    </row>
    <row r="228" spans="1:29" x14ac:dyDescent="0.25">
      <c r="A228" s="45" t="s">
        <v>1209</v>
      </c>
      <c r="B228" s="46" t="s">
        <v>161</v>
      </c>
      <c r="C228" s="46" t="s">
        <v>163</v>
      </c>
      <c r="D228" s="47" t="s">
        <v>1178</v>
      </c>
      <c r="E228" s="47" t="s">
        <v>1179</v>
      </c>
      <c r="F228" s="46" t="s">
        <v>1210</v>
      </c>
      <c r="G228" s="46" t="s">
        <v>1211</v>
      </c>
      <c r="H228" s="47" t="s">
        <v>123</v>
      </c>
      <c r="I228" s="47" t="s">
        <v>495</v>
      </c>
      <c r="J228" s="46" t="s">
        <v>1212</v>
      </c>
      <c r="K228" s="47" t="s">
        <v>1183</v>
      </c>
      <c r="L228" s="48" t="s">
        <v>122</v>
      </c>
      <c r="M228" s="46" t="s">
        <v>1184</v>
      </c>
      <c r="N228" s="48" t="s">
        <v>90</v>
      </c>
      <c r="O228" s="49">
        <v>10</v>
      </c>
      <c r="P228" s="48" t="s">
        <v>46</v>
      </c>
      <c r="Q228" s="41" t="s">
        <v>66</v>
      </c>
      <c r="R228" s="41" t="s">
        <v>234</v>
      </c>
      <c r="S228" s="41" t="s">
        <v>234</v>
      </c>
      <c r="T228" s="41" t="s">
        <v>234</v>
      </c>
      <c r="U228" s="41" t="s">
        <v>234</v>
      </c>
      <c r="V228" s="41" t="s">
        <v>234</v>
      </c>
      <c r="W228" s="41" t="s">
        <v>234</v>
      </c>
      <c r="X228" s="43">
        <v>0</v>
      </c>
      <c r="Y228" s="41" t="s">
        <v>97</v>
      </c>
      <c r="Z228" s="41" t="s">
        <v>97</v>
      </c>
      <c r="AA228" s="41" t="s">
        <v>113</v>
      </c>
      <c r="AB228" s="39" t="s">
        <v>46</v>
      </c>
      <c r="AC228" s="44" t="s">
        <v>46</v>
      </c>
    </row>
    <row r="229" spans="1:29" x14ac:dyDescent="0.25">
      <c r="A229" s="38" t="s">
        <v>1213</v>
      </c>
      <c r="B229" s="39" t="s">
        <v>161</v>
      </c>
      <c r="C229" s="39" t="s">
        <v>163</v>
      </c>
      <c r="D229" s="40" t="s">
        <v>1178</v>
      </c>
      <c r="E229" s="40" t="s">
        <v>129</v>
      </c>
      <c r="F229" s="39" t="s">
        <v>1214</v>
      </c>
      <c r="G229" s="39" t="s">
        <v>1215</v>
      </c>
      <c r="H229" s="40" t="s">
        <v>126</v>
      </c>
      <c r="I229" s="40" t="s">
        <v>325</v>
      </c>
      <c r="J229" s="39" t="s">
        <v>1216</v>
      </c>
      <c r="K229" s="40" t="s">
        <v>1183</v>
      </c>
      <c r="L229" s="41" t="s">
        <v>122</v>
      </c>
      <c r="M229" s="39" t="s">
        <v>1184</v>
      </c>
      <c r="N229" s="41" t="s">
        <v>90</v>
      </c>
      <c r="O229" s="42">
        <v>6</v>
      </c>
      <c r="P229" s="41" t="s">
        <v>46</v>
      </c>
      <c r="Q229" s="41" t="s">
        <v>66</v>
      </c>
      <c r="R229" s="41" t="s">
        <v>234</v>
      </c>
      <c r="S229" s="41" t="s">
        <v>234</v>
      </c>
      <c r="T229" s="41" t="s">
        <v>234</v>
      </c>
      <c r="U229" s="41" t="s">
        <v>234</v>
      </c>
      <c r="V229" s="41" t="s">
        <v>234</v>
      </c>
      <c r="W229" s="41" t="s">
        <v>234</v>
      </c>
      <c r="X229" s="43">
        <v>0</v>
      </c>
      <c r="Y229" s="41" t="s">
        <v>97</v>
      </c>
      <c r="Z229" s="41" t="s">
        <v>97</v>
      </c>
      <c r="AA229" s="41" t="s">
        <v>113</v>
      </c>
      <c r="AB229" s="39" t="s">
        <v>46</v>
      </c>
      <c r="AC229" s="44" t="s">
        <v>46</v>
      </c>
    </row>
    <row r="230" spans="1:29" x14ac:dyDescent="0.25">
      <c r="A230" s="45" t="s">
        <v>1217</v>
      </c>
      <c r="B230" s="46" t="s">
        <v>161</v>
      </c>
      <c r="C230" s="46" t="s">
        <v>163</v>
      </c>
      <c r="D230" s="47" t="s">
        <v>1178</v>
      </c>
      <c r="E230" s="47" t="s">
        <v>129</v>
      </c>
      <c r="F230" s="46" t="s">
        <v>1218</v>
      </c>
      <c r="G230" s="46" t="s">
        <v>1219</v>
      </c>
      <c r="H230" s="47" t="s">
        <v>132</v>
      </c>
      <c r="I230" s="47" t="s">
        <v>522</v>
      </c>
      <c r="J230" s="46" t="s">
        <v>1220</v>
      </c>
      <c r="K230" s="47" t="s">
        <v>1183</v>
      </c>
      <c r="L230" s="48" t="s">
        <v>122</v>
      </c>
      <c r="M230" s="46" t="s">
        <v>1184</v>
      </c>
      <c r="N230" s="48" t="s">
        <v>90</v>
      </c>
      <c r="O230" s="49">
        <v>8</v>
      </c>
      <c r="P230" s="48" t="s">
        <v>46</v>
      </c>
      <c r="Q230" s="41" t="s">
        <v>66</v>
      </c>
      <c r="R230" s="41" t="s">
        <v>234</v>
      </c>
      <c r="S230" s="41" t="s">
        <v>234</v>
      </c>
      <c r="T230" s="41" t="s">
        <v>234</v>
      </c>
      <c r="U230" s="41" t="s">
        <v>234</v>
      </c>
      <c r="V230" s="41" t="s">
        <v>234</v>
      </c>
      <c r="W230" s="41" t="s">
        <v>234</v>
      </c>
      <c r="X230" s="43">
        <v>0</v>
      </c>
      <c r="Y230" s="41" t="s">
        <v>97</v>
      </c>
      <c r="Z230" s="41" t="s">
        <v>97</v>
      </c>
      <c r="AA230" s="41" t="s">
        <v>113</v>
      </c>
      <c r="AB230" s="39" t="s">
        <v>46</v>
      </c>
      <c r="AC230" s="44" t="s">
        <v>46</v>
      </c>
    </row>
    <row r="231" spans="1:29" x14ac:dyDescent="0.25">
      <c r="A231" s="38" t="s">
        <v>1221</v>
      </c>
      <c r="B231" s="39" t="s">
        <v>161</v>
      </c>
      <c r="C231" s="39" t="s">
        <v>163</v>
      </c>
      <c r="D231" s="40" t="s">
        <v>1178</v>
      </c>
      <c r="E231" s="40" t="s">
        <v>1179</v>
      </c>
      <c r="F231" s="39" t="s">
        <v>1222</v>
      </c>
      <c r="G231" s="39" t="s">
        <v>1223</v>
      </c>
      <c r="H231" s="40" t="s">
        <v>126</v>
      </c>
      <c r="I231" s="40" t="s">
        <v>325</v>
      </c>
      <c r="J231" s="39" t="s">
        <v>1224</v>
      </c>
      <c r="K231" s="40" t="s">
        <v>1183</v>
      </c>
      <c r="L231" s="41" t="s">
        <v>122</v>
      </c>
      <c r="M231" s="39" t="s">
        <v>1184</v>
      </c>
      <c r="N231" s="41" t="s">
        <v>91</v>
      </c>
      <c r="O231" s="42">
        <v>6</v>
      </c>
      <c r="P231" s="41" t="s">
        <v>46</v>
      </c>
      <c r="Q231" s="41" t="s">
        <v>66</v>
      </c>
      <c r="R231" s="41" t="s">
        <v>234</v>
      </c>
      <c r="S231" s="41" t="s">
        <v>234</v>
      </c>
      <c r="T231" s="41" t="s">
        <v>234</v>
      </c>
      <c r="U231" s="41" t="s">
        <v>234</v>
      </c>
      <c r="V231" s="41" t="s">
        <v>234</v>
      </c>
      <c r="W231" s="41" t="s">
        <v>234</v>
      </c>
      <c r="X231" s="43">
        <v>0</v>
      </c>
      <c r="Y231" s="41" t="s">
        <v>97</v>
      </c>
      <c r="Z231" s="41" t="s">
        <v>97</v>
      </c>
      <c r="AA231" s="41" t="s">
        <v>113</v>
      </c>
      <c r="AB231" s="39" t="s">
        <v>46</v>
      </c>
      <c r="AC231" s="44" t="s">
        <v>46</v>
      </c>
    </row>
    <row r="232" spans="1:29" x14ac:dyDescent="0.25">
      <c r="A232" s="45" t="s">
        <v>1225</v>
      </c>
      <c r="B232" s="46" t="s">
        <v>161</v>
      </c>
      <c r="C232" s="46" t="s">
        <v>163</v>
      </c>
      <c r="D232" s="47" t="s">
        <v>1178</v>
      </c>
      <c r="E232" s="47" t="s">
        <v>135</v>
      </c>
      <c r="F232" s="46" t="s">
        <v>1226</v>
      </c>
      <c r="G232" s="46" t="s">
        <v>1227</v>
      </c>
      <c r="H232" s="47" t="s">
        <v>123</v>
      </c>
      <c r="I232" s="47" t="s">
        <v>135</v>
      </c>
      <c r="J232" s="46" t="s">
        <v>1228</v>
      </c>
      <c r="K232" s="47" t="s">
        <v>1229</v>
      </c>
      <c r="L232" s="48" t="s">
        <v>122</v>
      </c>
      <c r="M232" s="46" t="s">
        <v>1184</v>
      </c>
      <c r="N232" s="48" t="s">
        <v>91</v>
      </c>
      <c r="O232" s="49">
        <v>10</v>
      </c>
      <c r="P232" s="48" t="s">
        <v>46</v>
      </c>
      <c r="Q232" s="41" t="s">
        <v>66</v>
      </c>
      <c r="R232" s="41" t="s">
        <v>234</v>
      </c>
      <c r="S232" s="41" t="s">
        <v>234</v>
      </c>
      <c r="T232" s="41" t="s">
        <v>234</v>
      </c>
      <c r="U232" s="41" t="s">
        <v>234</v>
      </c>
      <c r="V232" s="41" t="s">
        <v>234</v>
      </c>
      <c r="W232" s="41" t="s">
        <v>234</v>
      </c>
      <c r="X232" s="43">
        <v>0</v>
      </c>
      <c r="Y232" s="41" t="s">
        <v>97</v>
      </c>
      <c r="Z232" s="41" t="s">
        <v>97</v>
      </c>
      <c r="AA232" s="41" t="s">
        <v>113</v>
      </c>
      <c r="AB232" s="39" t="s">
        <v>46</v>
      </c>
      <c r="AC232" s="44" t="s">
        <v>46</v>
      </c>
    </row>
    <row r="233" spans="1:29" x14ac:dyDescent="0.25">
      <c r="A233" s="38" t="s">
        <v>1230</v>
      </c>
      <c r="B233" s="39" t="s">
        <v>161</v>
      </c>
      <c r="C233" s="39" t="s">
        <v>163</v>
      </c>
      <c r="D233" s="40" t="s">
        <v>1178</v>
      </c>
      <c r="E233" s="40" t="s">
        <v>56</v>
      </c>
      <c r="F233" s="39" t="s">
        <v>1231</v>
      </c>
      <c r="G233" s="39" t="s">
        <v>1232</v>
      </c>
      <c r="H233" s="40" t="s">
        <v>132</v>
      </c>
      <c r="I233" s="40" t="s">
        <v>522</v>
      </c>
      <c r="J233" s="39" t="s">
        <v>1233</v>
      </c>
      <c r="K233" s="40" t="s">
        <v>1183</v>
      </c>
      <c r="L233" s="41" t="s">
        <v>122</v>
      </c>
      <c r="M233" s="39" t="s">
        <v>1184</v>
      </c>
      <c r="N233" s="41" t="s">
        <v>91</v>
      </c>
      <c r="O233" s="42">
        <v>10</v>
      </c>
      <c r="P233" s="41" t="s">
        <v>46</v>
      </c>
      <c r="Q233" s="41" t="s">
        <v>66</v>
      </c>
      <c r="R233" s="41" t="s">
        <v>234</v>
      </c>
      <c r="S233" s="41" t="s">
        <v>234</v>
      </c>
      <c r="T233" s="41" t="s">
        <v>234</v>
      </c>
      <c r="U233" s="41" t="s">
        <v>234</v>
      </c>
      <c r="V233" s="41" t="s">
        <v>234</v>
      </c>
      <c r="W233" s="41" t="s">
        <v>234</v>
      </c>
      <c r="X233" s="43">
        <v>0</v>
      </c>
      <c r="Y233" s="41" t="s">
        <v>97</v>
      </c>
      <c r="Z233" s="41" t="s">
        <v>97</v>
      </c>
      <c r="AA233" s="41" t="s">
        <v>113</v>
      </c>
      <c r="AB233" s="39" t="s">
        <v>46</v>
      </c>
      <c r="AC233" s="44" t="s">
        <v>46</v>
      </c>
    </row>
    <row r="234" spans="1:29" x14ac:dyDescent="0.25">
      <c r="A234" s="45" t="s">
        <v>1234</v>
      </c>
      <c r="B234" s="46" t="s">
        <v>161</v>
      </c>
      <c r="C234" s="46" t="s">
        <v>164</v>
      </c>
      <c r="D234" s="47" t="s">
        <v>1235</v>
      </c>
      <c r="E234" s="47" t="s">
        <v>398</v>
      </c>
      <c r="F234" s="46" t="s">
        <v>1236</v>
      </c>
      <c r="G234" s="46" t="s">
        <v>1237</v>
      </c>
      <c r="H234" s="47" t="s">
        <v>128</v>
      </c>
      <c r="I234" s="47" t="s">
        <v>401</v>
      </c>
      <c r="J234" s="46" t="s">
        <v>1238</v>
      </c>
      <c r="K234" s="47" t="s">
        <v>1239</v>
      </c>
      <c r="L234" s="48" t="s">
        <v>122</v>
      </c>
      <c r="M234" s="46" t="s">
        <v>1240</v>
      </c>
      <c r="N234" s="48" t="s">
        <v>90</v>
      </c>
      <c r="O234" s="49">
        <v>8</v>
      </c>
      <c r="P234" s="48" t="s">
        <v>46</v>
      </c>
      <c r="Q234" s="41" t="s">
        <v>66</v>
      </c>
      <c r="R234" s="41" t="s">
        <v>234</v>
      </c>
      <c r="S234" s="41" t="s">
        <v>234</v>
      </c>
      <c r="T234" s="41" t="s">
        <v>234</v>
      </c>
      <c r="U234" s="41" t="s">
        <v>234</v>
      </c>
      <c r="V234" s="41" t="s">
        <v>234</v>
      </c>
      <c r="W234" s="41" t="s">
        <v>234</v>
      </c>
      <c r="X234" s="43">
        <v>0</v>
      </c>
      <c r="Y234" s="41" t="s">
        <v>97</v>
      </c>
      <c r="Z234" s="41" t="s">
        <v>97</v>
      </c>
      <c r="AA234" s="41" t="s">
        <v>113</v>
      </c>
      <c r="AB234" s="39" t="s">
        <v>46</v>
      </c>
      <c r="AC234" s="44" t="s">
        <v>46</v>
      </c>
    </row>
    <row r="235" spans="1:29" x14ac:dyDescent="0.25">
      <c r="A235" s="38" t="s">
        <v>1241</v>
      </c>
      <c r="B235" s="39" t="s">
        <v>161</v>
      </c>
      <c r="C235" s="39" t="s">
        <v>164</v>
      </c>
      <c r="D235" s="40" t="s">
        <v>1235</v>
      </c>
      <c r="E235" s="40" t="s">
        <v>1179</v>
      </c>
      <c r="F235" s="39" t="s">
        <v>1242</v>
      </c>
      <c r="G235" s="39" t="s">
        <v>1243</v>
      </c>
      <c r="H235" s="40" t="s">
        <v>126</v>
      </c>
      <c r="I235" s="40" t="s">
        <v>246</v>
      </c>
      <c r="J235" s="39" t="s">
        <v>1244</v>
      </c>
      <c r="K235" s="40" t="s">
        <v>1239</v>
      </c>
      <c r="L235" s="41" t="s">
        <v>122</v>
      </c>
      <c r="M235" s="39" t="s">
        <v>1240</v>
      </c>
      <c r="N235" s="41" t="s">
        <v>91</v>
      </c>
      <c r="O235" s="42">
        <v>10</v>
      </c>
      <c r="P235" s="41" t="s">
        <v>46</v>
      </c>
      <c r="Q235" s="41" t="s">
        <v>66</v>
      </c>
      <c r="R235" s="41" t="s">
        <v>234</v>
      </c>
      <c r="S235" s="41" t="s">
        <v>234</v>
      </c>
      <c r="T235" s="41" t="s">
        <v>234</v>
      </c>
      <c r="U235" s="41" t="s">
        <v>234</v>
      </c>
      <c r="V235" s="41" t="s">
        <v>234</v>
      </c>
      <c r="W235" s="41" t="s">
        <v>234</v>
      </c>
      <c r="X235" s="43">
        <v>0</v>
      </c>
      <c r="Y235" s="41" t="s">
        <v>97</v>
      </c>
      <c r="Z235" s="41" t="s">
        <v>97</v>
      </c>
      <c r="AA235" s="41" t="s">
        <v>113</v>
      </c>
      <c r="AB235" s="39" t="s">
        <v>46</v>
      </c>
      <c r="AC235" s="44" t="s">
        <v>46</v>
      </c>
    </row>
    <row r="236" spans="1:29" x14ac:dyDescent="0.25">
      <c r="A236" s="45" t="s">
        <v>1245</v>
      </c>
      <c r="B236" s="46" t="s">
        <v>161</v>
      </c>
      <c r="C236" s="46" t="s">
        <v>164</v>
      </c>
      <c r="D236" s="47" t="s">
        <v>1235</v>
      </c>
      <c r="E236" s="47" t="s">
        <v>1179</v>
      </c>
      <c r="F236" s="46" t="s">
        <v>1246</v>
      </c>
      <c r="G236" s="46" t="s">
        <v>1247</v>
      </c>
      <c r="H236" s="47" t="s">
        <v>126</v>
      </c>
      <c r="I236" s="47" t="s">
        <v>351</v>
      </c>
      <c r="J236" s="46" t="s">
        <v>1248</v>
      </c>
      <c r="K236" s="47" t="s">
        <v>1239</v>
      </c>
      <c r="L236" s="48" t="s">
        <v>122</v>
      </c>
      <c r="M236" s="46" t="s">
        <v>1240</v>
      </c>
      <c r="N236" s="48" t="s">
        <v>91</v>
      </c>
      <c r="O236" s="49">
        <v>10</v>
      </c>
      <c r="P236" s="48" t="s">
        <v>46</v>
      </c>
      <c r="Q236" s="41" t="s">
        <v>66</v>
      </c>
      <c r="R236" s="41" t="s">
        <v>234</v>
      </c>
      <c r="S236" s="41" t="s">
        <v>234</v>
      </c>
      <c r="T236" s="41" t="s">
        <v>234</v>
      </c>
      <c r="U236" s="41" t="s">
        <v>234</v>
      </c>
      <c r="V236" s="41" t="s">
        <v>234</v>
      </c>
      <c r="W236" s="41" t="s">
        <v>234</v>
      </c>
      <c r="X236" s="43">
        <v>0</v>
      </c>
      <c r="Y236" s="41" t="s">
        <v>97</v>
      </c>
      <c r="Z236" s="41" t="s">
        <v>97</v>
      </c>
      <c r="AA236" s="41" t="s">
        <v>113</v>
      </c>
      <c r="AB236" s="39" t="s">
        <v>46</v>
      </c>
      <c r="AC236" s="44" t="s">
        <v>46</v>
      </c>
    </row>
    <row r="237" spans="1:29" x14ac:dyDescent="0.25">
      <c r="A237" s="38" t="s">
        <v>1249</v>
      </c>
      <c r="B237" s="39" t="s">
        <v>161</v>
      </c>
      <c r="C237" s="39" t="s">
        <v>164</v>
      </c>
      <c r="D237" s="40" t="s">
        <v>1235</v>
      </c>
      <c r="E237" s="40" t="s">
        <v>1179</v>
      </c>
      <c r="F237" s="39" t="s">
        <v>1250</v>
      </c>
      <c r="G237" s="39" t="s">
        <v>1251</v>
      </c>
      <c r="H237" s="40" t="s">
        <v>126</v>
      </c>
      <c r="I237" s="40" t="s">
        <v>351</v>
      </c>
      <c r="J237" s="39" t="s">
        <v>1252</v>
      </c>
      <c r="K237" s="40" t="s">
        <v>1239</v>
      </c>
      <c r="L237" s="41" t="s">
        <v>122</v>
      </c>
      <c r="M237" s="39" t="s">
        <v>1240</v>
      </c>
      <c r="N237" s="41" t="s">
        <v>91</v>
      </c>
      <c r="O237" s="42">
        <v>8</v>
      </c>
      <c r="P237" s="41" t="s">
        <v>46</v>
      </c>
      <c r="Q237" s="41" t="s">
        <v>66</v>
      </c>
      <c r="R237" s="41" t="s">
        <v>234</v>
      </c>
      <c r="S237" s="41" t="s">
        <v>234</v>
      </c>
      <c r="T237" s="41" t="s">
        <v>234</v>
      </c>
      <c r="U237" s="41" t="s">
        <v>234</v>
      </c>
      <c r="V237" s="41" t="s">
        <v>234</v>
      </c>
      <c r="W237" s="41" t="s">
        <v>234</v>
      </c>
      <c r="X237" s="43">
        <v>0</v>
      </c>
      <c r="Y237" s="41" t="s">
        <v>97</v>
      </c>
      <c r="Z237" s="41" t="s">
        <v>97</v>
      </c>
      <c r="AA237" s="41" t="s">
        <v>113</v>
      </c>
      <c r="AB237" s="39" t="s">
        <v>46</v>
      </c>
      <c r="AC237" s="44" t="s">
        <v>46</v>
      </c>
    </row>
    <row r="238" spans="1:29" x14ac:dyDescent="0.25">
      <c r="A238" s="45" t="s">
        <v>1253</v>
      </c>
      <c r="B238" s="46" t="s">
        <v>161</v>
      </c>
      <c r="C238" s="46" t="s">
        <v>164</v>
      </c>
      <c r="D238" s="47" t="s">
        <v>1235</v>
      </c>
      <c r="E238" s="47" t="s">
        <v>1179</v>
      </c>
      <c r="F238" s="46" t="s">
        <v>1254</v>
      </c>
      <c r="G238" s="46" t="s">
        <v>1255</v>
      </c>
      <c r="H238" s="47" t="s">
        <v>126</v>
      </c>
      <c r="I238" s="47" t="s">
        <v>325</v>
      </c>
      <c r="J238" s="46" t="s">
        <v>1256</v>
      </c>
      <c r="K238" s="47" t="s">
        <v>1239</v>
      </c>
      <c r="L238" s="48" t="s">
        <v>122</v>
      </c>
      <c r="M238" s="46" t="s">
        <v>1240</v>
      </c>
      <c r="N238" s="48" t="s">
        <v>92</v>
      </c>
      <c r="O238" s="49">
        <v>8</v>
      </c>
      <c r="P238" s="48" t="s">
        <v>46</v>
      </c>
      <c r="Q238" s="41" t="s">
        <v>66</v>
      </c>
      <c r="R238" s="41" t="s">
        <v>234</v>
      </c>
      <c r="S238" s="41" t="s">
        <v>234</v>
      </c>
      <c r="T238" s="41" t="s">
        <v>234</v>
      </c>
      <c r="U238" s="41" t="s">
        <v>234</v>
      </c>
      <c r="V238" s="41" t="s">
        <v>234</v>
      </c>
      <c r="W238" s="41" t="s">
        <v>234</v>
      </c>
      <c r="X238" s="43">
        <v>0</v>
      </c>
      <c r="Y238" s="41" t="s">
        <v>97</v>
      </c>
      <c r="Z238" s="41" t="s">
        <v>97</v>
      </c>
      <c r="AA238" s="41" t="s">
        <v>113</v>
      </c>
      <c r="AB238" s="39" t="s">
        <v>46</v>
      </c>
      <c r="AC238" s="44" t="s">
        <v>46</v>
      </c>
    </row>
    <row r="239" spans="1:29" x14ac:dyDescent="0.25">
      <c r="A239" s="38" t="s">
        <v>1257</v>
      </c>
      <c r="B239" s="39" t="s">
        <v>161</v>
      </c>
      <c r="C239" s="39" t="s">
        <v>164</v>
      </c>
      <c r="D239" s="40" t="s">
        <v>1235</v>
      </c>
      <c r="E239" s="40" t="s">
        <v>1179</v>
      </c>
      <c r="F239" s="39" t="s">
        <v>1258</v>
      </c>
      <c r="G239" s="39" t="s">
        <v>1259</v>
      </c>
      <c r="H239" s="40" t="s">
        <v>126</v>
      </c>
      <c r="I239" s="40" t="s">
        <v>325</v>
      </c>
      <c r="J239" s="39" t="s">
        <v>1260</v>
      </c>
      <c r="K239" s="40" t="s">
        <v>1239</v>
      </c>
      <c r="L239" s="41" t="s">
        <v>122</v>
      </c>
      <c r="M239" s="39" t="s">
        <v>1240</v>
      </c>
      <c r="N239" s="41" t="s">
        <v>92</v>
      </c>
      <c r="O239" s="42">
        <v>6</v>
      </c>
      <c r="P239" s="41" t="s">
        <v>46</v>
      </c>
      <c r="Q239" s="41" t="s">
        <v>66</v>
      </c>
      <c r="R239" s="41" t="s">
        <v>234</v>
      </c>
      <c r="S239" s="41" t="s">
        <v>234</v>
      </c>
      <c r="T239" s="41" t="s">
        <v>234</v>
      </c>
      <c r="U239" s="41" t="s">
        <v>234</v>
      </c>
      <c r="V239" s="41" t="s">
        <v>234</v>
      </c>
      <c r="W239" s="41" t="s">
        <v>234</v>
      </c>
      <c r="X239" s="43">
        <v>0</v>
      </c>
      <c r="Y239" s="41" t="s">
        <v>97</v>
      </c>
      <c r="Z239" s="41" t="s">
        <v>97</v>
      </c>
      <c r="AA239" s="41" t="s">
        <v>113</v>
      </c>
      <c r="AB239" s="39" t="s">
        <v>46</v>
      </c>
      <c r="AC239" s="44" t="s">
        <v>46</v>
      </c>
    </row>
    <row r="240" spans="1:29" x14ac:dyDescent="0.25">
      <c r="A240" s="45" t="s">
        <v>1261</v>
      </c>
      <c r="B240" s="46" t="s">
        <v>161</v>
      </c>
      <c r="C240" s="46" t="s">
        <v>164</v>
      </c>
      <c r="D240" s="47" t="s">
        <v>1235</v>
      </c>
      <c r="E240" s="47" t="s">
        <v>1179</v>
      </c>
      <c r="F240" s="46" t="s">
        <v>1262</v>
      </c>
      <c r="G240" s="46" t="s">
        <v>1263</v>
      </c>
      <c r="H240" s="47" t="s">
        <v>126</v>
      </c>
      <c r="I240" s="47" t="s">
        <v>325</v>
      </c>
      <c r="J240" s="46" t="s">
        <v>1264</v>
      </c>
      <c r="K240" s="47" t="s">
        <v>1239</v>
      </c>
      <c r="L240" s="48" t="s">
        <v>122</v>
      </c>
      <c r="M240" s="46" t="s">
        <v>1240</v>
      </c>
      <c r="N240" s="48" t="s">
        <v>92</v>
      </c>
      <c r="O240" s="49">
        <v>8</v>
      </c>
      <c r="P240" s="48" t="s">
        <v>46</v>
      </c>
      <c r="Q240" s="41" t="s">
        <v>66</v>
      </c>
      <c r="R240" s="41" t="s">
        <v>234</v>
      </c>
      <c r="S240" s="41" t="s">
        <v>234</v>
      </c>
      <c r="T240" s="41" t="s">
        <v>234</v>
      </c>
      <c r="U240" s="41" t="s">
        <v>234</v>
      </c>
      <c r="V240" s="41" t="s">
        <v>234</v>
      </c>
      <c r="W240" s="41" t="s">
        <v>234</v>
      </c>
      <c r="X240" s="43">
        <v>0</v>
      </c>
      <c r="Y240" s="41" t="s">
        <v>97</v>
      </c>
      <c r="Z240" s="41" t="s">
        <v>97</v>
      </c>
      <c r="AA240" s="41" t="s">
        <v>113</v>
      </c>
      <c r="AB240" s="39" t="s">
        <v>46</v>
      </c>
      <c r="AC240" s="44" t="s">
        <v>46</v>
      </c>
    </row>
    <row r="241" spans="1:29" x14ac:dyDescent="0.25">
      <c r="A241" s="38" t="s">
        <v>1265</v>
      </c>
      <c r="B241" s="39" t="s">
        <v>161</v>
      </c>
      <c r="C241" s="39" t="s">
        <v>164</v>
      </c>
      <c r="D241" s="40" t="s">
        <v>1235</v>
      </c>
      <c r="E241" s="40" t="s">
        <v>1179</v>
      </c>
      <c r="F241" s="39" t="s">
        <v>1266</v>
      </c>
      <c r="G241" s="39" t="s">
        <v>1267</v>
      </c>
      <c r="H241" s="40" t="s">
        <v>126</v>
      </c>
      <c r="I241" s="40" t="s">
        <v>351</v>
      </c>
      <c r="J241" s="39" t="s">
        <v>1268</v>
      </c>
      <c r="K241" s="40" t="s">
        <v>1239</v>
      </c>
      <c r="L241" s="41" t="s">
        <v>122</v>
      </c>
      <c r="M241" s="39" t="s">
        <v>1240</v>
      </c>
      <c r="N241" s="41" t="s">
        <v>92</v>
      </c>
      <c r="O241" s="42">
        <v>8</v>
      </c>
      <c r="P241" s="41" t="s">
        <v>46</v>
      </c>
      <c r="Q241" s="41" t="s">
        <v>66</v>
      </c>
      <c r="R241" s="41" t="s">
        <v>234</v>
      </c>
      <c r="S241" s="41" t="s">
        <v>234</v>
      </c>
      <c r="T241" s="41" t="s">
        <v>234</v>
      </c>
      <c r="U241" s="41" t="s">
        <v>234</v>
      </c>
      <c r="V241" s="41" t="s">
        <v>234</v>
      </c>
      <c r="W241" s="41" t="s">
        <v>234</v>
      </c>
      <c r="X241" s="43">
        <v>0</v>
      </c>
      <c r="Y241" s="41" t="s">
        <v>97</v>
      </c>
      <c r="Z241" s="41" t="s">
        <v>97</v>
      </c>
      <c r="AA241" s="41" t="s">
        <v>113</v>
      </c>
      <c r="AB241" s="39" t="s">
        <v>46</v>
      </c>
      <c r="AC241" s="44" t="s">
        <v>46</v>
      </c>
    </row>
    <row r="242" spans="1:29" x14ac:dyDescent="0.25">
      <c r="A242" s="45" t="s">
        <v>1269</v>
      </c>
      <c r="B242" s="46" t="s">
        <v>161</v>
      </c>
      <c r="C242" s="46" t="s">
        <v>164</v>
      </c>
      <c r="D242" s="47" t="s">
        <v>1235</v>
      </c>
      <c r="E242" s="47" t="s">
        <v>1179</v>
      </c>
      <c r="F242" s="46" t="s">
        <v>1270</v>
      </c>
      <c r="G242" s="46" t="s">
        <v>1271</v>
      </c>
      <c r="H242" s="47" t="s">
        <v>126</v>
      </c>
      <c r="I242" s="47" t="s">
        <v>325</v>
      </c>
      <c r="J242" s="46" t="s">
        <v>1272</v>
      </c>
      <c r="K242" s="47" t="s">
        <v>1239</v>
      </c>
      <c r="L242" s="48" t="s">
        <v>122</v>
      </c>
      <c r="M242" s="46" t="s">
        <v>1240</v>
      </c>
      <c r="N242" s="48" t="s">
        <v>92</v>
      </c>
      <c r="O242" s="49">
        <v>6</v>
      </c>
      <c r="P242" s="48" t="s">
        <v>46</v>
      </c>
      <c r="Q242" s="41" t="s">
        <v>66</v>
      </c>
      <c r="R242" s="41" t="s">
        <v>234</v>
      </c>
      <c r="S242" s="41" t="s">
        <v>234</v>
      </c>
      <c r="T242" s="41" t="s">
        <v>234</v>
      </c>
      <c r="U242" s="41" t="s">
        <v>234</v>
      </c>
      <c r="V242" s="41" t="s">
        <v>234</v>
      </c>
      <c r="W242" s="41" t="s">
        <v>234</v>
      </c>
      <c r="X242" s="43">
        <v>0</v>
      </c>
      <c r="Y242" s="41" t="s">
        <v>97</v>
      </c>
      <c r="Z242" s="41" t="s">
        <v>97</v>
      </c>
      <c r="AA242" s="41" t="s">
        <v>113</v>
      </c>
      <c r="AB242" s="39" t="s">
        <v>46</v>
      </c>
      <c r="AC242" s="44" t="s">
        <v>46</v>
      </c>
    </row>
    <row r="243" spans="1:29" x14ac:dyDescent="0.25">
      <c r="A243" s="38" t="s">
        <v>1273</v>
      </c>
      <c r="B243" s="39" t="s">
        <v>161</v>
      </c>
      <c r="C243" s="39" t="s">
        <v>164</v>
      </c>
      <c r="D243" s="40" t="s">
        <v>1235</v>
      </c>
      <c r="E243" s="40" t="s">
        <v>1179</v>
      </c>
      <c r="F243" s="39" t="s">
        <v>1274</v>
      </c>
      <c r="G243" s="39" t="s">
        <v>1275</v>
      </c>
      <c r="H243" s="40" t="s">
        <v>126</v>
      </c>
      <c r="I243" s="40" t="s">
        <v>325</v>
      </c>
      <c r="J243" s="39" t="s">
        <v>1276</v>
      </c>
      <c r="K243" s="40" t="s">
        <v>1239</v>
      </c>
      <c r="L243" s="41" t="s">
        <v>122</v>
      </c>
      <c r="M243" s="39" t="s">
        <v>1240</v>
      </c>
      <c r="N243" s="41" t="s">
        <v>92</v>
      </c>
      <c r="O243" s="42">
        <v>5</v>
      </c>
      <c r="P243" s="41" t="s">
        <v>46</v>
      </c>
      <c r="Q243" s="41" t="s">
        <v>66</v>
      </c>
      <c r="R243" s="41" t="s">
        <v>234</v>
      </c>
      <c r="S243" s="41" t="s">
        <v>234</v>
      </c>
      <c r="T243" s="41" t="s">
        <v>234</v>
      </c>
      <c r="U243" s="41" t="s">
        <v>234</v>
      </c>
      <c r="V243" s="41" t="s">
        <v>234</v>
      </c>
      <c r="W243" s="41" t="s">
        <v>234</v>
      </c>
      <c r="X243" s="43">
        <v>0</v>
      </c>
      <c r="Y243" s="41" t="s">
        <v>97</v>
      </c>
      <c r="Z243" s="41" t="s">
        <v>97</v>
      </c>
      <c r="AA243" s="41" t="s">
        <v>113</v>
      </c>
      <c r="AB243" s="39" t="s">
        <v>46</v>
      </c>
      <c r="AC243" s="44" t="s">
        <v>46</v>
      </c>
    </row>
    <row r="244" spans="1:29" x14ac:dyDescent="0.25">
      <c r="A244" s="45" t="s">
        <v>1277</v>
      </c>
      <c r="B244" s="46" t="s">
        <v>161</v>
      </c>
      <c r="C244" s="46" t="s">
        <v>164</v>
      </c>
      <c r="D244" s="47" t="s">
        <v>1235</v>
      </c>
      <c r="E244" s="47" t="s">
        <v>289</v>
      </c>
      <c r="F244" s="46" t="s">
        <v>1278</v>
      </c>
      <c r="G244" s="46" t="s">
        <v>1279</v>
      </c>
      <c r="H244" s="47" t="s">
        <v>123</v>
      </c>
      <c r="I244" s="47" t="s">
        <v>135</v>
      </c>
      <c r="J244" s="46" t="s">
        <v>1280</v>
      </c>
      <c r="K244" s="47" t="s">
        <v>1239</v>
      </c>
      <c r="L244" s="48" t="s">
        <v>122</v>
      </c>
      <c r="M244" s="46" t="s">
        <v>1240</v>
      </c>
      <c r="N244" s="48" t="s">
        <v>93</v>
      </c>
      <c r="O244" s="49">
        <v>5</v>
      </c>
      <c r="P244" s="48" t="s">
        <v>46</v>
      </c>
      <c r="Q244" s="41" t="s">
        <v>66</v>
      </c>
      <c r="R244" s="41" t="s">
        <v>234</v>
      </c>
      <c r="S244" s="41" t="s">
        <v>234</v>
      </c>
      <c r="T244" s="41" t="s">
        <v>234</v>
      </c>
      <c r="U244" s="41" t="s">
        <v>234</v>
      </c>
      <c r="V244" s="41" t="s">
        <v>234</v>
      </c>
      <c r="W244" s="41" t="s">
        <v>234</v>
      </c>
      <c r="X244" s="43">
        <v>0</v>
      </c>
      <c r="Y244" s="41" t="s">
        <v>97</v>
      </c>
      <c r="Z244" s="41" t="s">
        <v>97</v>
      </c>
      <c r="AA244" s="41" t="s">
        <v>113</v>
      </c>
      <c r="AB244" s="39" t="s">
        <v>46</v>
      </c>
      <c r="AC244" s="44" t="s">
        <v>46</v>
      </c>
    </row>
    <row r="245" spans="1:29" x14ac:dyDescent="0.25">
      <c r="A245" s="38" t="s">
        <v>1281</v>
      </c>
      <c r="B245" s="39" t="s">
        <v>161</v>
      </c>
      <c r="C245" s="39" t="s">
        <v>164</v>
      </c>
      <c r="D245" s="40" t="s">
        <v>1235</v>
      </c>
      <c r="E245" s="40" t="s">
        <v>295</v>
      </c>
      <c r="F245" s="39" t="s">
        <v>1282</v>
      </c>
      <c r="G245" s="39" t="s">
        <v>1283</v>
      </c>
      <c r="H245" s="40" t="s">
        <v>126</v>
      </c>
      <c r="I245" s="40" t="s">
        <v>325</v>
      </c>
      <c r="J245" s="39" t="s">
        <v>1284</v>
      </c>
      <c r="K245" s="40" t="s">
        <v>1239</v>
      </c>
      <c r="L245" s="41" t="s">
        <v>122</v>
      </c>
      <c r="M245" s="39" t="s">
        <v>1285</v>
      </c>
      <c r="N245" s="41" t="s">
        <v>97</v>
      </c>
      <c r="O245" s="42">
        <v>12</v>
      </c>
      <c r="P245" s="41" t="s">
        <v>46</v>
      </c>
      <c r="Q245" s="41" t="s">
        <v>31</v>
      </c>
      <c r="R245" s="41" t="s">
        <v>234</v>
      </c>
      <c r="S245" s="41" t="s">
        <v>234</v>
      </c>
      <c r="T245" s="41" t="s">
        <v>234</v>
      </c>
      <c r="U245" s="41" t="s">
        <v>234</v>
      </c>
      <c r="V245" s="41" t="s">
        <v>234</v>
      </c>
      <c r="W245" s="41" t="s">
        <v>273</v>
      </c>
      <c r="X245" s="43">
        <v>0</v>
      </c>
      <c r="Y245" s="41" t="s">
        <v>97</v>
      </c>
      <c r="Z245" s="41" t="s">
        <v>97</v>
      </c>
      <c r="AA245" s="41" t="s">
        <v>113</v>
      </c>
      <c r="AB245" s="39" t="s">
        <v>1286</v>
      </c>
      <c r="AC245" s="44" t="s">
        <v>46</v>
      </c>
    </row>
    <row r="246" spans="1:29" x14ac:dyDescent="0.25">
      <c r="A246" s="45" t="s">
        <v>1287</v>
      </c>
      <c r="B246" s="46" t="s">
        <v>161</v>
      </c>
      <c r="C246" s="46" t="s">
        <v>164</v>
      </c>
      <c r="D246" s="47" t="s">
        <v>1235</v>
      </c>
      <c r="E246" s="47" t="s">
        <v>129</v>
      </c>
      <c r="F246" s="46" t="s">
        <v>1288</v>
      </c>
      <c r="G246" s="46" t="s">
        <v>1289</v>
      </c>
      <c r="H246" s="47" t="s">
        <v>126</v>
      </c>
      <c r="I246" s="47" t="s">
        <v>469</v>
      </c>
      <c r="J246" s="46" t="s">
        <v>1290</v>
      </c>
      <c r="K246" s="47" t="s">
        <v>1239</v>
      </c>
      <c r="L246" s="48" t="s">
        <v>122</v>
      </c>
      <c r="M246" s="46" t="s">
        <v>1240</v>
      </c>
      <c r="N246" s="48" t="s">
        <v>93</v>
      </c>
      <c r="O246" s="49">
        <v>10</v>
      </c>
      <c r="P246" s="48" t="s">
        <v>46</v>
      </c>
      <c r="Q246" s="41" t="s">
        <v>66</v>
      </c>
      <c r="R246" s="41" t="s">
        <v>234</v>
      </c>
      <c r="S246" s="41" t="s">
        <v>234</v>
      </c>
      <c r="T246" s="41" t="s">
        <v>234</v>
      </c>
      <c r="U246" s="41" t="s">
        <v>234</v>
      </c>
      <c r="V246" s="41" t="s">
        <v>234</v>
      </c>
      <c r="W246" s="41" t="s">
        <v>234</v>
      </c>
      <c r="X246" s="43">
        <v>0</v>
      </c>
      <c r="Y246" s="41" t="s">
        <v>97</v>
      </c>
      <c r="Z246" s="41" t="s">
        <v>97</v>
      </c>
      <c r="AA246" s="41" t="s">
        <v>113</v>
      </c>
      <c r="AB246" s="39" t="s">
        <v>46</v>
      </c>
      <c r="AC246" s="44" t="s">
        <v>46</v>
      </c>
    </row>
    <row r="247" spans="1:29" x14ac:dyDescent="0.25">
      <c r="A247" s="38" t="s">
        <v>1291</v>
      </c>
      <c r="B247" s="39" t="s">
        <v>161</v>
      </c>
      <c r="C247" s="39" t="s">
        <v>164</v>
      </c>
      <c r="D247" s="40" t="s">
        <v>1235</v>
      </c>
      <c r="E247" s="40" t="s">
        <v>129</v>
      </c>
      <c r="F247" s="39" t="s">
        <v>1292</v>
      </c>
      <c r="G247" s="39" t="s">
        <v>1293</v>
      </c>
      <c r="H247" s="40" t="s">
        <v>126</v>
      </c>
      <c r="I247" s="40" t="s">
        <v>325</v>
      </c>
      <c r="J247" s="39" t="s">
        <v>1294</v>
      </c>
      <c r="K247" s="40" t="s">
        <v>1239</v>
      </c>
      <c r="L247" s="41" t="s">
        <v>122</v>
      </c>
      <c r="M247" s="39" t="s">
        <v>1240</v>
      </c>
      <c r="N247" s="41" t="s">
        <v>93</v>
      </c>
      <c r="O247" s="42">
        <v>5</v>
      </c>
      <c r="P247" s="41" t="s">
        <v>46</v>
      </c>
      <c r="Q247" s="41" t="s">
        <v>66</v>
      </c>
      <c r="R247" s="41" t="s">
        <v>234</v>
      </c>
      <c r="S247" s="41" t="s">
        <v>234</v>
      </c>
      <c r="T247" s="41" t="s">
        <v>234</v>
      </c>
      <c r="U247" s="41" t="s">
        <v>234</v>
      </c>
      <c r="V247" s="41" t="s">
        <v>234</v>
      </c>
      <c r="W247" s="41" t="s">
        <v>234</v>
      </c>
      <c r="X247" s="43">
        <v>0</v>
      </c>
      <c r="Y247" s="41" t="s">
        <v>97</v>
      </c>
      <c r="Z247" s="41" t="s">
        <v>97</v>
      </c>
      <c r="AA247" s="41" t="s">
        <v>113</v>
      </c>
      <c r="AB247" s="39" t="s">
        <v>46</v>
      </c>
      <c r="AC247" s="44" t="s">
        <v>46</v>
      </c>
    </row>
    <row r="248" spans="1:29" x14ac:dyDescent="0.25">
      <c r="A248" s="45" t="s">
        <v>1295</v>
      </c>
      <c r="B248" s="46" t="s">
        <v>161</v>
      </c>
      <c r="C248" s="46" t="s">
        <v>164</v>
      </c>
      <c r="D248" s="47" t="s">
        <v>1235</v>
      </c>
      <c r="E248" s="47" t="s">
        <v>1179</v>
      </c>
      <c r="F248" s="46" t="s">
        <v>1296</v>
      </c>
      <c r="G248" s="46" t="s">
        <v>1297</v>
      </c>
      <c r="H248" s="47" t="s">
        <v>126</v>
      </c>
      <c r="I248" s="47" t="s">
        <v>325</v>
      </c>
      <c r="J248" s="46" t="s">
        <v>1298</v>
      </c>
      <c r="K248" s="47" t="s">
        <v>1239</v>
      </c>
      <c r="L248" s="48" t="s">
        <v>122</v>
      </c>
      <c r="M248" s="46" t="s">
        <v>1240</v>
      </c>
      <c r="N248" s="48" t="s">
        <v>93</v>
      </c>
      <c r="O248" s="49">
        <v>5</v>
      </c>
      <c r="P248" s="48" t="s">
        <v>46</v>
      </c>
      <c r="Q248" s="41" t="s">
        <v>66</v>
      </c>
      <c r="R248" s="41" t="s">
        <v>234</v>
      </c>
      <c r="S248" s="41" t="s">
        <v>234</v>
      </c>
      <c r="T248" s="41" t="s">
        <v>234</v>
      </c>
      <c r="U248" s="41" t="s">
        <v>234</v>
      </c>
      <c r="V248" s="41" t="s">
        <v>234</v>
      </c>
      <c r="W248" s="41" t="s">
        <v>234</v>
      </c>
      <c r="X248" s="43">
        <v>0</v>
      </c>
      <c r="Y248" s="41" t="s">
        <v>97</v>
      </c>
      <c r="Z248" s="41" t="s">
        <v>97</v>
      </c>
      <c r="AA248" s="41" t="s">
        <v>113</v>
      </c>
      <c r="AB248" s="39" t="s">
        <v>46</v>
      </c>
      <c r="AC248" s="44" t="s">
        <v>46</v>
      </c>
    </row>
    <row r="249" spans="1:29" x14ac:dyDescent="0.25">
      <c r="A249" s="38" t="s">
        <v>1299</v>
      </c>
      <c r="B249" s="39" t="s">
        <v>161</v>
      </c>
      <c r="C249" s="39" t="s">
        <v>164</v>
      </c>
      <c r="D249" s="40" t="s">
        <v>1235</v>
      </c>
      <c r="E249" s="40" t="s">
        <v>135</v>
      </c>
      <c r="F249" s="39" t="s">
        <v>1300</v>
      </c>
      <c r="G249" s="39" t="s">
        <v>1301</v>
      </c>
      <c r="H249" s="40" t="s">
        <v>123</v>
      </c>
      <c r="I249" s="40" t="s">
        <v>135</v>
      </c>
      <c r="J249" s="39" t="s">
        <v>1302</v>
      </c>
      <c r="K249" s="40" t="s">
        <v>1303</v>
      </c>
      <c r="L249" s="41" t="s">
        <v>122</v>
      </c>
      <c r="M249" s="39" t="s">
        <v>1240</v>
      </c>
      <c r="N249" s="41" t="s">
        <v>93</v>
      </c>
      <c r="O249" s="42">
        <v>8</v>
      </c>
      <c r="P249" s="41" t="s">
        <v>46</v>
      </c>
      <c r="Q249" s="41" t="s">
        <v>66</v>
      </c>
      <c r="R249" s="41" t="s">
        <v>234</v>
      </c>
      <c r="S249" s="41" t="s">
        <v>234</v>
      </c>
      <c r="T249" s="41" t="s">
        <v>234</v>
      </c>
      <c r="U249" s="41" t="s">
        <v>234</v>
      </c>
      <c r="V249" s="41" t="s">
        <v>234</v>
      </c>
      <c r="W249" s="41" t="s">
        <v>234</v>
      </c>
      <c r="X249" s="43">
        <v>0</v>
      </c>
      <c r="Y249" s="41" t="s">
        <v>97</v>
      </c>
      <c r="Z249" s="41" t="s">
        <v>97</v>
      </c>
      <c r="AA249" s="41" t="s">
        <v>113</v>
      </c>
      <c r="AB249" s="39" t="s">
        <v>46</v>
      </c>
      <c r="AC249" s="44" t="s">
        <v>46</v>
      </c>
    </row>
    <row r="250" spans="1:29" x14ac:dyDescent="0.25">
      <c r="A250" s="45" t="s">
        <v>1304</v>
      </c>
      <c r="B250" s="46" t="s">
        <v>161</v>
      </c>
      <c r="C250" s="46" t="s">
        <v>164</v>
      </c>
      <c r="D250" s="47" t="s">
        <v>1235</v>
      </c>
      <c r="E250" s="47" t="s">
        <v>56</v>
      </c>
      <c r="F250" s="46" t="s">
        <v>1305</v>
      </c>
      <c r="G250" s="46" t="s">
        <v>1306</v>
      </c>
      <c r="H250" s="47" t="s">
        <v>132</v>
      </c>
      <c r="I250" s="47" t="s">
        <v>522</v>
      </c>
      <c r="J250" s="46" t="s">
        <v>1307</v>
      </c>
      <c r="K250" s="47" t="s">
        <v>1239</v>
      </c>
      <c r="L250" s="48" t="s">
        <v>122</v>
      </c>
      <c r="M250" s="46" t="s">
        <v>1240</v>
      </c>
      <c r="N250" s="48" t="s">
        <v>93</v>
      </c>
      <c r="O250" s="49">
        <v>16</v>
      </c>
      <c r="P250" s="48" t="s">
        <v>46</v>
      </c>
      <c r="Q250" s="41" t="s">
        <v>66</v>
      </c>
      <c r="R250" s="41" t="s">
        <v>234</v>
      </c>
      <c r="S250" s="41" t="s">
        <v>234</v>
      </c>
      <c r="T250" s="41" t="s">
        <v>234</v>
      </c>
      <c r="U250" s="41" t="s">
        <v>234</v>
      </c>
      <c r="V250" s="41" t="s">
        <v>234</v>
      </c>
      <c r="W250" s="41" t="s">
        <v>234</v>
      </c>
      <c r="X250" s="43">
        <v>0</v>
      </c>
      <c r="Y250" s="41" t="s">
        <v>97</v>
      </c>
      <c r="Z250" s="41" t="s">
        <v>97</v>
      </c>
      <c r="AA250" s="41" t="s">
        <v>113</v>
      </c>
      <c r="AB250" s="39" t="s">
        <v>46</v>
      </c>
      <c r="AC250" s="44" t="s">
        <v>46</v>
      </c>
    </row>
    <row r="251" spans="1:29" x14ac:dyDescent="0.25">
      <c r="A251" s="38" t="s">
        <v>1308</v>
      </c>
      <c r="B251" s="39" t="s">
        <v>161</v>
      </c>
      <c r="C251" s="39" t="s">
        <v>165</v>
      </c>
      <c r="D251" s="40" t="s">
        <v>1309</v>
      </c>
      <c r="E251" s="40" t="s">
        <v>124</v>
      </c>
      <c r="F251" s="39" t="s">
        <v>1310</v>
      </c>
      <c r="G251" s="39" t="s">
        <v>1311</v>
      </c>
      <c r="H251" s="40" t="s">
        <v>128</v>
      </c>
      <c r="I251" s="40" t="s">
        <v>401</v>
      </c>
      <c r="J251" s="39" t="s">
        <v>1312</v>
      </c>
      <c r="K251" s="40" t="s">
        <v>1303</v>
      </c>
      <c r="L251" s="41" t="s">
        <v>122</v>
      </c>
      <c r="M251" s="39" t="s">
        <v>1313</v>
      </c>
      <c r="N251" s="41" t="s">
        <v>91</v>
      </c>
      <c r="O251" s="42">
        <v>6</v>
      </c>
      <c r="P251" s="41" t="s">
        <v>46</v>
      </c>
      <c r="Q251" s="41" t="s">
        <v>66</v>
      </c>
      <c r="R251" s="41" t="s">
        <v>234</v>
      </c>
      <c r="S251" s="41" t="s">
        <v>234</v>
      </c>
      <c r="T251" s="41" t="s">
        <v>234</v>
      </c>
      <c r="U251" s="41" t="s">
        <v>234</v>
      </c>
      <c r="V251" s="41" t="s">
        <v>234</v>
      </c>
      <c r="W251" s="41" t="s">
        <v>234</v>
      </c>
      <c r="X251" s="43">
        <v>0</v>
      </c>
      <c r="Y251" s="41" t="s">
        <v>97</v>
      </c>
      <c r="Z251" s="41" t="s">
        <v>97</v>
      </c>
      <c r="AA251" s="41" t="s">
        <v>113</v>
      </c>
      <c r="AB251" s="39" t="s">
        <v>46</v>
      </c>
      <c r="AC251" s="44" t="s">
        <v>46</v>
      </c>
    </row>
    <row r="252" spans="1:29" x14ac:dyDescent="0.25">
      <c r="A252" s="45" t="s">
        <v>1314</v>
      </c>
      <c r="B252" s="46" t="s">
        <v>161</v>
      </c>
      <c r="C252" s="46" t="s">
        <v>165</v>
      </c>
      <c r="D252" s="47" t="s">
        <v>1309</v>
      </c>
      <c r="E252" s="47" t="s">
        <v>1179</v>
      </c>
      <c r="F252" s="46" t="s">
        <v>1315</v>
      </c>
      <c r="G252" s="46" t="s">
        <v>1316</v>
      </c>
      <c r="H252" s="47" t="s">
        <v>126</v>
      </c>
      <c r="I252" s="47" t="s">
        <v>325</v>
      </c>
      <c r="J252" s="46" t="s">
        <v>1317</v>
      </c>
      <c r="K252" s="47" t="s">
        <v>1303</v>
      </c>
      <c r="L252" s="48" t="s">
        <v>122</v>
      </c>
      <c r="M252" s="46" t="s">
        <v>1313</v>
      </c>
      <c r="N252" s="48" t="s">
        <v>92</v>
      </c>
      <c r="O252" s="49">
        <v>8</v>
      </c>
      <c r="P252" s="48" t="s">
        <v>46</v>
      </c>
      <c r="Q252" s="41" t="s">
        <v>66</v>
      </c>
      <c r="R252" s="41" t="s">
        <v>234</v>
      </c>
      <c r="S252" s="41" t="s">
        <v>234</v>
      </c>
      <c r="T252" s="41" t="s">
        <v>234</v>
      </c>
      <c r="U252" s="41" t="s">
        <v>234</v>
      </c>
      <c r="V252" s="41" t="s">
        <v>234</v>
      </c>
      <c r="W252" s="41" t="s">
        <v>234</v>
      </c>
      <c r="X252" s="43">
        <v>0</v>
      </c>
      <c r="Y252" s="41" t="s">
        <v>97</v>
      </c>
      <c r="Z252" s="41" t="s">
        <v>97</v>
      </c>
      <c r="AA252" s="41" t="s">
        <v>113</v>
      </c>
      <c r="AB252" s="39" t="s">
        <v>46</v>
      </c>
      <c r="AC252" s="44" t="s">
        <v>46</v>
      </c>
    </row>
    <row r="253" spans="1:29" x14ac:dyDescent="0.25">
      <c r="A253" s="38" t="s">
        <v>1318</v>
      </c>
      <c r="B253" s="39" t="s">
        <v>161</v>
      </c>
      <c r="C253" s="39" t="s">
        <v>165</v>
      </c>
      <c r="D253" s="40" t="s">
        <v>1309</v>
      </c>
      <c r="E253" s="40" t="s">
        <v>1179</v>
      </c>
      <c r="F253" s="39" t="s">
        <v>1319</v>
      </c>
      <c r="G253" s="39" t="s">
        <v>1320</v>
      </c>
      <c r="H253" s="40" t="s">
        <v>126</v>
      </c>
      <c r="I253" s="40" t="s">
        <v>325</v>
      </c>
      <c r="J253" s="39" t="s">
        <v>1321</v>
      </c>
      <c r="K253" s="40" t="s">
        <v>1303</v>
      </c>
      <c r="L253" s="41" t="s">
        <v>122</v>
      </c>
      <c r="M253" s="39" t="s">
        <v>1313</v>
      </c>
      <c r="N253" s="41" t="s">
        <v>92</v>
      </c>
      <c r="O253" s="42">
        <v>8</v>
      </c>
      <c r="P253" s="41" t="s">
        <v>46</v>
      </c>
      <c r="Q253" s="41" t="s">
        <v>66</v>
      </c>
      <c r="R253" s="41" t="s">
        <v>234</v>
      </c>
      <c r="S253" s="41" t="s">
        <v>234</v>
      </c>
      <c r="T253" s="41" t="s">
        <v>234</v>
      </c>
      <c r="U253" s="41" t="s">
        <v>234</v>
      </c>
      <c r="V253" s="41" t="s">
        <v>234</v>
      </c>
      <c r="W253" s="41" t="s">
        <v>234</v>
      </c>
      <c r="X253" s="43">
        <v>0</v>
      </c>
      <c r="Y253" s="41" t="s">
        <v>97</v>
      </c>
      <c r="Z253" s="41" t="s">
        <v>97</v>
      </c>
      <c r="AA253" s="41" t="s">
        <v>113</v>
      </c>
      <c r="AB253" s="39" t="s">
        <v>46</v>
      </c>
      <c r="AC253" s="44" t="s">
        <v>46</v>
      </c>
    </row>
    <row r="254" spans="1:29" x14ac:dyDescent="0.25">
      <c r="A254" s="45" t="s">
        <v>1322</v>
      </c>
      <c r="B254" s="46" t="s">
        <v>161</v>
      </c>
      <c r="C254" s="46" t="s">
        <v>165</v>
      </c>
      <c r="D254" s="47" t="s">
        <v>1309</v>
      </c>
      <c r="E254" s="47" t="s">
        <v>124</v>
      </c>
      <c r="F254" s="46" t="s">
        <v>1323</v>
      </c>
      <c r="G254" s="46" t="s">
        <v>1324</v>
      </c>
      <c r="H254" s="47" t="s">
        <v>128</v>
      </c>
      <c r="I254" s="47" t="s">
        <v>414</v>
      </c>
      <c r="J254" s="46" t="s">
        <v>1325</v>
      </c>
      <c r="K254" s="47" t="s">
        <v>1303</v>
      </c>
      <c r="L254" s="48" t="s">
        <v>122</v>
      </c>
      <c r="M254" s="46" t="s">
        <v>1313</v>
      </c>
      <c r="N254" s="48" t="s">
        <v>92</v>
      </c>
      <c r="O254" s="49">
        <v>6</v>
      </c>
      <c r="P254" s="48" t="s">
        <v>46</v>
      </c>
      <c r="Q254" s="41" t="s">
        <v>66</v>
      </c>
      <c r="R254" s="41" t="s">
        <v>234</v>
      </c>
      <c r="S254" s="41" t="s">
        <v>234</v>
      </c>
      <c r="T254" s="41" t="s">
        <v>234</v>
      </c>
      <c r="U254" s="41" t="s">
        <v>234</v>
      </c>
      <c r="V254" s="41" t="s">
        <v>234</v>
      </c>
      <c r="W254" s="41" t="s">
        <v>234</v>
      </c>
      <c r="X254" s="43">
        <v>0</v>
      </c>
      <c r="Y254" s="41" t="s">
        <v>97</v>
      </c>
      <c r="Z254" s="41" t="s">
        <v>97</v>
      </c>
      <c r="AA254" s="41" t="s">
        <v>113</v>
      </c>
      <c r="AB254" s="39" t="s">
        <v>46</v>
      </c>
      <c r="AC254" s="44" t="s">
        <v>46</v>
      </c>
    </row>
    <row r="255" spans="1:29" x14ac:dyDescent="0.25">
      <c r="A255" s="38" t="s">
        <v>1326</v>
      </c>
      <c r="B255" s="39" t="s">
        <v>161</v>
      </c>
      <c r="C255" s="39" t="s">
        <v>165</v>
      </c>
      <c r="D255" s="40" t="s">
        <v>1309</v>
      </c>
      <c r="E255" s="40" t="s">
        <v>1179</v>
      </c>
      <c r="F255" s="39" t="s">
        <v>1327</v>
      </c>
      <c r="G255" s="39" t="s">
        <v>1328</v>
      </c>
      <c r="H255" s="40" t="s">
        <v>126</v>
      </c>
      <c r="I255" s="40" t="s">
        <v>325</v>
      </c>
      <c r="J255" s="39" t="s">
        <v>1329</v>
      </c>
      <c r="K255" s="40" t="s">
        <v>1303</v>
      </c>
      <c r="L255" s="41" t="s">
        <v>122</v>
      </c>
      <c r="M255" s="39" t="s">
        <v>1313</v>
      </c>
      <c r="N255" s="41" t="s">
        <v>93</v>
      </c>
      <c r="O255" s="42">
        <v>8</v>
      </c>
      <c r="P255" s="41" t="s">
        <v>46</v>
      </c>
      <c r="Q255" s="41" t="s">
        <v>66</v>
      </c>
      <c r="R255" s="41" t="s">
        <v>234</v>
      </c>
      <c r="S255" s="41" t="s">
        <v>234</v>
      </c>
      <c r="T255" s="41" t="s">
        <v>234</v>
      </c>
      <c r="U255" s="41" t="s">
        <v>234</v>
      </c>
      <c r="V255" s="41" t="s">
        <v>234</v>
      </c>
      <c r="W255" s="41" t="s">
        <v>234</v>
      </c>
      <c r="X255" s="43">
        <v>0</v>
      </c>
      <c r="Y255" s="41" t="s">
        <v>97</v>
      </c>
      <c r="Z255" s="41" t="s">
        <v>97</v>
      </c>
      <c r="AA255" s="41" t="s">
        <v>113</v>
      </c>
      <c r="AB255" s="39" t="s">
        <v>46</v>
      </c>
      <c r="AC255" s="44" t="s">
        <v>46</v>
      </c>
    </row>
    <row r="256" spans="1:29" x14ac:dyDescent="0.25">
      <c r="A256" s="45" t="s">
        <v>1330</v>
      </c>
      <c r="B256" s="46" t="s">
        <v>161</v>
      </c>
      <c r="C256" s="46" t="s">
        <v>165</v>
      </c>
      <c r="D256" s="47" t="s">
        <v>1309</v>
      </c>
      <c r="E256" s="47" t="s">
        <v>56</v>
      </c>
      <c r="F256" s="46" t="s">
        <v>1331</v>
      </c>
      <c r="G256" s="46" t="s">
        <v>1332</v>
      </c>
      <c r="H256" s="47" t="s">
        <v>132</v>
      </c>
      <c r="I256" s="47" t="s">
        <v>522</v>
      </c>
      <c r="J256" s="46" t="s">
        <v>598</v>
      </c>
      <c r="K256" s="47" t="s">
        <v>1303</v>
      </c>
      <c r="L256" s="48" t="s">
        <v>122</v>
      </c>
      <c r="M256" s="46" t="s">
        <v>1313</v>
      </c>
      <c r="N256" s="48" t="s">
        <v>93</v>
      </c>
      <c r="O256" s="49">
        <v>8</v>
      </c>
      <c r="P256" s="48" t="s">
        <v>46</v>
      </c>
      <c r="Q256" s="41" t="s">
        <v>66</v>
      </c>
      <c r="R256" s="41" t="s">
        <v>234</v>
      </c>
      <c r="S256" s="41" t="s">
        <v>234</v>
      </c>
      <c r="T256" s="41" t="s">
        <v>234</v>
      </c>
      <c r="U256" s="41" t="s">
        <v>234</v>
      </c>
      <c r="V256" s="41" t="s">
        <v>234</v>
      </c>
      <c r="W256" s="41" t="s">
        <v>234</v>
      </c>
      <c r="X256" s="43">
        <v>0</v>
      </c>
      <c r="Y256" s="41" t="s">
        <v>97</v>
      </c>
      <c r="Z256" s="41" t="s">
        <v>97</v>
      </c>
      <c r="AA256" s="41" t="s">
        <v>113</v>
      </c>
      <c r="AB256" s="39" t="s">
        <v>46</v>
      </c>
      <c r="AC256" s="44" t="s">
        <v>46</v>
      </c>
    </row>
    <row r="257" spans="1:29" x14ac:dyDescent="0.25">
      <c r="A257" s="38" t="s">
        <v>1333</v>
      </c>
      <c r="B257" s="39" t="s">
        <v>167</v>
      </c>
      <c r="C257" s="39" t="s">
        <v>166</v>
      </c>
      <c r="D257" s="40" t="s">
        <v>1334</v>
      </c>
      <c r="E257" s="40" t="s">
        <v>398</v>
      </c>
      <c r="F257" s="39" t="s">
        <v>1335</v>
      </c>
      <c r="G257" s="39" t="s">
        <v>1336</v>
      </c>
      <c r="H257" s="40" t="s">
        <v>128</v>
      </c>
      <c r="I257" s="40" t="s">
        <v>401</v>
      </c>
      <c r="J257" s="39" t="s">
        <v>1337</v>
      </c>
      <c r="K257" s="40" t="s">
        <v>1338</v>
      </c>
      <c r="L257" s="41" t="s">
        <v>122</v>
      </c>
      <c r="M257" s="39" t="s">
        <v>1184</v>
      </c>
      <c r="N257" s="41" t="s">
        <v>93</v>
      </c>
      <c r="O257" s="42">
        <v>8</v>
      </c>
      <c r="P257" s="41" t="s">
        <v>46</v>
      </c>
      <c r="Q257" s="41" t="s">
        <v>66</v>
      </c>
      <c r="R257" s="41" t="s">
        <v>234</v>
      </c>
      <c r="S257" s="41" t="s">
        <v>234</v>
      </c>
      <c r="T257" s="41" t="s">
        <v>234</v>
      </c>
      <c r="U257" s="41" t="s">
        <v>234</v>
      </c>
      <c r="V257" s="41" t="s">
        <v>234</v>
      </c>
      <c r="W257" s="41" t="s">
        <v>234</v>
      </c>
      <c r="X257" s="43">
        <v>0</v>
      </c>
      <c r="Y257" s="41" t="s">
        <v>97</v>
      </c>
      <c r="Z257" s="41" t="s">
        <v>97</v>
      </c>
      <c r="AA257" s="41" t="s">
        <v>113</v>
      </c>
      <c r="AB257" s="39" t="s">
        <v>46</v>
      </c>
      <c r="AC257" s="44" t="s">
        <v>46</v>
      </c>
    </row>
    <row r="258" spans="1:29" x14ac:dyDescent="0.25">
      <c r="A258" s="45" t="s">
        <v>1339</v>
      </c>
      <c r="B258" s="46" t="s">
        <v>167</v>
      </c>
      <c r="C258" s="46" t="s">
        <v>166</v>
      </c>
      <c r="D258" s="47" t="s">
        <v>1334</v>
      </c>
      <c r="E258" s="47" t="s">
        <v>124</v>
      </c>
      <c r="F258" s="46" t="s">
        <v>1340</v>
      </c>
      <c r="G258" s="46" t="s">
        <v>1093</v>
      </c>
      <c r="H258" s="47" t="s">
        <v>126</v>
      </c>
      <c r="I258" s="47" t="s">
        <v>246</v>
      </c>
      <c r="J258" s="46" t="s">
        <v>1341</v>
      </c>
      <c r="K258" s="47" t="s">
        <v>1338</v>
      </c>
      <c r="L258" s="48" t="s">
        <v>122</v>
      </c>
      <c r="M258" s="46" t="s">
        <v>1184</v>
      </c>
      <c r="N258" s="48" t="s">
        <v>94</v>
      </c>
      <c r="O258" s="49">
        <v>8</v>
      </c>
      <c r="P258" s="48" t="s">
        <v>46</v>
      </c>
      <c r="Q258" s="41" t="s">
        <v>66</v>
      </c>
      <c r="R258" s="41" t="s">
        <v>234</v>
      </c>
      <c r="S258" s="41" t="s">
        <v>234</v>
      </c>
      <c r="T258" s="41" t="s">
        <v>234</v>
      </c>
      <c r="U258" s="41" t="s">
        <v>234</v>
      </c>
      <c r="V258" s="41" t="s">
        <v>234</v>
      </c>
      <c r="W258" s="41" t="s">
        <v>234</v>
      </c>
      <c r="X258" s="43">
        <v>0</v>
      </c>
      <c r="Y258" s="41" t="s">
        <v>97</v>
      </c>
      <c r="Z258" s="41" t="s">
        <v>97</v>
      </c>
      <c r="AA258" s="41" t="s">
        <v>113</v>
      </c>
      <c r="AB258" s="39" t="s">
        <v>46</v>
      </c>
      <c r="AC258" s="44" t="s">
        <v>46</v>
      </c>
    </row>
    <row r="259" spans="1:29" x14ac:dyDescent="0.25">
      <c r="A259" s="38" t="s">
        <v>1342</v>
      </c>
      <c r="B259" s="39" t="s">
        <v>167</v>
      </c>
      <c r="C259" s="39" t="s">
        <v>166</v>
      </c>
      <c r="D259" s="40" t="s">
        <v>1334</v>
      </c>
      <c r="E259" s="40" t="s">
        <v>131</v>
      </c>
      <c r="F259" s="39" t="s">
        <v>1343</v>
      </c>
      <c r="G259" s="39" t="s">
        <v>1344</v>
      </c>
      <c r="H259" s="40" t="s">
        <v>126</v>
      </c>
      <c r="I259" s="40" t="s">
        <v>469</v>
      </c>
      <c r="J259" s="39" t="s">
        <v>1345</v>
      </c>
      <c r="K259" s="40" t="s">
        <v>1338</v>
      </c>
      <c r="L259" s="41" t="s">
        <v>122</v>
      </c>
      <c r="M259" s="39" t="s">
        <v>1184</v>
      </c>
      <c r="N259" s="41" t="s">
        <v>94</v>
      </c>
      <c r="O259" s="42">
        <v>8</v>
      </c>
      <c r="P259" s="41" t="s">
        <v>46</v>
      </c>
      <c r="Q259" s="41" t="s">
        <v>66</v>
      </c>
      <c r="R259" s="41" t="s">
        <v>234</v>
      </c>
      <c r="S259" s="41" t="s">
        <v>234</v>
      </c>
      <c r="T259" s="41" t="s">
        <v>234</v>
      </c>
      <c r="U259" s="41" t="s">
        <v>234</v>
      </c>
      <c r="V259" s="41" t="s">
        <v>234</v>
      </c>
      <c r="W259" s="41" t="s">
        <v>234</v>
      </c>
      <c r="X259" s="43">
        <v>0</v>
      </c>
      <c r="Y259" s="41" t="s">
        <v>97</v>
      </c>
      <c r="Z259" s="41" t="s">
        <v>97</v>
      </c>
      <c r="AA259" s="41" t="s">
        <v>113</v>
      </c>
      <c r="AB259" s="39" t="s">
        <v>46</v>
      </c>
      <c r="AC259" s="44" t="s">
        <v>46</v>
      </c>
    </row>
    <row r="260" spans="1:29" x14ac:dyDescent="0.25">
      <c r="A260" s="45" t="s">
        <v>1346</v>
      </c>
      <c r="B260" s="46" t="s">
        <v>167</v>
      </c>
      <c r="C260" s="46" t="s">
        <v>166</v>
      </c>
      <c r="D260" s="47" t="s">
        <v>1334</v>
      </c>
      <c r="E260" s="47" t="s">
        <v>124</v>
      </c>
      <c r="F260" s="46" t="s">
        <v>1347</v>
      </c>
      <c r="G260" s="46" t="s">
        <v>1348</v>
      </c>
      <c r="H260" s="47" t="s">
        <v>126</v>
      </c>
      <c r="I260" s="47" t="s">
        <v>325</v>
      </c>
      <c r="J260" s="46" t="s">
        <v>1349</v>
      </c>
      <c r="K260" s="47" t="s">
        <v>1338</v>
      </c>
      <c r="L260" s="48" t="s">
        <v>122</v>
      </c>
      <c r="M260" s="46" t="s">
        <v>1184</v>
      </c>
      <c r="N260" s="48" t="s">
        <v>94</v>
      </c>
      <c r="O260" s="49">
        <v>5</v>
      </c>
      <c r="P260" s="48" t="s">
        <v>46</v>
      </c>
      <c r="Q260" s="41" t="s">
        <v>66</v>
      </c>
      <c r="R260" s="41" t="s">
        <v>234</v>
      </c>
      <c r="S260" s="41" t="s">
        <v>234</v>
      </c>
      <c r="T260" s="41" t="s">
        <v>234</v>
      </c>
      <c r="U260" s="41" t="s">
        <v>234</v>
      </c>
      <c r="V260" s="41" t="s">
        <v>234</v>
      </c>
      <c r="W260" s="41" t="s">
        <v>234</v>
      </c>
      <c r="X260" s="43">
        <v>0</v>
      </c>
      <c r="Y260" s="41" t="s">
        <v>97</v>
      </c>
      <c r="Z260" s="41" t="s">
        <v>97</v>
      </c>
      <c r="AA260" s="41" t="s">
        <v>113</v>
      </c>
      <c r="AB260" s="39" t="s">
        <v>46</v>
      </c>
      <c r="AC260" s="44" t="s">
        <v>46</v>
      </c>
    </row>
    <row r="261" spans="1:29" x14ac:dyDescent="0.25">
      <c r="A261" s="38" t="s">
        <v>1350</v>
      </c>
      <c r="B261" s="39" t="s">
        <v>167</v>
      </c>
      <c r="C261" s="39" t="s">
        <v>166</v>
      </c>
      <c r="D261" s="40" t="s">
        <v>1334</v>
      </c>
      <c r="E261" s="40" t="s">
        <v>124</v>
      </c>
      <c r="F261" s="39" t="s">
        <v>1351</v>
      </c>
      <c r="G261" s="39" t="s">
        <v>1352</v>
      </c>
      <c r="H261" s="40" t="s">
        <v>126</v>
      </c>
      <c r="I261" s="40" t="s">
        <v>325</v>
      </c>
      <c r="J261" s="39" t="s">
        <v>1353</v>
      </c>
      <c r="K261" s="40" t="s">
        <v>1338</v>
      </c>
      <c r="L261" s="41" t="s">
        <v>122</v>
      </c>
      <c r="M261" s="39" t="s">
        <v>1184</v>
      </c>
      <c r="N261" s="41" t="s">
        <v>95</v>
      </c>
      <c r="O261" s="42">
        <v>6</v>
      </c>
      <c r="P261" s="41" t="s">
        <v>46</v>
      </c>
      <c r="Q261" s="41" t="s">
        <v>66</v>
      </c>
      <c r="R261" s="41" t="s">
        <v>234</v>
      </c>
      <c r="S261" s="41" t="s">
        <v>234</v>
      </c>
      <c r="T261" s="41" t="s">
        <v>234</v>
      </c>
      <c r="U261" s="41" t="s">
        <v>234</v>
      </c>
      <c r="V261" s="41" t="s">
        <v>234</v>
      </c>
      <c r="W261" s="41" t="s">
        <v>234</v>
      </c>
      <c r="X261" s="43">
        <v>0</v>
      </c>
      <c r="Y261" s="41" t="s">
        <v>97</v>
      </c>
      <c r="Z261" s="41" t="s">
        <v>97</v>
      </c>
      <c r="AA261" s="41" t="s">
        <v>113</v>
      </c>
      <c r="AB261" s="39" t="s">
        <v>46</v>
      </c>
      <c r="AC261" s="44" t="s">
        <v>46</v>
      </c>
    </row>
    <row r="262" spans="1:29" x14ac:dyDescent="0.25">
      <c r="A262" s="45" t="s">
        <v>1354</v>
      </c>
      <c r="B262" s="46" t="s">
        <v>167</v>
      </c>
      <c r="C262" s="46" t="s">
        <v>166</v>
      </c>
      <c r="D262" s="47" t="s">
        <v>1334</v>
      </c>
      <c r="E262" s="47" t="s">
        <v>124</v>
      </c>
      <c r="F262" s="46" t="s">
        <v>1355</v>
      </c>
      <c r="G262" s="46" t="s">
        <v>1356</v>
      </c>
      <c r="H262" s="47" t="s">
        <v>126</v>
      </c>
      <c r="I262" s="47" t="s">
        <v>325</v>
      </c>
      <c r="J262" s="46" t="s">
        <v>1357</v>
      </c>
      <c r="K262" s="47" t="s">
        <v>1338</v>
      </c>
      <c r="L262" s="48" t="s">
        <v>122</v>
      </c>
      <c r="M262" s="46" t="s">
        <v>1184</v>
      </c>
      <c r="N262" s="48" t="s">
        <v>95</v>
      </c>
      <c r="O262" s="49">
        <v>6</v>
      </c>
      <c r="P262" s="48" t="s">
        <v>46</v>
      </c>
      <c r="Q262" s="41" t="s">
        <v>66</v>
      </c>
      <c r="R262" s="41" t="s">
        <v>234</v>
      </c>
      <c r="S262" s="41" t="s">
        <v>234</v>
      </c>
      <c r="T262" s="41" t="s">
        <v>234</v>
      </c>
      <c r="U262" s="41" t="s">
        <v>234</v>
      </c>
      <c r="V262" s="41" t="s">
        <v>234</v>
      </c>
      <c r="W262" s="41" t="s">
        <v>234</v>
      </c>
      <c r="X262" s="43">
        <v>0</v>
      </c>
      <c r="Y262" s="41" t="s">
        <v>97</v>
      </c>
      <c r="Z262" s="41" t="s">
        <v>97</v>
      </c>
      <c r="AA262" s="41" t="s">
        <v>113</v>
      </c>
      <c r="AB262" s="39" t="s">
        <v>46</v>
      </c>
      <c r="AC262" s="44" t="s">
        <v>46</v>
      </c>
    </row>
    <row r="263" spans="1:29" x14ac:dyDescent="0.25">
      <c r="A263" s="38" t="s">
        <v>1358</v>
      </c>
      <c r="B263" s="39" t="s">
        <v>167</v>
      </c>
      <c r="C263" s="39" t="s">
        <v>166</v>
      </c>
      <c r="D263" s="40" t="s">
        <v>1334</v>
      </c>
      <c r="E263" s="40" t="s">
        <v>124</v>
      </c>
      <c r="F263" s="39" t="s">
        <v>1359</v>
      </c>
      <c r="G263" s="39" t="s">
        <v>1360</v>
      </c>
      <c r="H263" s="40" t="s">
        <v>126</v>
      </c>
      <c r="I263" s="40" t="s">
        <v>325</v>
      </c>
      <c r="J263" s="39" t="s">
        <v>1361</v>
      </c>
      <c r="K263" s="40" t="s">
        <v>1338</v>
      </c>
      <c r="L263" s="41" t="s">
        <v>122</v>
      </c>
      <c r="M263" s="39" t="s">
        <v>1184</v>
      </c>
      <c r="N263" s="41" t="s">
        <v>95</v>
      </c>
      <c r="O263" s="42">
        <v>5</v>
      </c>
      <c r="P263" s="41" t="s">
        <v>46</v>
      </c>
      <c r="Q263" s="41" t="s">
        <v>66</v>
      </c>
      <c r="R263" s="41" t="s">
        <v>234</v>
      </c>
      <c r="S263" s="41" t="s">
        <v>234</v>
      </c>
      <c r="T263" s="41" t="s">
        <v>234</v>
      </c>
      <c r="U263" s="41" t="s">
        <v>234</v>
      </c>
      <c r="V263" s="41" t="s">
        <v>234</v>
      </c>
      <c r="W263" s="41" t="s">
        <v>234</v>
      </c>
      <c r="X263" s="43">
        <v>0</v>
      </c>
      <c r="Y263" s="41" t="s">
        <v>97</v>
      </c>
      <c r="Z263" s="41" t="s">
        <v>97</v>
      </c>
      <c r="AA263" s="41" t="s">
        <v>113</v>
      </c>
      <c r="AB263" s="39" t="s">
        <v>46</v>
      </c>
      <c r="AC263" s="44" t="s">
        <v>46</v>
      </c>
    </row>
    <row r="264" spans="1:29" x14ac:dyDescent="0.25">
      <c r="A264" s="45" t="s">
        <v>1362</v>
      </c>
      <c r="B264" s="46" t="s">
        <v>167</v>
      </c>
      <c r="C264" s="46" t="s">
        <v>166</v>
      </c>
      <c r="D264" s="47" t="s">
        <v>1334</v>
      </c>
      <c r="E264" s="47" t="s">
        <v>124</v>
      </c>
      <c r="F264" s="46" t="s">
        <v>1363</v>
      </c>
      <c r="G264" s="46" t="s">
        <v>1364</v>
      </c>
      <c r="H264" s="47" t="s">
        <v>126</v>
      </c>
      <c r="I264" s="47" t="s">
        <v>325</v>
      </c>
      <c r="J264" s="46" t="s">
        <v>1365</v>
      </c>
      <c r="K264" s="47" t="s">
        <v>1338</v>
      </c>
      <c r="L264" s="48" t="s">
        <v>122</v>
      </c>
      <c r="M264" s="46" t="s">
        <v>1184</v>
      </c>
      <c r="N264" s="48" t="s">
        <v>95</v>
      </c>
      <c r="O264" s="49">
        <v>4</v>
      </c>
      <c r="P264" s="48" t="s">
        <v>46</v>
      </c>
      <c r="Q264" s="41" t="s">
        <v>66</v>
      </c>
      <c r="R264" s="41" t="s">
        <v>234</v>
      </c>
      <c r="S264" s="41" t="s">
        <v>234</v>
      </c>
      <c r="T264" s="41" t="s">
        <v>234</v>
      </c>
      <c r="U264" s="41" t="s">
        <v>234</v>
      </c>
      <c r="V264" s="41" t="s">
        <v>234</v>
      </c>
      <c r="W264" s="41" t="s">
        <v>234</v>
      </c>
      <c r="X264" s="43">
        <v>0</v>
      </c>
      <c r="Y264" s="41" t="s">
        <v>97</v>
      </c>
      <c r="Z264" s="41" t="s">
        <v>97</v>
      </c>
      <c r="AA264" s="41" t="s">
        <v>113</v>
      </c>
      <c r="AB264" s="39" t="s">
        <v>46</v>
      </c>
      <c r="AC264" s="44" t="s">
        <v>46</v>
      </c>
    </row>
    <row r="265" spans="1:29" x14ac:dyDescent="0.25">
      <c r="A265" s="38" t="s">
        <v>1366</v>
      </c>
      <c r="B265" s="39" t="s">
        <v>167</v>
      </c>
      <c r="C265" s="39" t="s">
        <v>166</v>
      </c>
      <c r="D265" s="40" t="s">
        <v>1334</v>
      </c>
      <c r="E265" s="40" t="s">
        <v>131</v>
      </c>
      <c r="F265" s="39" t="s">
        <v>1367</v>
      </c>
      <c r="G265" s="39" t="s">
        <v>1368</v>
      </c>
      <c r="H265" s="40" t="s">
        <v>126</v>
      </c>
      <c r="I265" s="40" t="s">
        <v>469</v>
      </c>
      <c r="J265" s="39" t="s">
        <v>1369</v>
      </c>
      <c r="K265" s="40" t="s">
        <v>1338</v>
      </c>
      <c r="L265" s="41" t="s">
        <v>122</v>
      </c>
      <c r="M265" s="39" t="s">
        <v>1184</v>
      </c>
      <c r="N265" s="41" t="s">
        <v>95</v>
      </c>
      <c r="O265" s="42">
        <v>10</v>
      </c>
      <c r="P265" s="41" t="s">
        <v>46</v>
      </c>
      <c r="Q265" s="41" t="s">
        <v>66</v>
      </c>
      <c r="R265" s="41" t="s">
        <v>234</v>
      </c>
      <c r="S265" s="41" t="s">
        <v>234</v>
      </c>
      <c r="T265" s="41" t="s">
        <v>234</v>
      </c>
      <c r="U265" s="41" t="s">
        <v>234</v>
      </c>
      <c r="V265" s="41" t="s">
        <v>234</v>
      </c>
      <c r="W265" s="41" t="s">
        <v>234</v>
      </c>
      <c r="X265" s="43">
        <v>0</v>
      </c>
      <c r="Y265" s="41" t="s">
        <v>97</v>
      </c>
      <c r="Z265" s="41" t="s">
        <v>97</v>
      </c>
      <c r="AA265" s="41" t="s">
        <v>113</v>
      </c>
      <c r="AB265" s="39" t="s">
        <v>46</v>
      </c>
      <c r="AC265" s="44" t="s">
        <v>46</v>
      </c>
    </row>
    <row r="266" spans="1:29" x14ac:dyDescent="0.25">
      <c r="A266" s="45" t="s">
        <v>1370</v>
      </c>
      <c r="B266" s="46" t="s">
        <v>167</v>
      </c>
      <c r="C266" s="46" t="s">
        <v>166</v>
      </c>
      <c r="D266" s="47" t="s">
        <v>1334</v>
      </c>
      <c r="E266" s="47" t="s">
        <v>124</v>
      </c>
      <c r="F266" s="46" t="s">
        <v>1371</v>
      </c>
      <c r="G266" s="46" t="s">
        <v>1372</v>
      </c>
      <c r="H266" s="47" t="s">
        <v>126</v>
      </c>
      <c r="I266" s="47" t="s">
        <v>325</v>
      </c>
      <c r="J266" s="46" t="s">
        <v>1373</v>
      </c>
      <c r="K266" s="47" t="s">
        <v>1338</v>
      </c>
      <c r="L266" s="48" t="s">
        <v>122</v>
      </c>
      <c r="M266" s="46" t="s">
        <v>1184</v>
      </c>
      <c r="N266" s="48" t="s">
        <v>95</v>
      </c>
      <c r="O266" s="49">
        <v>8</v>
      </c>
      <c r="P266" s="48" t="s">
        <v>46</v>
      </c>
      <c r="Q266" s="41" t="s">
        <v>66</v>
      </c>
      <c r="R266" s="41" t="s">
        <v>234</v>
      </c>
      <c r="S266" s="41" t="s">
        <v>234</v>
      </c>
      <c r="T266" s="41" t="s">
        <v>234</v>
      </c>
      <c r="U266" s="41" t="s">
        <v>234</v>
      </c>
      <c r="V266" s="41" t="s">
        <v>234</v>
      </c>
      <c r="W266" s="41" t="s">
        <v>234</v>
      </c>
      <c r="X266" s="43">
        <v>0</v>
      </c>
      <c r="Y266" s="41" t="s">
        <v>97</v>
      </c>
      <c r="Z266" s="41" t="s">
        <v>97</v>
      </c>
      <c r="AA266" s="41" t="s">
        <v>113</v>
      </c>
      <c r="AB266" s="39" t="s">
        <v>46</v>
      </c>
      <c r="AC266" s="44" t="s">
        <v>46</v>
      </c>
    </row>
    <row r="267" spans="1:29" x14ac:dyDescent="0.25">
      <c r="A267" s="38" t="s">
        <v>1374</v>
      </c>
      <c r="B267" s="39" t="s">
        <v>167</v>
      </c>
      <c r="C267" s="39" t="s">
        <v>166</v>
      </c>
      <c r="D267" s="40" t="s">
        <v>1334</v>
      </c>
      <c r="E267" s="40" t="s">
        <v>135</v>
      </c>
      <c r="F267" s="39" t="s">
        <v>1375</v>
      </c>
      <c r="G267" s="39" t="s">
        <v>1376</v>
      </c>
      <c r="H267" s="40" t="s">
        <v>123</v>
      </c>
      <c r="I267" s="40" t="s">
        <v>135</v>
      </c>
      <c r="J267" s="39" t="s">
        <v>1377</v>
      </c>
      <c r="K267" s="40" t="s">
        <v>1378</v>
      </c>
      <c r="L267" s="41" t="s">
        <v>122</v>
      </c>
      <c r="M267" s="39" t="s">
        <v>1184</v>
      </c>
      <c r="N267" s="41" t="s">
        <v>95</v>
      </c>
      <c r="O267" s="42">
        <v>12</v>
      </c>
      <c r="P267" s="41" t="s">
        <v>46</v>
      </c>
      <c r="Q267" s="41" t="s">
        <v>66</v>
      </c>
      <c r="R267" s="41" t="s">
        <v>234</v>
      </c>
      <c r="S267" s="41" t="s">
        <v>234</v>
      </c>
      <c r="T267" s="41" t="s">
        <v>234</v>
      </c>
      <c r="U267" s="41" t="s">
        <v>234</v>
      </c>
      <c r="V267" s="41" t="s">
        <v>234</v>
      </c>
      <c r="W267" s="41" t="s">
        <v>234</v>
      </c>
      <c r="X267" s="43">
        <v>0</v>
      </c>
      <c r="Y267" s="41" t="s">
        <v>97</v>
      </c>
      <c r="Z267" s="41" t="s">
        <v>97</v>
      </c>
      <c r="AA267" s="41" t="s">
        <v>113</v>
      </c>
      <c r="AB267" s="39" t="s">
        <v>46</v>
      </c>
      <c r="AC267" s="44" t="s">
        <v>46</v>
      </c>
    </row>
    <row r="268" spans="1:29" x14ac:dyDescent="0.25">
      <c r="A268" s="45" t="s">
        <v>1379</v>
      </c>
      <c r="B268" s="46" t="s">
        <v>167</v>
      </c>
      <c r="C268" s="46" t="s">
        <v>166</v>
      </c>
      <c r="D268" s="47" t="s">
        <v>1334</v>
      </c>
      <c r="E268" s="47" t="s">
        <v>56</v>
      </c>
      <c r="F268" s="46" t="s">
        <v>1380</v>
      </c>
      <c r="G268" s="46" t="s">
        <v>1381</v>
      </c>
      <c r="H268" s="47" t="s">
        <v>132</v>
      </c>
      <c r="I268" s="47" t="s">
        <v>522</v>
      </c>
      <c r="J268" s="46" t="s">
        <v>598</v>
      </c>
      <c r="K268" s="47" t="s">
        <v>1338</v>
      </c>
      <c r="L268" s="48" t="s">
        <v>122</v>
      </c>
      <c r="M268" s="46" t="s">
        <v>1184</v>
      </c>
      <c r="N268" s="48" t="s">
        <v>95</v>
      </c>
      <c r="O268" s="49">
        <v>10</v>
      </c>
      <c r="P268" s="48" t="s">
        <v>46</v>
      </c>
      <c r="Q268" s="41" t="s">
        <v>66</v>
      </c>
      <c r="R268" s="41" t="s">
        <v>234</v>
      </c>
      <c r="S268" s="41" t="s">
        <v>234</v>
      </c>
      <c r="T268" s="41" t="s">
        <v>234</v>
      </c>
      <c r="U268" s="41" t="s">
        <v>234</v>
      </c>
      <c r="V268" s="41" t="s">
        <v>234</v>
      </c>
      <c r="W268" s="41" t="s">
        <v>234</v>
      </c>
      <c r="X268" s="43">
        <v>0</v>
      </c>
      <c r="Y268" s="41" t="s">
        <v>97</v>
      </c>
      <c r="Z268" s="41" t="s">
        <v>97</v>
      </c>
      <c r="AA268" s="41" t="s">
        <v>113</v>
      </c>
      <c r="AB268" s="39" t="s">
        <v>46</v>
      </c>
      <c r="AC268" s="44" t="s">
        <v>46</v>
      </c>
    </row>
    <row r="269" spans="1:29" x14ac:dyDescent="0.25">
      <c r="A269" s="38" t="s">
        <v>1382</v>
      </c>
      <c r="B269" s="39" t="s">
        <v>167</v>
      </c>
      <c r="C269" s="39" t="s">
        <v>168</v>
      </c>
      <c r="D269" s="40" t="s">
        <v>1383</v>
      </c>
      <c r="E269" s="40" t="s">
        <v>398</v>
      </c>
      <c r="F269" s="39" t="s">
        <v>1384</v>
      </c>
      <c r="G269" s="39" t="s">
        <v>1385</v>
      </c>
      <c r="H269" s="40" t="s">
        <v>128</v>
      </c>
      <c r="I269" s="40" t="s">
        <v>401</v>
      </c>
      <c r="J269" s="39" t="s">
        <v>1386</v>
      </c>
      <c r="K269" s="40" t="s">
        <v>1387</v>
      </c>
      <c r="L269" s="41" t="s">
        <v>122</v>
      </c>
      <c r="M269" s="39" t="s">
        <v>1388</v>
      </c>
      <c r="N269" s="41" t="s">
        <v>94</v>
      </c>
      <c r="O269" s="42">
        <v>6</v>
      </c>
      <c r="P269" s="41" t="s">
        <v>46</v>
      </c>
      <c r="Q269" s="41" t="s">
        <v>66</v>
      </c>
      <c r="R269" s="41" t="s">
        <v>234</v>
      </c>
      <c r="S269" s="41" t="s">
        <v>234</v>
      </c>
      <c r="T269" s="41" t="s">
        <v>234</v>
      </c>
      <c r="U269" s="41" t="s">
        <v>234</v>
      </c>
      <c r="V269" s="41" t="s">
        <v>234</v>
      </c>
      <c r="W269" s="41" t="s">
        <v>234</v>
      </c>
      <c r="X269" s="43">
        <v>0</v>
      </c>
      <c r="Y269" s="41" t="s">
        <v>97</v>
      </c>
      <c r="Z269" s="41" t="s">
        <v>97</v>
      </c>
      <c r="AA269" s="41" t="s">
        <v>113</v>
      </c>
      <c r="AB269" s="39" t="s">
        <v>46</v>
      </c>
      <c r="AC269" s="44" t="s">
        <v>46</v>
      </c>
    </row>
    <row r="270" spans="1:29" x14ac:dyDescent="0.25">
      <c r="A270" s="45" t="s">
        <v>1389</v>
      </c>
      <c r="B270" s="46" t="s">
        <v>167</v>
      </c>
      <c r="C270" s="46" t="s">
        <v>168</v>
      </c>
      <c r="D270" s="47" t="s">
        <v>1383</v>
      </c>
      <c r="E270" s="47" t="s">
        <v>1390</v>
      </c>
      <c r="F270" s="46" t="s">
        <v>1391</v>
      </c>
      <c r="G270" s="46" t="s">
        <v>1392</v>
      </c>
      <c r="H270" s="47" t="s">
        <v>123</v>
      </c>
      <c r="I270" s="47" t="s">
        <v>495</v>
      </c>
      <c r="J270" s="46" t="s">
        <v>1393</v>
      </c>
      <c r="K270" s="47" t="s">
        <v>1387</v>
      </c>
      <c r="L270" s="48" t="s">
        <v>122</v>
      </c>
      <c r="M270" s="46" t="s">
        <v>1388</v>
      </c>
      <c r="N270" s="48" t="s">
        <v>95</v>
      </c>
      <c r="O270" s="49">
        <v>14</v>
      </c>
      <c r="P270" s="48" t="s">
        <v>46</v>
      </c>
      <c r="Q270" s="41" t="s">
        <v>66</v>
      </c>
      <c r="R270" s="41" t="s">
        <v>234</v>
      </c>
      <c r="S270" s="41" t="s">
        <v>234</v>
      </c>
      <c r="T270" s="41" t="s">
        <v>234</v>
      </c>
      <c r="U270" s="41" t="s">
        <v>234</v>
      </c>
      <c r="V270" s="41" t="s">
        <v>234</v>
      </c>
      <c r="W270" s="41" t="s">
        <v>234</v>
      </c>
      <c r="X270" s="43">
        <v>0</v>
      </c>
      <c r="Y270" s="41" t="s">
        <v>97</v>
      </c>
      <c r="Z270" s="41" t="s">
        <v>97</v>
      </c>
      <c r="AA270" s="41" t="s">
        <v>113</v>
      </c>
      <c r="AB270" s="39" t="s">
        <v>46</v>
      </c>
      <c r="AC270" s="44" t="s">
        <v>46</v>
      </c>
    </row>
    <row r="271" spans="1:29" x14ac:dyDescent="0.25">
      <c r="A271" s="38" t="s">
        <v>1394</v>
      </c>
      <c r="B271" s="39" t="s">
        <v>167</v>
      </c>
      <c r="C271" s="39" t="s">
        <v>168</v>
      </c>
      <c r="D271" s="40" t="s">
        <v>1383</v>
      </c>
      <c r="E271" s="40" t="s">
        <v>123</v>
      </c>
      <c r="F271" s="39" t="s">
        <v>1395</v>
      </c>
      <c r="G271" s="39" t="s">
        <v>1396</v>
      </c>
      <c r="H271" s="40" t="s">
        <v>123</v>
      </c>
      <c r="I271" s="40" t="s">
        <v>135</v>
      </c>
      <c r="J271" s="39" t="s">
        <v>1397</v>
      </c>
      <c r="K271" s="40" t="s">
        <v>1387</v>
      </c>
      <c r="L271" s="41" t="s">
        <v>122</v>
      </c>
      <c r="M271" s="39" t="s">
        <v>1388</v>
      </c>
      <c r="N271" s="41" t="s">
        <v>95</v>
      </c>
      <c r="O271" s="42">
        <v>8</v>
      </c>
      <c r="P271" s="41" t="s">
        <v>46</v>
      </c>
      <c r="Q271" s="41" t="s">
        <v>66</v>
      </c>
      <c r="R271" s="41" t="s">
        <v>234</v>
      </c>
      <c r="S271" s="41" t="s">
        <v>234</v>
      </c>
      <c r="T271" s="41" t="s">
        <v>234</v>
      </c>
      <c r="U271" s="41" t="s">
        <v>234</v>
      </c>
      <c r="V271" s="41" t="s">
        <v>234</v>
      </c>
      <c r="W271" s="41" t="s">
        <v>234</v>
      </c>
      <c r="X271" s="43">
        <v>0</v>
      </c>
      <c r="Y271" s="41" t="s">
        <v>97</v>
      </c>
      <c r="Z271" s="41" t="s">
        <v>97</v>
      </c>
      <c r="AA271" s="41" t="s">
        <v>113</v>
      </c>
      <c r="AB271" s="39" t="s">
        <v>46</v>
      </c>
      <c r="AC271" s="44" t="s">
        <v>46</v>
      </c>
    </row>
    <row r="272" spans="1:29" x14ac:dyDescent="0.25">
      <c r="A272" s="45" t="s">
        <v>1398</v>
      </c>
      <c r="B272" s="46" t="s">
        <v>167</v>
      </c>
      <c r="C272" s="46" t="s">
        <v>168</v>
      </c>
      <c r="D272" s="47" t="s">
        <v>1383</v>
      </c>
      <c r="E272" s="47" t="s">
        <v>1390</v>
      </c>
      <c r="F272" s="46" t="s">
        <v>1399</v>
      </c>
      <c r="G272" s="46" t="s">
        <v>1400</v>
      </c>
      <c r="H272" s="47" t="s">
        <v>132</v>
      </c>
      <c r="I272" s="47" t="s">
        <v>325</v>
      </c>
      <c r="J272" s="46" t="s">
        <v>1401</v>
      </c>
      <c r="K272" s="47" t="s">
        <v>1387</v>
      </c>
      <c r="L272" s="48" t="s">
        <v>122</v>
      </c>
      <c r="M272" s="46" t="s">
        <v>1388</v>
      </c>
      <c r="N272" s="48" t="s">
        <v>95</v>
      </c>
      <c r="O272" s="49">
        <v>10</v>
      </c>
      <c r="P272" s="48" t="s">
        <v>46</v>
      </c>
      <c r="Q272" s="41" t="s">
        <v>66</v>
      </c>
      <c r="R272" s="41" t="s">
        <v>234</v>
      </c>
      <c r="S272" s="41" t="s">
        <v>234</v>
      </c>
      <c r="T272" s="41" t="s">
        <v>234</v>
      </c>
      <c r="U272" s="41" t="s">
        <v>234</v>
      </c>
      <c r="V272" s="41" t="s">
        <v>234</v>
      </c>
      <c r="W272" s="41" t="s">
        <v>234</v>
      </c>
      <c r="X272" s="43">
        <v>0</v>
      </c>
      <c r="Y272" s="41" t="s">
        <v>97</v>
      </c>
      <c r="Z272" s="41" t="s">
        <v>97</v>
      </c>
      <c r="AA272" s="41" t="s">
        <v>113</v>
      </c>
      <c r="AB272" s="39" t="s">
        <v>46</v>
      </c>
      <c r="AC272" s="44" t="s">
        <v>46</v>
      </c>
    </row>
    <row r="273" spans="1:29" x14ac:dyDescent="0.25">
      <c r="A273" s="38" t="s">
        <v>1402</v>
      </c>
      <c r="B273" s="39" t="s">
        <v>167</v>
      </c>
      <c r="C273" s="39" t="s">
        <v>168</v>
      </c>
      <c r="D273" s="40" t="s">
        <v>1383</v>
      </c>
      <c r="E273" s="40" t="s">
        <v>229</v>
      </c>
      <c r="F273" s="39" t="s">
        <v>1403</v>
      </c>
      <c r="G273" s="39" t="s">
        <v>1404</v>
      </c>
      <c r="H273" s="40" t="s">
        <v>132</v>
      </c>
      <c r="I273" s="40" t="s">
        <v>325</v>
      </c>
      <c r="J273" s="39" t="s">
        <v>1405</v>
      </c>
      <c r="K273" s="40" t="s">
        <v>1387</v>
      </c>
      <c r="L273" s="41" t="s">
        <v>122</v>
      </c>
      <c r="M273" s="39" t="s">
        <v>1388</v>
      </c>
      <c r="N273" s="41" t="s">
        <v>95</v>
      </c>
      <c r="O273" s="42">
        <v>6</v>
      </c>
      <c r="P273" s="41" t="s">
        <v>46</v>
      </c>
      <c r="Q273" s="41" t="s">
        <v>66</v>
      </c>
      <c r="R273" s="41" t="s">
        <v>234</v>
      </c>
      <c r="S273" s="41" t="s">
        <v>234</v>
      </c>
      <c r="T273" s="41" t="s">
        <v>234</v>
      </c>
      <c r="U273" s="41" t="s">
        <v>234</v>
      </c>
      <c r="V273" s="41" t="s">
        <v>234</v>
      </c>
      <c r="W273" s="41" t="s">
        <v>234</v>
      </c>
      <c r="X273" s="43">
        <v>0</v>
      </c>
      <c r="Y273" s="41" t="s">
        <v>97</v>
      </c>
      <c r="Z273" s="41" t="s">
        <v>97</v>
      </c>
      <c r="AA273" s="41" t="s">
        <v>113</v>
      </c>
      <c r="AB273" s="39" t="s">
        <v>46</v>
      </c>
      <c r="AC273" s="44" t="s">
        <v>46</v>
      </c>
    </row>
    <row r="274" spans="1:29" x14ac:dyDescent="0.25">
      <c r="A274" s="45" t="s">
        <v>1406</v>
      </c>
      <c r="B274" s="46" t="s">
        <v>167</v>
      </c>
      <c r="C274" s="46" t="s">
        <v>168</v>
      </c>
      <c r="D274" s="47" t="s">
        <v>1383</v>
      </c>
      <c r="E274" s="47" t="s">
        <v>1390</v>
      </c>
      <c r="F274" s="46" t="s">
        <v>1407</v>
      </c>
      <c r="G274" s="46" t="s">
        <v>1408</v>
      </c>
      <c r="H274" s="47" t="s">
        <v>132</v>
      </c>
      <c r="I274" s="47" t="s">
        <v>325</v>
      </c>
      <c r="J274" s="46" t="s">
        <v>1409</v>
      </c>
      <c r="K274" s="47" t="s">
        <v>1387</v>
      </c>
      <c r="L274" s="48" t="s">
        <v>122</v>
      </c>
      <c r="M274" s="46" t="s">
        <v>1388</v>
      </c>
      <c r="N274" s="48" t="s">
        <v>95</v>
      </c>
      <c r="O274" s="49">
        <v>8</v>
      </c>
      <c r="P274" s="48" t="s">
        <v>46</v>
      </c>
      <c r="Q274" s="41" t="s">
        <v>66</v>
      </c>
      <c r="R274" s="41" t="s">
        <v>234</v>
      </c>
      <c r="S274" s="41" t="s">
        <v>234</v>
      </c>
      <c r="T274" s="41" t="s">
        <v>234</v>
      </c>
      <c r="U274" s="41" t="s">
        <v>234</v>
      </c>
      <c r="V274" s="41" t="s">
        <v>234</v>
      </c>
      <c r="W274" s="41" t="s">
        <v>234</v>
      </c>
      <c r="X274" s="43">
        <v>0</v>
      </c>
      <c r="Y274" s="41" t="s">
        <v>97</v>
      </c>
      <c r="Z274" s="41" t="s">
        <v>97</v>
      </c>
      <c r="AA274" s="41" t="s">
        <v>113</v>
      </c>
      <c r="AB274" s="39" t="s">
        <v>46</v>
      </c>
      <c r="AC274" s="44" t="s">
        <v>46</v>
      </c>
    </row>
    <row r="275" spans="1:29" x14ac:dyDescent="0.25">
      <c r="A275" s="38" t="s">
        <v>1410</v>
      </c>
      <c r="B275" s="39" t="s">
        <v>167</v>
      </c>
      <c r="C275" s="39" t="s">
        <v>168</v>
      </c>
      <c r="D275" s="40" t="s">
        <v>1383</v>
      </c>
      <c r="E275" s="40" t="s">
        <v>131</v>
      </c>
      <c r="F275" s="39" t="s">
        <v>1411</v>
      </c>
      <c r="G275" s="39" t="s">
        <v>1412</v>
      </c>
      <c r="H275" s="40" t="s">
        <v>126</v>
      </c>
      <c r="I275" s="40" t="s">
        <v>469</v>
      </c>
      <c r="J275" s="39" t="s">
        <v>1413</v>
      </c>
      <c r="K275" s="40" t="s">
        <v>1387</v>
      </c>
      <c r="L275" s="41" t="s">
        <v>122</v>
      </c>
      <c r="M275" s="39" t="s">
        <v>1388</v>
      </c>
      <c r="N275" s="41" t="s">
        <v>95</v>
      </c>
      <c r="O275" s="42">
        <v>6</v>
      </c>
      <c r="P275" s="41" t="s">
        <v>46</v>
      </c>
      <c r="Q275" s="41" t="s">
        <v>66</v>
      </c>
      <c r="R275" s="41" t="s">
        <v>234</v>
      </c>
      <c r="S275" s="41" t="s">
        <v>234</v>
      </c>
      <c r="T275" s="41" t="s">
        <v>234</v>
      </c>
      <c r="U275" s="41" t="s">
        <v>234</v>
      </c>
      <c r="V275" s="41" t="s">
        <v>234</v>
      </c>
      <c r="W275" s="41" t="s">
        <v>234</v>
      </c>
      <c r="X275" s="43">
        <v>0</v>
      </c>
      <c r="Y275" s="41" t="s">
        <v>97</v>
      </c>
      <c r="Z275" s="41" t="s">
        <v>97</v>
      </c>
      <c r="AA275" s="41" t="s">
        <v>113</v>
      </c>
      <c r="AB275" s="39" t="s">
        <v>46</v>
      </c>
      <c r="AC275" s="44" t="s">
        <v>46</v>
      </c>
    </row>
    <row r="276" spans="1:29" x14ac:dyDescent="0.25">
      <c r="A276" s="45" t="s">
        <v>1414</v>
      </c>
      <c r="B276" s="46" t="s">
        <v>167</v>
      </c>
      <c r="C276" s="46" t="s">
        <v>168</v>
      </c>
      <c r="D276" s="47" t="s">
        <v>1383</v>
      </c>
      <c r="E276" s="47" t="s">
        <v>1390</v>
      </c>
      <c r="F276" s="46" t="s">
        <v>1415</v>
      </c>
      <c r="G276" s="46" t="s">
        <v>1416</v>
      </c>
      <c r="H276" s="47" t="s">
        <v>132</v>
      </c>
      <c r="I276" s="47" t="s">
        <v>325</v>
      </c>
      <c r="J276" s="46" t="s">
        <v>1417</v>
      </c>
      <c r="K276" s="47" t="s">
        <v>1387</v>
      </c>
      <c r="L276" s="48" t="s">
        <v>122</v>
      </c>
      <c r="M276" s="46" t="s">
        <v>1388</v>
      </c>
      <c r="N276" s="48" t="s">
        <v>95</v>
      </c>
      <c r="O276" s="49">
        <v>8</v>
      </c>
      <c r="P276" s="48" t="s">
        <v>46</v>
      </c>
      <c r="Q276" s="41" t="s">
        <v>66</v>
      </c>
      <c r="R276" s="41" t="s">
        <v>234</v>
      </c>
      <c r="S276" s="41" t="s">
        <v>234</v>
      </c>
      <c r="T276" s="41" t="s">
        <v>234</v>
      </c>
      <c r="U276" s="41" t="s">
        <v>234</v>
      </c>
      <c r="V276" s="41" t="s">
        <v>234</v>
      </c>
      <c r="W276" s="41" t="s">
        <v>234</v>
      </c>
      <c r="X276" s="43">
        <v>0</v>
      </c>
      <c r="Y276" s="41" t="s">
        <v>97</v>
      </c>
      <c r="Z276" s="41" t="s">
        <v>97</v>
      </c>
      <c r="AA276" s="41" t="s">
        <v>113</v>
      </c>
      <c r="AB276" s="39" t="s">
        <v>46</v>
      </c>
      <c r="AC276" s="44" t="s">
        <v>46</v>
      </c>
    </row>
    <row r="277" spans="1:29" x14ac:dyDescent="0.25">
      <c r="A277" s="38" t="s">
        <v>1418</v>
      </c>
      <c r="B277" s="39" t="s">
        <v>167</v>
      </c>
      <c r="C277" s="39" t="s">
        <v>168</v>
      </c>
      <c r="D277" s="40" t="s">
        <v>1383</v>
      </c>
      <c r="E277" s="40" t="s">
        <v>289</v>
      </c>
      <c r="F277" s="39" t="s">
        <v>1419</v>
      </c>
      <c r="G277" s="39" t="s">
        <v>1420</v>
      </c>
      <c r="H277" s="40" t="s">
        <v>123</v>
      </c>
      <c r="I277" s="40" t="s">
        <v>135</v>
      </c>
      <c r="J277" s="39" t="s">
        <v>1421</v>
      </c>
      <c r="K277" s="40" t="s">
        <v>1387</v>
      </c>
      <c r="L277" s="41" t="s">
        <v>122</v>
      </c>
      <c r="M277" s="39" t="s">
        <v>1388</v>
      </c>
      <c r="N277" s="41" t="s">
        <v>95</v>
      </c>
      <c r="O277" s="42">
        <v>6</v>
      </c>
      <c r="P277" s="41" t="s">
        <v>46</v>
      </c>
      <c r="Q277" s="41" t="s">
        <v>66</v>
      </c>
      <c r="R277" s="41" t="s">
        <v>234</v>
      </c>
      <c r="S277" s="41" t="s">
        <v>234</v>
      </c>
      <c r="T277" s="41" t="s">
        <v>234</v>
      </c>
      <c r="U277" s="41" t="s">
        <v>234</v>
      </c>
      <c r="V277" s="41" t="s">
        <v>234</v>
      </c>
      <c r="W277" s="41" t="s">
        <v>234</v>
      </c>
      <c r="X277" s="43">
        <v>0</v>
      </c>
      <c r="Y277" s="41" t="s">
        <v>97</v>
      </c>
      <c r="Z277" s="41" t="s">
        <v>97</v>
      </c>
      <c r="AA277" s="41" t="s">
        <v>113</v>
      </c>
      <c r="AB277" s="39" t="s">
        <v>1422</v>
      </c>
      <c r="AC277" s="44" t="s">
        <v>46</v>
      </c>
    </row>
    <row r="278" spans="1:29" x14ac:dyDescent="0.25">
      <c r="A278" s="45" t="s">
        <v>1423</v>
      </c>
      <c r="B278" s="46" t="s">
        <v>167</v>
      </c>
      <c r="C278" s="46" t="s">
        <v>168</v>
      </c>
      <c r="D278" s="47" t="s">
        <v>1383</v>
      </c>
      <c r="E278" s="47" t="s">
        <v>1390</v>
      </c>
      <c r="F278" s="46" t="s">
        <v>1424</v>
      </c>
      <c r="G278" s="46" t="s">
        <v>1425</v>
      </c>
      <c r="H278" s="47" t="s">
        <v>132</v>
      </c>
      <c r="I278" s="47" t="s">
        <v>325</v>
      </c>
      <c r="J278" s="46" t="s">
        <v>1426</v>
      </c>
      <c r="K278" s="47" t="s">
        <v>1387</v>
      </c>
      <c r="L278" s="48" t="s">
        <v>122</v>
      </c>
      <c r="M278" s="46" t="s">
        <v>1388</v>
      </c>
      <c r="N278" s="48" t="s">
        <v>95</v>
      </c>
      <c r="O278" s="49">
        <v>6</v>
      </c>
      <c r="P278" s="48" t="s">
        <v>46</v>
      </c>
      <c r="Q278" s="41" t="s">
        <v>66</v>
      </c>
      <c r="R278" s="41" t="s">
        <v>234</v>
      </c>
      <c r="S278" s="41" t="s">
        <v>234</v>
      </c>
      <c r="T278" s="41" t="s">
        <v>234</v>
      </c>
      <c r="U278" s="41" t="s">
        <v>234</v>
      </c>
      <c r="V278" s="41" t="s">
        <v>234</v>
      </c>
      <c r="W278" s="41" t="s">
        <v>234</v>
      </c>
      <c r="X278" s="43">
        <v>0</v>
      </c>
      <c r="Y278" s="41" t="s">
        <v>97</v>
      </c>
      <c r="Z278" s="41" t="s">
        <v>97</v>
      </c>
      <c r="AA278" s="41" t="s">
        <v>113</v>
      </c>
      <c r="AB278" s="39" t="s">
        <v>46</v>
      </c>
      <c r="AC278" s="44" t="s">
        <v>46</v>
      </c>
    </row>
    <row r="279" spans="1:29" x14ac:dyDescent="0.25">
      <c r="A279" s="38" t="s">
        <v>1427</v>
      </c>
      <c r="B279" s="39" t="s">
        <v>167</v>
      </c>
      <c r="C279" s="39" t="s">
        <v>168</v>
      </c>
      <c r="D279" s="40" t="s">
        <v>1383</v>
      </c>
      <c r="E279" s="40" t="s">
        <v>1390</v>
      </c>
      <c r="F279" s="39" t="s">
        <v>1428</v>
      </c>
      <c r="G279" s="39" t="s">
        <v>1429</v>
      </c>
      <c r="H279" s="40" t="s">
        <v>132</v>
      </c>
      <c r="I279" s="40" t="s">
        <v>325</v>
      </c>
      <c r="J279" s="39" t="s">
        <v>1430</v>
      </c>
      <c r="K279" s="40" t="s">
        <v>1387</v>
      </c>
      <c r="L279" s="41" t="s">
        <v>125</v>
      </c>
      <c r="M279" s="39" t="s">
        <v>1388</v>
      </c>
      <c r="N279" s="41" t="s">
        <v>95</v>
      </c>
      <c r="O279" s="42">
        <v>6</v>
      </c>
      <c r="P279" s="41" t="s">
        <v>46</v>
      </c>
      <c r="Q279" s="41" t="s">
        <v>66</v>
      </c>
      <c r="R279" s="41" t="s">
        <v>234</v>
      </c>
      <c r="S279" s="41" t="s">
        <v>234</v>
      </c>
      <c r="T279" s="41" t="s">
        <v>234</v>
      </c>
      <c r="U279" s="41" t="s">
        <v>234</v>
      </c>
      <c r="V279" s="41" t="s">
        <v>234</v>
      </c>
      <c r="W279" s="41" t="s">
        <v>234</v>
      </c>
      <c r="X279" s="43">
        <v>0</v>
      </c>
      <c r="Y279" s="41" t="s">
        <v>97</v>
      </c>
      <c r="Z279" s="41" t="s">
        <v>97</v>
      </c>
      <c r="AA279" s="41" t="s">
        <v>113</v>
      </c>
      <c r="AB279" s="39" t="s">
        <v>46</v>
      </c>
      <c r="AC279" s="44" t="s">
        <v>46</v>
      </c>
    </row>
    <row r="280" spans="1:29" x14ac:dyDescent="0.25">
      <c r="A280" s="45" t="s">
        <v>1431</v>
      </c>
      <c r="B280" s="46" t="s">
        <v>167</v>
      </c>
      <c r="C280" s="46" t="s">
        <v>168</v>
      </c>
      <c r="D280" s="47" t="s">
        <v>1383</v>
      </c>
      <c r="E280" s="47" t="s">
        <v>1390</v>
      </c>
      <c r="F280" s="46" t="s">
        <v>1432</v>
      </c>
      <c r="G280" s="46" t="s">
        <v>1433</v>
      </c>
      <c r="H280" s="47" t="s">
        <v>132</v>
      </c>
      <c r="I280" s="47" t="s">
        <v>325</v>
      </c>
      <c r="J280" s="46" t="s">
        <v>1434</v>
      </c>
      <c r="K280" s="47" t="s">
        <v>1387</v>
      </c>
      <c r="L280" s="48" t="s">
        <v>122</v>
      </c>
      <c r="M280" s="46" t="s">
        <v>1388</v>
      </c>
      <c r="N280" s="48" t="s">
        <v>95</v>
      </c>
      <c r="O280" s="49">
        <v>5</v>
      </c>
      <c r="P280" s="48" t="s">
        <v>46</v>
      </c>
      <c r="Q280" s="41" t="s">
        <v>66</v>
      </c>
      <c r="R280" s="41" t="s">
        <v>234</v>
      </c>
      <c r="S280" s="41" t="s">
        <v>234</v>
      </c>
      <c r="T280" s="41" t="s">
        <v>234</v>
      </c>
      <c r="U280" s="41" t="s">
        <v>234</v>
      </c>
      <c r="V280" s="41" t="s">
        <v>234</v>
      </c>
      <c r="W280" s="41" t="s">
        <v>234</v>
      </c>
      <c r="X280" s="43">
        <v>0</v>
      </c>
      <c r="Y280" s="41" t="s">
        <v>97</v>
      </c>
      <c r="Z280" s="41" t="s">
        <v>97</v>
      </c>
      <c r="AA280" s="41" t="s">
        <v>113</v>
      </c>
      <c r="AB280" s="39" t="s">
        <v>46</v>
      </c>
      <c r="AC280" s="44" t="s">
        <v>46</v>
      </c>
    </row>
    <row r="281" spans="1:29" x14ac:dyDescent="0.25">
      <c r="A281" s="38" t="s">
        <v>1435</v>
      </c>
      <c r="B281" s="39" t="s">
        <v>167</v>
      </c>
      <c r="C281" s="39" t="s">
        <v>168</v>
      </c>
      <c r="D281" s="40" t="s">
        <v>1383</v>
      </c>
      <c r="E281" s="40" t="s">
        <v>135</v>
      </c>
      <c r="F281" s="39" t="s">
        <v>1436</v>
      </c>
      <c r="G281" s="39" t="s">
        <v>1437</v>
      </c>
      <c r="H281" s="40" t="s">
        <v>123</v>
      </c>
      <c r="I281" s="40" t="s">
        <v>135</v>
      </c>
      <c r="J281" s="39" t="s">
        <v>1438</v>
      </c>
      <c r="K281" s="40" t="s">
        <v>1439</v>
      </c>
      <c r="L281" s="41" t="s">
        <v>122</v>
      </c>
      <c r="M281" s="39" t="s">
        <v>1388</v>
      </c>
      <c r="N281" s="41" t="s">
        <v>95</v>
      </c>
      <c r="O281" s="42">
        <v>14</v>
      </c>
      <c r="P281" s="41" t="s">
        <v>46</v>
      </c>
      <c r="Q281" s="41" t="s">
        <v>66</v>
      </c>
      <c r="R281" s="41" t="s">
        <v>234</v>
      </c>
      <c r="S281" s="41" t="s">
        <v>234</v>
      </c>
      <c r="T281" s="41" t="s">
        <v>234</v>
      </c>
      <c r="U281" s="41" t="s">
        <v>234</v>
      </c>
      <c r="V281" s="41" t="s">
        <v>234</v>
      </c>
      <c r="W281" s="41" t="s">
        <v>234</v>
      </c>
      <c r="X281" s="43">
        <v>0</v>
      </c>
      <c r="Y281" s="41" t="s">
        <v>97</v>
      </c>
      <c r="Z281" s="41" t="s">
        <v>97</v>
      </c>
      <c r="AA281" s="41" t="s">
        <v>113</v>
      </c>
      <c r="AB281" s="39" t="s">
        <v>46</v>
      </c>
      <c r="AC281" s="44" t="s">
        <v>46</v>
      </c>
    </row>
    <row r="282" spans="1:29" x14ac:dyDescent="0.25">
      <c r="A282" s="45" t="s">
        <v>1440</v>
      </c>
      <c r="B282" s="46" t="s">
        <v>167</v>
      </c>
      <c r="C282" s="46" t="s">
        <v>168</v>
      </c>
      <c r="D282" s="47" t="s">
        <v>1383</v>
      </c>
      <c r="E282" s="47" t="s">
        <v>129</v>
      </c>
      <c r="F282" s="46" t="s">
        <v>1441</v>
      </c>
      <c r="G282" s="46" t="s">
        <v>1442</v>
      </c>
      <c r="H282" s="47" t="s">
        <v>126</v>
      </c>
      <c r="I282" s="47" t="s">
        <v>325</v>
      </c>
      <c r="J282" s="46" t="s">
        <v>1443</v>
      </c>
      <c r="K282" s="47" t="s">
        <v>1387</v>
      </c>
      <c r="L282" s="48" t="s">
        <v>122</v>
      </c>
      <c r="M282" s="46" t="s">
        <v>1444</v>
      </c>
      <c r="N282" s="48" t="s">
        <v>97</v>
      </c>
      <c r="O282" s="49">
        <v>8</v>
      </c>
      <c r="P282" s="48" t="s">
        <v>46</v>
      </c>
      <c r="Q282" s="41" t="s">
        <v>31</v>
      </c>
      <c r="R282" s="41" t="s">
        <v>234</v>
      </c>
      <c r="S282" s="41" t="s">
        <v>234</v>
      </c>
      <c r="T282" s="41" t="s">
        <v>234</v>
      </c>
      <c r="U282" s="41" t="s">
        <v>234</v>
      </c>
      <c r="V282" s="41" t="s">
        <v>234</v>
      </c>
      <c r="W282" s="41" t="s">
        <v>273</v>
      </c>
      <c r="X282" s="43">
        <v>0</v>
      </c>
      <c r="Y282" s="41" t="s">
        <v>97</v>
      </c>
      <c r="Z282" s="41" t="s">
        <v>97</v>
      </c>
      <c r="AA282" s="41" t="s">
        <v>113</v>
      </c>
      <c r="AB282" s="39" t="s">
        <v>1445</v>
      </c>
      <c r="AC282" s="44" t="s">
        <v>46</v>
      </c>
    </row>
    <row r="283" spans="1:29" x14ac:dyDescent="0.25">
      <c r="A283" s="38" t="s">
        <v>1446</v>
      </c>
      <c r="B283" s="39" t="s">
        <v>167</v>
      </c>
      <c r="C283" s="39" t="s">
        <v>168</v>
      </c>
      <c r="D283" s="40" t="s">
        <v>1383</v>
      </c>
      <c r="E283" s="40" t="s">
        <v>56</v>
      </c>
      <c r="F283" s="39" t="s">
        <v>1447</v>
      </c>
      <c r="G283" s="39" t="s">
        <v>1448</v>
      </c>
      <c r="H283" s="40" t="s">
        <v>132</v>
      </c>
      <c r="I283" s="40" t="s">
        <v>522</v>
      </c>
      <c r="J283" s="39" t="s">
        <v>1449</v>
      </c>
      <c r="K283" s="40" t="s">
        <v>1387</v>
      </c>
      <c r="L283" s="41" t="s">
        <v>122</v>
      </c>
      <c r="M283" s="39" t="s">
        <v>1388</v>
      </c>
      <c r="N283" s="41" t="s">
        <v>95</v>
      </c>
      <c r="O283" s="42">
        <v>12</v>
      </c>
      <c r="P283" s="41" t="s">
        <v>46</v>
      </c>
      <c r="Q283" s="41" t="s">
        <v>66</v>
      </c>
      <c r="R283" s="41" t="s">
        <v>234</v>
      </c>
      <c r="S283" s="41" t="s">
        <v>234</v>
      </c>
      <c r="T283" s="41" t="s">
        <v>234</v>
      </c>
      <c r="U283" s="41" t="s">
        <v>234</v>
      </c>
      <c r="V283" s="41" t="s">
        <v>234</v>
      </c>
      <c r="W283" s="41" t="s">
        <v>234</v>
      </c>
      <c r="X283" s="43">
        <v>0</v>
      </c>
      <c r="Y283" s="41" t="s">
        <v>97</v>
      </c>
      <c r="Z283" s="41" t="s">
        <v>97</v>
      </c>
      <c r="AA283" s="41" t="s">
        <v>113</v>
      </c>
      <c r="AB283" s="39" t="s">
        <v>46</v>
      </c>
      <c r="AC283" s="44" t="s">
        <v>46</v>
      </c>
    </row>
    <row r="284" spans="1:29" x14ac:dyDescent="0.25">
      <c r="A284" s="45" t="s">
        <v>1450</v>
      </c>
      <c r="B284" s="46" t="s">
        <v>167</v>
      </c>
      <c r="C284" s="46" t="s">
        <v>169</v>
      </c>
      <c r="D284" s="47" t="s">
        <v>1451</v>
      </c>
      <c r="E284" s="47" t="s">
        <v>1390</v>
      </c>
      <c r="F284" s="46" t="s">
        <v>1452</v>
      </c>
      <c r="G284" s="46" t="s">
        <v>1453</v>
      </c>
      <c r="H284" s="47" t="s">
        <v>126</v>
      </c>
      <c r="I284" s="47" t="s">
        <v>325</v>
      </c>
      <c r="J284" s="46" t="s">
        <v>1454</v>
      </c>
      <c r="K284" s="47" t="s">
        <v>1455</v>
      </c>
      <c r="L284" s="48" t="s">
        <v>122</v>
      </c>
      <c r="M284" s="46" t="s">
        <v>1456</v>
      </c>
      <c r="N284" s="48" t="s">
        <v>95</v>
      </c>
      <c r="O284" s="49">
        <v>10</v>
      </c>
      <c r="P284" s="48" t="s">
        <v>46</v>
      </c>
      <c r="Q284" s="41" t="s">
        <v>66</v>
      </c>
      <c r="R284" s="41" t="s">
        <v>234</v>
      </c>
      <c r="S284" s="41" t="s">
        <v>234</v>
      </c>
      <c r="T284" s="41" t="s">
        <v>234</v>
      </c>
      <c r="U284" s="41" t="s">
        <v>234</v>
      </c>
      <c r="V284" s="41" t="s">
        <v>234</v>
      </c>
      <c r="W284" s="41" t="s">
        <v>234</v>
      </c>
      <c r="X284" s="43">
        <v>0</v>
      </c>
      <c r="Y284" s="41" t="s">
        <v>97</v>
      </c>
      <c r="Z284" s="41" t="s">
        <v>97</v>
      </c>
      <c r="AA284" s="41" t="s">
        <v>113</v>
      </c>
      <c r="AB284" s="39" t="s">
        <v>46</v>
      </c>
      <c r="AC284" s="44" t="s">
        <v>46</v>
      </c>
    </row>
    <row r="285" spans="1:29" x14ac:dyDescent="0.25">
      <c r="A285" s="38" t="s">
        <v>1457</v>
      </c>
      <c r="B285" s="39" t="s">
        <v>167</v>
      </c>
      <c r="C285" s="39" t="s">
        <v>169</v>
      </c>
      <c r="D285" s="40" t="s">
        <v>1451</v>
      </c>
      <c r="E285" s="40" t="s">
        <v>1390</v>
      </c>
      <c r="F285" s="39" t="s">
        <v>1458</v>
      </c>
      <c r="G285" s="39" t="s">
        <v>1459</v>
      </c>
      <c r="H285" s="40" t="s">
        <v>126</v>
      </c>
      <c r="I285" s="40" t="s">
        <v>325</v>
      </c>
      <c r="J285" s="39" t="s">
        <v>1460</v>
      </c>
      <c r="K285" s="40" t="s">
        <v>1455</v>
      </c>
      <c r="L285" s="41" t="s">
        <v>122</v>
      </c>
      <c r="M285" s="39" t="s">
        <v>1456</v>
      </c>
      <c r="N285" s="41" t="s">
        <v>95</v>
      </c>
      <c r="O285" s="42">
        <v>8</v>
      </c>
      <c r="P285" s="41" t="s">
        <v>46</v>
      </c>
      <c r="Q285" s="41" t="s">
        <v>66</v>
      </c>
      <c r="R285" s="41" t="s">
        <v>234</v>
      </c>
      <c r="S285" s="41" t="s">
        <v>234</v>
      </c>
      <c r="T285" s="41" t="s">
        <v>234</v>
      </c>
      <c r="U285" s="41" t="s">
        <v>234</v>
      </c>
      <c r="V285" s="41" t="s">
        <v>234</v>
      </c>
      <c r="W285" s="41" t="s">
        <v>234</v>
      </c>
      <c r="X285" s="43">
        <v>0</v>
      </c>
      <c r="Y285" s="41" t="s">
        <v>97</v>
      </c>
      <c r="Z285" s="41" t="s">
        <v>97</v>
      </c>
      <c r="AA285" s="41" t="s">
        <v>113</v>
      </c>
      <c r="AB285" s="39" t="s">
        <v>46</v>
      </c>
      <c r="AC285" s="44" t="s">
        <v>46</v>
      </c>
    </row>
    <row r="286" spans="1:29" x14ac:dyDescent="0.25">
      <c r="A286" s="45" t="s">
        <v>1461</v>
      </c>
      <c r="B286" s="46" t="s">
        <v>167</v>
      </c>
      <c r="C286" s="46" t="s">
        <v>169</v>
      </c>
      <c r="D286" s="47" t="s">
        <v>1451</v>
      </c>
      <c r="E286" s="47" t="s">
        <v>1390</v>
      </c>
      <c r="F286" s="46" t="s">
        <v>1462</v>
      </c>
      <c r="G286" s="46" t="s">
        <v>1463</v>
      </c>
      <c r="H286" s="47" t="s">
        <v>126</v>
      </c>
      <c r="I286" s="47" t="s">
        <v>325</v>
      </c>
      <c r="J286" s="46" t="s">
        <v>1464</v>
      </c>
      <c r="K286" s="47" t="s">
        <v>1455</v>
      </c>
      <c r="L286" s="48" t="s">
        <v>122</v>
      </c>
      <c r="M286" s="46" t="s">
        <v>1456</v>
      </c>
      <c r="N286" s="48" t="s">
        <v>95</v>
      </c>
      <c r="O286" s="49">
        <v>6</v>
      </c>
      <c r="P286" s="48" t="s">
        <v>46</v>
      </c>
      <c r="Q286" s="41" t="s">
        <v>66</v>
      </c>
      <c r="R286" s="41" t="s">
        <v>234</v>
      </c>
      <c r="S286" s="41" t="s">
        <v>234</v>
      </c>
      <c r="T286" s="41" t="s">
        <v>234</v>
      </c>
      <c r="U286" s="41" t="s">
        <v>234</v>
      </c>
      <c r="V286" s="41" t="s">
        <v>234</v>
      </c>
      <c r="W286" s="41" t="s">
        <v>234</v>
      </c>
      <c r="X286" s="43">
        <v>0</v>
      </c>
      <c r="Y286" s="41" t="s">
        <v>97</v>
      </c>
      <c r="Z286" s="41" t="s">
        <v>97</v>
      </c>
      <c r="AA286" s="41" t="s">
        <v>113</v>
      </c>
      <c r="AB286" s="39" t="s">
        <v>46</v>
      </c>
      <c r="AC286" s="44" t="s">
        <v>46</v>
      </c>
    </row>
    <row r="287" spans="1:29" x14ac:dyDescent="0.25">
      <c r="A287" s="38" t="s">
        <v>1465</v>
      </c>
      <c r="B287" s="39" t="s">
        <v>167</v>
      </c>
      <c r="C287" s="39" t="s">
        <v>169</v>
      </c>
      <c r="D287" s="40" t="s">
        <v>1451</v>
      </c>
      <c r="E287" s="40" t="s">
        <v>1390</v>
      </c>
      <c r="F287" s="39" t="s">
        <v>1466</v>
      </c>
      <c r="G287" s="39" t="s">
        <v>1467</v>
      </c>
      <c r="H287" s="40" t="s">
        <v>126</v>
      </c>
      <c r="I287" s="40" t="s">
        <v>325</v>
      </c>
      <c r="J287" s="39" t="s">
        <v>1468</v>
      </c>
      <c r="K287" s="40" t="s">
        <v>1455</v>
      </c>
      <c r="L287" s="41" t="s">
        <v>125</v>
      </c>
      <c r="M287" s="39" t="s">
        <v>1456</v>
      </c>
      <c r="N287" s="41" t="s">
        <v>95</v>
      </c>
      <c r="O287" s="42">
        <v>8</v>
      </c>
      <c r="P287" s="41" t="s">
        <v>46</v>
      </c>
      <c r="Q287" s="41" t="s">
        <v>66</v>
      </c>
      <c r="R287" s="41" t="s">
        <v>234</v>
      </c>
      <c r="S287" s="41" t="s">
        <v>234</v>
      </c>
      <c r="T287" s="41" t="s">
        <v>234</v>
      </c>
      <c r="U287" s="41" t="s">
        <v>234</v>
      </c>
      <c r="V287" s="41" t="s">
        <v>234</v>
      </c>
      <c r="W287" s="41" t="s">
        <v>234</v>
      </c>
      <c r="X287" s="43">
        <v>0</v>
      </c>
      <c r="Y287" s="41" t="s">
        <v>97</v>
      </c>
      <c r="Z287" s="41" t="s">
        <v>97</v>
      </c>
      <c r="AA287" s="41" t="s">
        <v>113</v>
      </c>
      <c r="AB287" s="39" t="s">
        <v>1469</v>
      </c>
      <c r="AC287" s="44" t="s">
        <v>46</v>
      </c>
    </row>
    <row r="288" spans="1:29" x14ac:dyDescent="0.25">
      <c r="A288" s="45" t="s">
        <v>1470</v>
      </c>
      <c r="B288" s="46" t="s">
        <v>167</v>
      </c>
      <c r="C288" s="46" t="s">
        <v>169</v>
      </c>
      <c r="D288" s="47" t="s">
        <v>1451</v>
      </c>
      <c r="E288" s="47" t="s">
        <v>1390</v>
      </c>
      <c r="F288" s="46" t="s">
        <v>1471</v>
      </c>
      <c r="G288" s="46" t="s">
        <v>1472</v>
      </c>
      <c r="H288" s="47" t="s">
        <v>126</v>
      </c>
      <c r="I288" s="47" t="s">
        <v>325</v>
      </c>
      <c r="J288" s="46" t="s">
        <v>1473</v>
      </c>
      <c r="K288" s="47" t="s">
        <v>1455</v>
      </c>
      <c r="L288" s="48" t="s">
        <v>122</v>
      </c>
      <c r="M288" s="46" t="s">
        <v>1456</v>
      </c>
      <c r="N288" s="48" t="s">
        <v>95</v>
      </c>
      <c r="O288" s="49">
        <v>6</v>
      </c>
      <c r="P288" s="48" t="s">
        <v>46</v>
      </c>
      <c r="Q288" s="41" t="s">
        <v>66</v>
      </c>
      <c r="R288" s="41" t="s">
        <v>234</v>
      </c>
      <c r="S288" s="41" t="s">
        <v>234</v>
      </c>
      <c r="T288" s="41" t="s">
        <v>234</v>
      </c>
      <c r="U288" s="41" t="s">
        <v>234</v>
      </c>
      <c r="V288" s="41" t="s">
        <v>234</v>
      </c>
      <c r="W288" s="41" t="s">
        <v>234</v>
      </c>
      <c r="X288" s="43">
        <v>0</v>
      </c>
      <c r="Y288" s="41" t="s">
        <v>97</v>
      </c>
      <c r="Z288" s="41" t="s">
        <v>97</v>
      </c>
      <c r="AA288" s="41" t="s">
        <v>113</v>
      </c>
      <c r="AB288" s="39" t="s">
        <v>46</v>
      </c>
      <c r="AC288" s="44" t="s">
        <v>46</v>
      </c>
    </row>
    <row r="289" spans="1:29" x14ac:dyDescent="0.25">
      <c r="A289" s="38" t="s">
        <v>1474</v>
      </c>
      <c r="B289" s="39" t="s">
        <v>167</v>
      </c>
      <c r="C289" s="39" t="s">
        <v>169</v>
      </c>
      <c r="D289" s="40" t="s">
        <v>1451</v>
      </c>
      <c r="E289" s="40" t="s">
        <v>1390</v>
      </c>
      <c r="F289" s="39" t="s">
        <v>1475</v>
      </c>
      <c r="G289" s="39" t="s">
        <v>1476</v>
      </c>
      <c r="H289" s="40" t="s">
        <v>126</v>
      </c>
      <c r="I289" s="40" t="s">
        <v>325</v>
      </c>
      <c r="J289" s="39" t="s">
        <v>1477</v>
      </c>
      <c r="K289" s="40" t="s">
        <v>1455</v>
      </c>
      <c r="L289" s="41" t="s">
        <v>122</v>
      </c>
      <c r="M289" s="39" t="s">
        <v>1456</v>
      </c>
      <c r="N289" s="41" t="s">
        <v>95</v>
      </c>
      <c r="O289" s="42">
        <v>10</v>
      </c>
      <c r="P289" s="41" t="s">
        <v>46</v>
      </c>
      <c r="Q289" s="41" t="s">
        <v>66</v>
      </c>
      <c r="R289" s="41" t="s">
        <v>234</v>
      </c>
      <c r="S289" s="41" t="s">
        <v>234</v>
      </c>
      <c r="T289" s="41" t="s">
        <v>234</v>
      </c>
      <c r="U289" s="41" t="s">
        <v>234</v>
      </c>
      <c r="V289" s="41" t="s">
        <v>234</v>
      </c>
      <c r="W289" s="41" t="s">
        <v>234</v>
      </c>
      <c r="X289" s="43">
        <v>0</v>
      </c>
      <c r="Y289" s="41" t="s">
        <v>97</v>
      </c>
      <c r="Z289" s="41" t="s">
        <v>97</v>
      </c>
      <c r="AA289" s="41" t="s">
        <v>113</v>
      </c>
      <c r="AB289" s="39" t="s">
        <v>46</v>
      </c>
      <c r="AC289" s="44" t="s">
        <v>46</v>
      </c>
    </row>
    <row r="290" spans="1:29" x14ac:dyDescent="0.25">
      <c r="A290" s="45" t="s">
        <v>1478</v>
      </c>
      <c r="B290" s="46" t="s">
        <v>167</v>
      </c>
      <c r="C290" s="46" t="s">
        <v>169</v>
      </c>
      <c r="D290" s="47" t="s">
        <v>1451</v>
      </c>
      <c r="E290" s="47" t="s">
        <v>289</v>
      </c>
      <c r="F290" s="46" t="s">
        <v>1479</v>
      </c>
      <c r="G290" s="46" t="s">
        <v>1480</v>
      </c>
      <c r="H290" s="47" t="s">
        <v>123</v>
      </c>
      <c r="I290" s="47" t="s">
        <v>135</v>
      </c>
      <c r="J290" s="46" t="s">
        <v>1481</v>
      </c>
      <c r="K290" s="47" t="s">
        <v>1455</v>
      </c>
      <c r="L290" s="48" t="s">
        <v>122</v>
      </c>
      <c r="M290" s="46" t="s">
        <v>1456</v>
      </c>
      <c r="N290" s="48" t="s">
        <v>95</v>
      </c>
      <c r="O290" s="49">
        <v>8</v>
      </c>
      <c r="P290" s="48" t="s">
        <v>46</v>
      </c>
      <c r="Q290" s="41" t="s">
        <v>66</v>
      </c>
      <c r="R290" s="41" t="s">
        <v>234</v>
      </c>
      <c r="S290" s="41" t="s">
        <v>234</v>
      </c>
      <c r="T290" s="41" t="s">
        <v>234</v>
      </c>
      <c r="U290" s="41" t="s">
        <v>234</v>
      </c>
      <c r="V290" s="41" t="s">
        <v>234</v>
      </c>
      <c r="W290" s="41" t="s">
        <v>234</v>
      </c>
      <c r="X290" s="43">
        <v>0</v>
      </c>
      <c r="Y290" s="41" t="s">
        <v>97</v>
      </c>
      <c r="Z290" s="41" t="s">
        <v>97</v>
      </c>
      <c r="AA290" s="41" t="s">
        <v>113</v>
      </c>
      <c r="AB290" s="39" t="s">
        <v>46</v>
      </c>
      <c r="AC290" s="44" t="s">
        <v>46</v>
      </c>
    </row>
    <row r="291" spans="1:29" x14ac:dyDescent="0.25">
      <c r="A291" s="38" t="s">
        <v>1482</v>
      </c>
      <c r="B291" s="39" t="s">
        <v>167</v>
      </c>
      <c r="C291" s="39" t="s">
        <v>169</v>
      </c>
      <c r="D291" s="40" t="s">
        <v>1451</v>
      </c>
      <c r="E291" s="40" t="s">
        <v>1390</v>
      </c>
      <c r="F291" s="39" t="s">
        <v>1483</v>
      </c>
      <c r="G291" s="39" t="s">
        <v>1484</v>
      </c>
      <c r="H291" s="40" t="s">
        <v>126</v>
      </c>
      <c r="I291" s="40" t="s">
        <v>246</v>
      </c>
      <c r="J291" s="39" t="s">
        <v>1485</v>
      </c>
      <c r="K291" s="40" t="s">
        <v>1455</v>
      </c>
      <c r="L291" s="41" t="s">
        <v>122</v>
      </c>
      <c r="M291" s="39" t="s">
        <v>1456</v>
      </c>
      <c r="N291" s="41" t="s">
        <v>95</v>
      </c>
      <c r="O291" s="42">
        <v>8</v>
      </c>
      <c r="P291" s="41" t="s">
        <v>46</v>
      </c>
      <c r="Q291" s="41" t="s">
        <v>66</v>
      </c>
      <c r="R291" s="41" t="s">
        <v>234</v>
      </c>
      <c r="S291" s="41" t="s">
        <v>234</v>
      </c>
      <c r="T291" s="41" t="s">
        <v>234</v>
      </c>
      <c r="U291" s="41" t="s">
        <v>234</v>
      </c>
      <c r="V291" s="41" t="s">
        <v>234</v>
      </c>
      <c r="W291" s="41" t="s">
        <v>234</v>
      </c>
      <c r="X291" s="43">
        <v>0</v>
      </c>
      <c r="Y291" s="41" t="s">
        <v>97</v>
      </c>
      <c r="Z291" s="41" t="s">
        <v>97</v>
      </c>
      <c r="AA291" s="41" t="s">
        <v>113</v>
      </c>
      <c r="AB291" s="39" t="s">
        <v>46</v>
      </c>
      <c r="AC291" s="44" t="s">
        <v>46</v>
      </c>
    </row>
    <row r="292" spans="1:29" x14ac:dyDescent="0.25">
      <c r="A292" s="45" t="s">
        <v>1486</v>
      </c>
      <c r="B292" s="46" t="s">
        <v>167</v>
      </c>
      <c r="C292" s="46" t="s">
        <v>169</v>
      </c>
      <c r="D292" s="47" t="s">
        <v>1451</v>
      </c>
      <c r="E292" s="47" t="s">
        <v>135</v>
      </c>
      <c r="F292" s="46" t="s">
        <v>1487</v>
      </c>
      <c r="G292" s="46" t="s">
        <v>1488</v>
      </c>
      <c r="H292" s="47" t="s">
        <v>123</v>
      </c>
      <c r="I292" s="47" t="s">
        <v>135</v>
      </c>
      <c r="J292" s="46" t="s">
        <v>1489</v>
      </c>
      <c r="K292" s="47" t="s">
        <v>1490</v>
      </c>
      <c r="L292" s="48" t="s">
        <v>122</v>
      </c>
      <c r="M292" s="46" t="s">
        <v>1456</v>
      </c>
      <c r="N292" s="48" t="s">
        <v>95</v>
      </c>
      <c r="O292" s="49">
        <v>10</v>
      </c>
      <c r="P292" s="48" t="s">
        <v>46</v>
      </c>
      <c r="Q292" s="41" t="s">
        <v>66</v>
      </c>
      <c r="R292" s="41" t="s">
        <v>234</v>
      </c>
      <c r="S292" s="41" t="s">
        <v>234</v>
      </c>
      <c r="T292" s="41" t="s">
        <v>234</v>
      </c>
      <c r="U292" s="41" t="s">
        <v>234</v>
      </c>
      <c r="V292" s="41" t="s">
        <v>234</v>
      </c>
      <c r="W292" s="41" t="s">
        <v>234</v>
      </c>
      <c r="X292" s="43">
        <v>0</v>
      </c>
      <c r="Y292" s="41" t="s">
        <v>97</v>
      </c>
      <c r="Z292" s="41" t="s">
        <v>97</v>
      </c>
      <c r="AA292" s="41" t="s">
        <v>113</v>
      </c>
      <c r="AB292" s="39" t="s">
        <v>46</v>
      </c>
      <c r="AC292" s="44" t="s">
        <v>46</v>
      </c>
    </row>
    <row r="293" spans="1:29" x14ac:dyDescent="0.25">
      <c r="A293" s="38" t="s">
        <v>1491</v>
      </c>
      <c r="B293" s="39" t="s">
        <v>167</v>
      </c>
      <c r="C293" s="39" t="s">
        <v>169</v>
      </c>
      <c r="D293" s="40" t="s">
        <v>1451</v>
      </c>
      <c r="E293" s="40" t="s">
        <v>1390</v>
      </c>
      <c r="F293" s="39" t="s">
        <v>1492</v>
      </c>
      <c r="G293" s="39" t="s">
        <v>1493</v>
      </c>
      <c r="H293" s="40" t="s">
        <v>126</v>
      </c>
      <c r="I293" s="40" t="s">
        <v>325</v>
      </c>
      <c r="J293" s="39" t="s">
        <v>1494</v>
      </c>
      <c r="K293" s="40" t="s">
        <v>1455</v>
      </c>
      <c r="L293" s="41" t="s">
        <v>127</v>
      </c>
      <c r="M293" s="39" t="s">
        <v>1456</v>
      </c>
      <c r="N293" s="41" t="s">
        <v>95</v>
      </c>
      <c r="O293" s="42">
        <v>14</v>
      </c>
      <c r="P293" s="41" t="s">
        <v>46</v>
      </c>
      <c r="Q293" s="41" t="s">
        <v>66</v>
      </c>
      <c r="R293" s="41" t="s">
        <v>234</v>
      </c>
      <c r="S293" s="41" t="s">
        <v>234</v>
      </c>
      <c r="T293" s="41" t="s">
        <v>234</v>
      </c>
      <c r="U293" s="41" t="s">
        <v>234</v>
      </c>
      <c r="V293" s="41" t="s">
        <v>234</v>
      </c>
      <c r="W293" s="41" t="s">
        <v>234</v>
      </c>
      <c r="X293" s="43">
        <v>0</v>
      </c>
      <c r="Y293" s="41" t="s">
        <v>97</v>
      </c>
      <c r="Z293" s="41" t="s">
        <v>97</v>
      </c>
      <c r="AA293" s="41" t="s">
        <v>113</v>
      </c>
      <c r="AB293" s="39" t="s">
        <v>1495</v>
      </c>
      <c r="AC293" s="44" t="s">
        <v>46</v>
      </c>
    </row>
    <row r="294" spans="1:29" x14ac:dyDescent="0.25">
      <c r="A294" s="45" t="s">
        <v>1496</v>
      </c>
      <c r="B294" s="46" t="s">
        <v>167</v>
      </c>
      <c r="C294" s="46" t="s">
        <v>169</v>
      </c>
      <c r="D294" s="47" t="s">
        <v>1451</v>
      </c>
      <c r="E294" s="47" t="s">
        <v>56</v>
      </c>
      <c r="F294" s="46" t="s">
        <v>1497</v>
      </c>
      <c r="G294" s="46" t="s">
        <v>1498</v>
      </c>
      <c r="H294" s="47" t="s">
        <v>132</v>
      </c>
      <c r="I294" s="47" t="s">
        <v>522</v>
      </c>
      <c r="J294" s="46" t="s">
        <v>598</v>
      </c>
      <c r="K294" s="47" t="s">
        <v>1455</v>
      </c>
      <c r="L294" s="48" t="s">
        <v>122</v>
      </c>
      <c r="M294" s="46" t="s">
        <v>1456</v>
      </c>
      <c r="N294" s="48" t="s">
        <v>95</v>
      </c>
      <c r="O294" s="49">
        <v>10</v>
      </c>
      <c r="P294" s="48" t="s">
        <v>46</v>
      </c>
      <c r="Q294" s="41" t="s">
        <v>66</v>
      </c>
      <c r="R294" s="41" t="s">
        <v>234</v>
      </c>
      <c r="S294" s="41" t="s">
        <v>234</v>
      </c>
      <c r="T294" s="41" t="s">
        <v>234</v>
      </c>
      <c r="U294" s="41" t="s">
        <v>234</v>
      </c>
      <c r="V294" s="41" t="s">
        <v>234</v>
      </c>
      <c r="W294" s="41" t="s">
        <v>234</v>
      </c>
      <c r="X294" s="43">
        <v>0</v>
      </c>
      <c r="Y294" s="41" t="s">
        <v>97</v>
      </c>
      <c r="Z294" s="41" t="s">
        <v>97</v>
      </c>
      <c r="AA294" s="41" t="s">
        <v>113</v>
      </c>
      <c r="AB294" s="39" t="s">
        <v>46</v>
      </c>
      <c r="AC294" s="44" t="s">
        <v>46</v>
      </c>
    </row>
    <row r="295" spans="1:29" x14ac:dyDescent="0.25">
      <c r="A295" s="38" t="s">
        <v>1499</v>
      </c>
      <c r="B295" s="39" t="s">
        <v>167</v>
      </c>
      <c r="C295" s="39" t="s">
        <v>170</v>
      </c>
      <c r="D295" s="40" t="s">
        <v>1500</v>
      </c>
      <c r="E295" s="40" t="s">
        <v>131</v>
      </c>
      <c r="F295" s="39" t="s">
        <v>1501</v>
      </c>
      <c r="G295" s="39" t="s">
        <v>1502</v>
      </c>
      <c r="H295" s="40" t="s">
        <v>126</v>
      </c>
      <c r="I295" s="40" t="s">
        <v>469</v>
      </c>
      <c r="J295" s="39" t="s">
        <v>1503</v>
      </c>
      <c r="K295" s="40" t="s">
        <v>1504</v>
      </c>
      <c r="L295" s="41" t="s">
        <v>125</v>
      </c>
      <c r="M295" s="39" t="s">
        <v>1388</v>
      </c>
      <c r="N295" s="41" t="s">
        <v>95</v>
      </c>
      <c r="O295" s="42">
        <v>6</v>
      </c>
      <c r="P295" s="41" t="s">
        <v>46</v>
      </c>
      <c r="Q295" s="41" t="s">
        <v>66</v>
      </c>
      <c r="R295" s="41" t="s">
        <v>234</v>
      </c>
      <c r="S295" s="41" t="s">
        <v>234</v>
      </c>
      <c r="T295" s="41" t="s">
        <v>234</v>
      </c>
      <c r="U295" s="41" t="s">
        <v>234</v>
      </c>
      <c r="V295" s="41" t="s">
        <v>234</v>
      </c>
      <c r="W295" s="41" t="s">
        <v>234</v>
      </c>
      <c r="X295" s="43">
        <v>0</v>
      </c>
      <c r="Y295" s="41" t="s">
        <v>97</v>
      </c>
      <c r="Z295" s="41" t="s">
        <v>97</v>
      </c>
      <c r="AA295" s="41" t="s">
        <v>113</v>
      </c>
      <c r="AB295" s="39" t="s">
        <v>46</v>
      </c>
      <c r="AC295" s="44" t="s">
        <v>46</v>
      </c>
    </row>
    <row r="296" spans="1:29" x14ac:dyDescent="0.25">
      <c r="A296" s="45" t="s">
        <v>1505</v>
      </c>
      <c r="B296" s="46" t="s">
        <v>167</v>
      </c>
      <c r="C296" s="46" t="s">
        <v>170</v>
      </c>
      <c r="D296" s="47" t="s">
        <v>1500</v>
      </c>
      <c r="E296" s="47" t="s">
        <v>124</v>
      </c>
      <c r="F296" s="46" t="s">
        <v>1506</v>
      </c>
      <c r="G296" s="46" t="s">
        <v>1507</v>
      </c>
      <c r="H296" s="47" t="s">
        <v>126</v>
      </c>
      <c r="I296" s="47" t="s">
        <v>325</v>
      </c>
      <c r="J296" s="46" t="s">
        <v>1508</v>
      </c>
      <c r="K296" s="47" t="s">
        <v>1504</v>
      </c>
      <c r="L296" s="48" t="s">
        <v>122</v>
      </c>
      <c r="M296" s="46" t="s">
        <v>1388</v>
      </c>
      <c r="N296" s="48" t="s">
        <v>95</v>
      </c>
      <c r="O296" s="49">
        <v>8</v>
      </c>
      <c r="P296" s="48" t="s">
        <v>46</v>
      </c>
      <c r="Q296" s="41" t="s">
        <v>66</v>
      </c>
      <c r="R296" s="41" t="s">
        <v>234</v>
      </c>
      <c r="S296" s="41" t="s">
        <v>234</v>
      </c>
      <c r="T296" s="41" t="s">
        <v>234</v>
      </c>
      <c r="U296" s="41" t="s">
        <v>234</v>
      </c>
      <c r="V296" s="41" t="s">
        <v>234</v>
      </c>
      <c r="W296" s="41" t="s">
        <v>234</v>
      </c>
      <c r="X296" s="43">
        <v>0</v>
      </c>
      <c r="Y296" s="41" t="s">
        <v>97</v>
      </c>
      <c r="Z296" s="41" t="s">
        <v>97</v>
      </c>
      <c r="AA296" s="41" t="s">
        <v>113</v>
      </c>
      <c r="AB296" s="39" t="s">
        <v>46</v>
      </c>
      <c r="AC296" s="44" t="s">
        <v>46</v>
      </c>
    </row>
    <row r="297" spans="1:29" x14ac:dyDescent="0.25">
      <c r="A297" s="38" t="s">
        <v>1509</v>
      </c>
      <c r="B297" s="39" t="s">
        <v>167</v>
      </c>
      <c r="C297" s="39" t="s">
        <v>170</v>
      </c>
      <c r="D297" s="40" t="s">
        <v>1500</v>
      </c>
      <c r="E297" s="40" t="s">
        <v>124</v>
      </c>
      <c r="F297" s="39" t="s">
        <v>1510</v>
      </c>
      <c r="G297" s="39" t="s">
        <v>1511</v>
      </c>
      <c r="H297" s="40" t="s">
        <v>126</v>
      </c>
      <c r="I297" s="40" t="s">
        <v>325</v>
      </c>
      <c r="J297" s="39" t="s">
        <v>1512</v>
      </c>
      <c r="K297" s="40" t="s">
        <v>1504</v>
      </c>
      <c r="L297" s="41" t="s">
        <v>125</v>
      </c>
      <c r="M297" s="39" t="s">
        <v>1388</v>
      </c>
      <c r="N297" s="41" t="s">
        <v>95</v>
      </c>
      <c r="O297" s="42">
        <v>4</v>
      </c>
      <c r="P297" s="41" t="s">
        <v>46</v>
      </c>
      <c r="Q297" s="41" t="s">
        <v>66</v>
      </c>
      <c r="R297" s="41" t="s">
        <v>234</v>
      </c>
      <c r="S297" s="41" t="s">
        <v>234</v>
      </c>
      <c r="T297" s="41" t="s">
        <v>234</v>
      </c>
      <c r="U297" s="41" t="s">
        <v>234</v>
      </c>
      <c r="V297" s="41" t="s">
        <v>234</v>
      </c>
      <c r="W297" s="41" t="s">
        <v>234</v>
      </c>
      <c r="X297" s="43">
        <v>0</v>
      </c>
      <c r="Y297" s="41" t="s">
        <v>97</v>
      </c>
      <c r="Z297" s="41" t="s">
        <v>97</v>
      </c>
      <c r="AA297" s="41" t="s">
        <v>113</v>
      </c>
      <c r="AB297" s="39" t="s">
        <v>46</v>
      </c>
      <c r="AC297" s="44" t="s">
        <v>46</v>
      </c>
    </row>
    <row r="298" spans="1:29" x14ac:dyDescent="0.25">
      <c r="A298" s="45" t="s">
        <v>1513</v>
      </c>
      <c r="B298" s="46" t="s">
        <v>167</v>
      </c>
      <c r="C298" s="46" t="s">
        <v>170</v>
      </c>
      <c r="D298" s="47" t="s">
        <v>1500</v>
      </c>
      <c r="E298" s="47" t="s">
        <v>135</v>
      </c>
      <c r="F298" s="46" t="s">
        <v>1514</v>
      </c>
      <c r="G298" s="46" t="s">
        <v>1515</v>
      </c>
      <c r="H298" s="47" t="s">
        <v>123</v>
      </c>
      <c r="I298" s="47" t="s">
        <v>135</v>
      </c>
      <c r="J298" s="46" t="s">
        <v>1516</v>
      </c>
      <c r="K298" s="47" t="s">
        <v>1504</v>
      </c>
      <c r="L298" s="48" t="s">
        <v>125</v>
      </c>
      <c r="M298" s="46" t="s">
        <v>1388</v>
      </c>
      <c r="N298" s="48" t="s">
        <v>95</v>
      </c>
      <c r="O298" s="49">
        <v>8</v>
      </c>
      <c r="P298" s="48" t="s">
        <v>46</v>
      </c>
      <c r="Q298" s="41" t="s">
        <v>66</v>
      </c>
      <c r="R298" s="41" t="s">
        <v>234</v>
      </c>
      <c r="S298" s="41" t="s">
        <v>234</v>
      </c>
      <c r="T298" s="41" t="s">
        <v>234</v>
      </c>
      <c r="U298" s="41" t="s">
        <v>234</v>
      </c>
      <c r="V298" s="41" t="s">
        <v>234</v>
      </c>
      <c r="W298" s="41" t="s">
        <v>234</v>
      </c>
      <c r="X298" s="43">
        <v>0</v>
      </c>
      <c r="Y298" s="41" t="s">
        <v>97</v>
      </c>
      <c r="Z298" s="41" t="s">
        <v>97</v>
      </c>
      <c r="AA298" s="41" t="s">
        <v>113</v>
      </c>
      <c r="AB298" s="39" t="s">
        <v>46</v>
      </c>
      <c r="AC298" s="44" t="s">
        <v>46</v>
      </c>
    </row>
    <row r="299" spans="1:29" x14ac:dyDescent="0.25">
      <c r="A299" s="38" t="s">
        <v>1517</v>
      </c>
      <c r="B299" s="39" t="s">
        <v>167</v>
      </c>
      <c r="C299" s="39" t="s">
        <v>170</v>
      </c>
      <c r="D299" s="40" t="s">
        <v>1500</v>
      </c>
      <c r="E299" s="40" t="s">
        <v>56</v>
      </c>
      <c r="F299" s="39" t="s">
        <v>1518</v>
      </c>
      <c r="G299" s="39" t="s">
        <v>1519</v>
      </c>
      <c r="H299" s="40" t="s">
        <v>132</v>
      </c>
      <c r="I299" s="40" t="s">
        <v>522</v>
      </c>
      <c r="J299" s="39" t="s">
        <v>879</v>
      </c>
      <c r="K299" s="40" t="s">
        <v>1504</v>
      </c>
      <c r="L299" s="41" t="s">
        <v>125</v>
      </c>
      <c r="M299" s="39" t="s">
        <v>1388</v>
      </c>
      <c r="N299" s="41" t="s">
        <v>95</v>
      </c>
      <c r="O299" s="42">
        <v>6</v>
      </c>
      <c r="P299" s="41" t="s">
        <v>46</v>
      </c>
      <c r="Q299" s="41" t="s">
        <v>66</v>
      </c>
      <c r="R299" s="41" t="s">
        <v>234</v>
      </c>
      <c r="S299" s="41" t="s">
        <v>234</v>
      </c>
      <c r="T299" s="41" t="s">
        <v>234</v>
      </c>
      <c r="U299" s="41" t="s">
        <v>234</v>
      </c>
      <c r="V299" s="41" t="s">
        <v>234</v>
      </c>
      <c r="W299" s="41" t="s">
        <v>234</v>
      </c>
      <c r="X299" s="43">
        <v>0</v>
      </c>
      <c r="Y299" s="41" t="s">
        <v>97</v>
      </c>
      <c r="Z299" s="41" t="s">
        <v>97</v>
      </c>
      <c r="AA299" s="41" t="s">
        <v>113</v>
      </c>
      <c r="AB299" s="39" t="s">
        <v>46</v>
      </c>
      <c r="AC299" s="44" t="s">
        <v>46</v>
      </c>
    </row>
    <row r="300" spans="1:29" x14ac:dyDescent="0.25">
      <c r="A300" s="45" t="s">
        <v>1520</v>
      </c>
      <c r="B300" s="46" t="s">
        <v>172</v>
      </c>
      <c r="C300" s="46" t="s">
        <v>171</v>
      </c>
      <c r="D300" s="47" t="s">
        <v>1521</v>
      </c>
      <c r="E300" s="47" t="s">
        <v>398</v>
      </c>
      <c r="F300" s="46" t="s">
        <v>1522</v>
      </c>
      <c r="G300" s="46" t="s">
        <v>1523</v>
      </c>
      <c r="H300" s="47" t="s">
        <v>128</v>
      </c>
      <c r="I300" s="47" t="s">
        <v>401</v>
      </c>
      <c r="J300" s="46" t="s">
        <v>1524</v>
      </c>
      <c r="K300" s="47" t="s">
        <v>1525</v>
      </c>
      <c r="L300" s="48" t="s">
        <v>125</v>
      </c>
      <c r="M300" s="46" t="s">
        <v>1184</v>
      </c>
      <c r="N300" s="48" t="s">
        <v>95</v>
      </c>
      <c r="O300" s="49">
        <v>6</v>
      </c>
      <c r="P300" s="48" t="s">
        <v>46</v>
      </c>
      <c r="Q300" s="41" t="s">
        <v>66</v>
      </c>
      <c r="R300" s="41" t="s">
        <v>234</v>
      </c>
      <c r="S300" s="41" t="s">
        <v>234</v>
      </c>
      <c r="T300" s="41" t="s">
        <v>234</v>
      </c>
      <c r="U300" s="41" t="s">
        <v>234</v>
      </c>
      <c r="V300" s="41" t="s">
        <v>234</v>
      </c>
      <c r="W300" s="41" t="s">
        <v>234</v>
      </c>
      <c r="X300" s="43">
        <v>0</v>
      </c>
      <c r="Y300" s="41" t="s">
        <v>97</v>
      </c>
      <c r="Z300" s="41" t="s">
        <v>97</v>
      </c>
      <c r="AA300" s="41" t="s">
        <v>113</v>
      </c>
      <c r="AB300" s="39" t="s">
        <v>46</v>
      </c>
      <c r="AC300" s="44" t="s">
        <v>46</v>
      </c>
    </row>
    <row r="301" spans="1:29" x14ac:dyDescent="0.25">
      <c r="A301" s="38" t="s">
        <v>1526</v>
      </c>
      <c r="B301" s="39" t="s">
        <v>172</v>
      </c>
      <c r="C301" s="39" t="s">
        <v>171</v>
      </c>
      <c r="D301" s="40" t="s">
        <v>1521</v>
      </c>
      <c r="E301" s="40" t="s">
        <v>131</v>
      </c>
      <c r="F301" s="39" t="s">
        <v>1527</v>
      </c>
      <c r="G301" s="39" t="s">
        <v>1528</v>
      </c>
      <c r="H301" s="40" t="s">
        <v>126</v>
      </c>
      <c r="I301" s="40" t="s">
        <v>469</v>
      </c>
      <c r="J301" s="39" t="s">
        <v>1529</v>
      </c>
      <c r="K301" s="40" t="s">
        <v>1525</v>
      </c>
      <c r="L301" s="41" t="s">
        <v>125</v>
      </c>
      <c r="M301" s="39" t="s">
        <v>1184</v>
      </c>
      <c r="N301" s="41" t="s">
        <v>95</v>
      </c>
      <c r="O301" s="42">
        <v>8</v>
      </c>
      <c r="P301" s="41" t="s">
        <v>46</v>
      </c>
      <c r="Q301" s="41" t="s">
        <v>66</v>
      </c>
      <c r="R301" s="41" t="s">
        <v>234</v>
      </c>
      <c r="S301" s="41" t="s">
        <v>234</v>
      </c>
      <c r="T301" s="41" t="s">
        <v>234</v>
      </c>
      <c r="U301" s="41" t="s">
        <v>234</v>
      </c>
      <c r="V301" s="41" t="s">
        <v>234</v>
      </c>
      <c r="W301" s="41" t="s">
        <v>234</v>
      </c>
      <c r="X301" s="43">
        <v>0</v>
      </c>
      <c r="Y301" s="41" t="s">
        <v>97</v>
      </c>
      <c r="Z301" s="41" t="s">
        <v>97</v>
      </c>
      <c r="AA301" s="41" t="s">
        <v>113</v>
      </c>
      <c r="AB301" s="39" t="s">
        <v>46</v>
      </c>
      <c r="AC301" s="44" t="s">
        <v>46</v>
      </c>
    </row>
    <row r="302" spans="1:29" x14ac:dyDescent="0.25">
      <c r="A302" s="45" t="s">
        <v>1530</v>
      </c>
      <c r="B302" s="46" t="s">
        <v>172</v>
      </c>
      <c r="C302" s="46" t="s">
        <v>171</v>
      </c>
      <c r="D302" s="47" t="s">
        <v>1521</v>
      </c>
      <c r="E302" s="47" t="s">
        <v>1531</v>
      </c>
      <c r="F302" s="46" t="s">
        <v>1532</v>
      </c>
      <c r="G302" s="46" t="s">
        <v>1533</v>
      </c>
      <c r="H302" s="47" t="s">
        <v>126</v>
      </c>
      <c r="I302" s="47" t="s">
        <v>325</v>
      </c>
      <c r="J302" s="46" t="s">
        <v>1534</v>
      </c>
      <c r="K302" s="47" t="s">
        <v>1525</v>
      </c>
      <c r="L302" s="48" t="s">
        <v>125</v>
      </c>
      <c r="M302" s="46" t="s">
        <v>1184</v>
      </c>
      <c r="N302" s="48" t="s">
        <v>95</v>
      </c>
      <c r="O302" s="49">
        <v>5</v>
      </c>
      <c r="P302" s="48" t="s">
        <v>46</v>
      </c>
      <c r="Q302" s="41" t="s">
        <v>66</v>
      </c>
      <c r="R302" s="41" t="s">
        <v>234</v>
      </c>
      <c r="S302" s="41" t="s">
        <v>234</v>
      </c>
      <c r="T302" s="41" t="s">
        <v>234</v>
      </c>
      <c r="U302" s="41" t="s">
        <v>234</v>
      </c>
      <c r="V302" s="41" t="s">
        <v>234</v>
      </c>
      <c r="W302" s="41" t="s">
        <v>234</v>
      </c>
      <c r="X302" s="43">
        <v>0</v>
      </c>
      <c r="Y302" s="41" t="s">
        <v>97</v>
      </c>
      <c r="Z302" s="41" t="s">
        <v>97</v>
      </c>
      <c r="AA302" s="41" t="s">
        <v>113</v>
      </c>
      <c r="AB302" s="39" t="s">
        <v>46</v>
      </c>
      <c r="AC302" s="44" t="s">
        <v>46</v>
      </c>
    </row>
    <row r="303" spans="1:29" x14ac:dyDescent="0.25">
      <c r="A303" s="38" t="s">
        <v>1535</v>
      </c>
      <c r="B303" s="39" t="s">
        <v>172</v>
      </c>
      <c r="C303" s="39" t="s">
        <v>171</v>
      </c>
      <c r="D303" s="40" t="s">
        <v>1521</v>
      </c>
      <c r="E303" s="40" t="s">
        <v>1531</v>
      </c>
      <c r="F303" s="39" t="s">
        <v>1536</v>
      </c>
      <c r="G303" s="39" t="s">
        <v>1537</v>
      </c>
      <c r="H303" s="40" t="s">
        <v>126</v>
      </c>
      <c r="I303" s="40" t="s">
        <v>325</v>
      </c>
      <c r="J303" s="39" t="s">
        <v>1538</v>
      </c>
      <c r="K303" s="40" t="s">
        <v>1525</v>
      </c>
      <c r="L303" s="41" t="s">
        <v>125</v>
      </c>
      <c r="M303" s="39" t="s">
        <v>1184</v>
      </c>
      <c r="N303" s="41" t="s">
        <v>95</v>
      </c>
      <c r="O303" s="42">
        <v>5</v>
      </c>
      <c r="P303" s="41" t="s">
        <v>46</v>
      </c>
      <c r="Q303" s="41" t="s">
        <v>66</v>
      </c>
      <c r="R303" s="41" t="s">
        <v>234</v>
      </c>
      <c r="S303" s="41" t="s">
        <v>234</v>
      </c>
      <c r="T303" s="41" t="s">
        <v>234</v>
      </c>
      <c r="U303" s="41" t="s">
        <v>234</v>
      </c>
      <c r="V303" s="41" t="s">
        <v>234</v>
      </c>
      <c r="W303" s="41" t="s">
        <v>234</v>
      </c>
      <c r="X303" s="43">
        <v>0</v>
      </c>
      <c r="Y303" s="41" t="s">
        <v>97</v>
      </c>
      <c r="Z303" s="41" t="s">
        <v>97</v>
      </c>
      <c r="AA303" s="41" t="s">
        <v>113</v>
      </c>
      <c r="AB303" s="39" t="s">
        <v>46</v>
      </c>
      <c r="AC303" s="44" t="s">
        <v>46</v>
      </c>
    </row>
    <row r="304" spans="1:29" x14ac:dyDescent="0.25">
      <c r="A304" s="45" t="s">
        <v>1539</v>
      </c>
      <c r="B304" s="46" t="s">
        <v>172</v>
      </c>
      <c r="C304" s="46" t="s">
        <v>171</v>
      </c>
      <c r="D304" s="47" t="s">
        <v>1521</v>
      </c>
      <c r="E304" s="47" t="s">
        <v>1531</v>
      </c>
      <c r="F304" s="46" t="s">
        <v>1540</v>
      </c>
      <c r="G304" s="46" t="s">
        <v>1541</v>
      </c>
      <c r="H304" s="47" t="s">
        <v>126</v>
      </c>
      <c r="I304" s="47" t="s">
        <v>325</v>
      </c>
      <c r="J304" s="46" t="s">
        <v>1542</v>
      </c>
      <c r="K304" s="47" t="s">
        <v>1525</v>
      </c>
      <c r="L304" s="48" t="s">
        <v>125</v>
      </c>
      <c r="M304" s="46" t="s">
        <v>1184</v>
      </c>
      <c r="N304" s="48" t="s">
        <v>95</v>
      </c>
      <c r="O304" s="49">
        <v>8</v>
      </c>
      <c r="P304" s="48" t="s">
        <v>46</v>
      </c>
      <c r="Q304" s="41" t="s">
        <v>66</v>
      </c>
      <c r="R304" s="41" t="s">
        <v>234</v>
      </c>
      <c r="S304" s="41" t="s">
        <v>234</v>
      </c>
      <c r="T304" s="41" t="s">
        <v>234</v>
      </c>
      <c r="U304" s="41" t="s">
        <v>234</v>
      </c>
      <c r="V304" s="41" t="s">
        <v>234</v>
      </c>
      <c r="W304" s="41" t="s">
        <v>234</v>
      </c>
      <c r="X304" s="43">
        <v>0</v>
      </c>
      <c r="Y304" s="41" t="s">
        <v>97</v>
      </c>
      <c r="Z304" s="41" t="s">
        <v>97</v>
      </c>
      <c r="AA304" s="41" t="s">
        <v>113</v>
      </c>
      <c r="AB304" s="39" t="s">
        <v>46</v>
      </c>
      <c r="AC304" s="44" t="s">
        <v>46</v>
      </c>
    </row>
    <row r="305" spans="1:29" x14ac:dyDescent="0.25">
      <c r="A305" s="38" t="s">
        <v>1543</v>
      </c>
      <c r="B305" s="39" t="s">
        <v>172</v>
      </c>
      <c r="C305" s="39" t="s">
        <v>171</v>
      </c>
      <c r="D305" s="40" t="s">
        <v>1521</v>
      </c>
      <c r="E305" s="40" t="s">
        <v>1531</v>
      </c>
      <c r="F305" s="39" t="s">
        <v>1544</v>
      </c>
      <c r="G305" s="39" t="s">
        <v>1545</v>
      </c>
      <c r="H305" s="40" t="s">
        <v>126</v>
      </c>
      <c r="I305" s="40" t="s">
        <v>325</v>
      </c>
      <c r="J305" s="39" t="s">
        <v>1546</v>
      </c>
      <c r="K305" s="40" t="s">
        <v>1525</v>
      </c>
      <c r="L305" s="41" t="s">
        <v>125</v>
      </c>
      <c r="M305" s="39" t="s">
        <v>1184</v>
      </c>
      <c r="N305" s="41" t="s">
        <v>95</v>
      </c>
      <c r="O305" s="42">
        <v>4</v>
      </c>
      <c r="P305" s="41" t="s">
        <v>46</v>
      </c>
      <c r="Q305" s="41" t="s">
        <v>66</v>
      </c>
      <c r="R305" s="41" t="s">
        <v>234</v>
      </c>
      <c r="S305" s="41" t="s">
        <v>234</v>
      </c>
      <c r="T305" s="41" t="s">
        <v>234</v>
      </c>
      <c r="U305" s="41" t="s">
        <v>234</v>
      </c>
      <c r="V305" s="41" t="s">
        <v>234</v>
      </c>
      <c r="W305" s="41" t="s">
        <v>234</v>
      </c>
      <c r="X305" s="43">
        <v>0</v>
      </c>
      <c r="Y305" s="41" t="s">
        <v>97</v>
      </c>
      <c r="Z305" s="41" t="s">
        <v>97</v>
      </c>
      <c r="AA305" s="41" t="s">
        <v>113</v>
      </c>
      <c r="AB305" s="39" t="s">
        <v>46</v>
      </c>
      <c r="AC305" s="44" t="s">
        <v>46</v>
      </c>
    </row>
    <row r="306" spans="1:29" x14ac:dyDescent="0.25">
      <c r="A306" s="45" t="s">
        <v>1547</v>
      </c>
      <c r="B306" s="46" t="s">
        <v>172</v>
      </c>
      <c r="C306" s="46" t="s">
        <v>171</v>
      </c>
      <c r="D306" s="47" t="s">
        <v>1521</v>
      </c>
      <c r="E306" s="47" t="s">
        <v>1531</v>
      </c>
      <c r="F306" s="46" t="s">
        <v>1548</v>
      </c>
      <c r="G306" s="46" t="s">
        <v>1549</v>
      </c>
      <c r="H306" s="47" t="s">
        <v>126</v>
      </c>
      <c r="I306" s="47" t="s">
        <v>351</v>
      </c>
      <c r="J306" s="46" t="s">
        <v>1550</v>
      </c>
      <c r="K306" s="47" t="s">
        <v>1525</v>
      </c>
      <c r="L306" s="48" t="s">
        <v>125</v>
      </c>
      <c r="M306" s="46" t="s">
        <v>1184</v>
      </c>
      <c r="N306" s="48" t="s">
        <v>95</v>
      </c>
      <c r="O306" s="49">
        <v>6</v>
      </c>
      <c r="P306" s="48" t="s">
        <v>46</v>
      </c>
      <c r="Q306" s="41" t="s">
        <v>66</v>
      </c>
      <c r="R306" s="41" t="s">
        <v>234</v>
      </c>
      <c r="S306" s="41" t="s">
        <v>234</v>
      </c>
      <c r="T306" s="41" t="s">
        <v>234</v>
      </c>
      <c r="U306" s="41" t="s">
        <v>234</v>
      </c>
      <c r="V306" s="41" t="s">
        <v>234</v>
      </c>
      <c r="W306" s="41" t="s">
        <v>234</v>
      </c>
      <c r="X306" s="43">
        <v>0</v>
      </c>
      <c r="Y306" s="41" t="s">
        <v>97</v>
      </c>
      <c r="Z306" s="41" t="s">
        <v>97</v>
      </c>
      <c r="AA306" s="41" t="s">
        <v>113</v>
      </c>
      <c r="AB306" s="39" t="s">
        <v>46</v>
      </c>
      <c r="AC306" s="44" t="s">
        <v>46</v>
      </c>
    </row>
    <row r="307" spans="1:29" x14ac:dyDescent="0.25">
      <c r="A307" s="38" t="s">
        <v>1551</v>
      </c>
      <c r="B307" s="39" t="s">
        <v>172</v>
      </c>
      <c r="C307" s="39" t="s">
        <v>171</v>
      </c>
      <c r="D307" s="40" t="s">
        <v>1521</v>
      </c>
      <c r="E307" s="40" t="s">
        <v>1531</v>
      </c>
      <c r="F307" s="39" t="s">
        <v>1552</v>
      </c>
      <c r="G307" s="39" t="s">
        <v>1553</v>
      </c>
      <c r="H307" s="40" t="s">
        <v>126</v>
      </c>
      <c r="I307" s="40" t="s">
        <v>325</v>
      </c>
      <c r="J307" s="39" t="s">
        <v>1554</v>
      </c>
      <c r="K307" s="40" t="s">
        <v>1525</v>
      </c>
      <c r="L307" s="41" t="s">
        <v>127</v>
      </c>
      <c r="M307" s="39" t="s">
        <v>1184</v>
      </c>
      <c r="N307" s="41" t="s">
        <v>95</v>
      </c>
      <c r="O307" s="42">
        <v>8</v>
      </c>
      <c r="P307" s="41" t="s">
        <v>46</v>
      </c>
      <c r="Q307" s="41" t="s">
        <v>66</v>
      </c>
      <c r="R307" s="41" t="s">
        <v>234</v>
      </c>
      <c r="S307" s="41" t="s">
        <v>234</v>
      </c>
      <c r="T307" s="41" t="s">
        <v>234</v>
      </c>
      <c r="U307" s="41" t="s">
        <v>234</v>
      </c>
      <c r="V307" s="41" t="s">
        <v>234</v>
      </c>
      <c r="W307" s="41" t="s">
        <v>234</v>
      </c>
      <c r="X307" s="43">
        <v>0</v>
      </c>
      <c r="Y307" s="41" t="s">
        <v>97</v>
      </c>
      <c r="Z307" s="41" t="s">
        <v>97</v>
      </c>
      <c r="AA307" s="41" t="s">
        <v>113</v>
      </c>
      <c r="AB307" s="39" t="s">
        <v>46</v>
      </c>
      <c r="AC307" s="44" t="s">
        <v>46</v>
      </c>
    </row>
    <row r="308" spans="1:29" x14ac:dyDescent="0.25">
      <c r="A308" s="45" t="s">
        <v>1555</v>
      </c>
      <c r="B308" s="46" t="s">
        <v>172</v>
      </c>
      <c r="C308" s="46" t="s">
        <v>171</v>
      </c>
      <c r="D308" s="47" t="s">
        <v>1521</v>
      </c>
      <c r="E308" s="47" t="s">
        <v>131</v>
      </c>
      <c r="F308" s="46" t="s">
        <v>1556</v>
      </c>
      <c r="G308" s="46" t="s">
        <v>1557</v>
      </c>
      <c r="H308" s="47" t="s">
        <v>126</v>
      </c>
      <c r="I308" s="47" t="s">
        <v>469</v>
      </c>
      <c r="J308" s="46" t="s">
        <v>1558</v>
      </c>
      <c r="K308" s="47" t="s">
        <v>1525</v>
      </c>
      <c r="L308" s="48" t="s">
        <v>125</v>
      </c>
      <c r="M308" s="46" t="s">
        <v>1184</v>
      </c>
      <c r="N308" s="48" t="s">
        <v>95</v>
      </c>
      <c r="O308" s="49">
        <v>6</v>
      </c>
      <c r="P308" s="48" t="s">
        <v>46</v>
      </c>
      <c r="Q308" s="41" t="s">
        <v>66</v>
      </c>
      <c r="R308" s="41" t="s">
        <v>234</v>
      </c>
      <c r="S308" s="41" t="s">
        <v>234</v>
      </c>
      <c r="T308" s="41" t="s">
        <v>234</v>
      </c>
      <c r="U308" s="41" t="s">
        <v>234</v>
      </c>
      <c r="V308" s="41" t="s">
        <v>234</v>
      </c>
      <c r="W308" s="41" t="s">
        <v>234</v>
      </c>
      <c r="X308" s="43">
        <v>0</v>
      </c>
      <c r="Y308" s="41" t="s">
        <v>97</v>
      </c>
      <c r="Z308" s="41" t="s">
        <v>97</v>
      </c>
      <c r="AA308" s="41" t="s">
        <v>113</v>
      </c>
      <c r="AB308" s="39" t="s">
        <v>46</v>
      </c>
      <c r="AC308" s="44" t="s">
        <v>46</v>
      </c>
    </row>
    <row r="309" spans="1:29" x14ac:dyDescent="0.25">
      <c r="A309" s="38" t="s">
        <v>1559</v>
      </c>
      <c r="B309" s="39" t="s">
        <v>172</v>
      </c>
      <c r="C309" s="39" t="s">
        <v>171</v>
      </c>
      <c r="D309" s="40" t="s">
        <v>1521</v>
      </c>
      <c r="E309" s="40" t="s">
        <v>123</v>
      </c>
      <c r="F309" s="39" t="s">
        <v>1560</v>
      </c>
      <c r="G309" s="39" t="s">
        <v>1561</v>
      </c>
      <c r="H309" s="40" t="s">
        <v>123</v>
      </c>
      <c r="I309" s="40" t="s">
        <v>513</v>
      </c>
      <c r="J309" s="39" t="s">
        <v>1562</v>
      </c>
      <c r="K309" s="40" t="s">
        <v>1525</v>
      </c>
      <c r="L309" s="41" t="s">
        <v>125</v>
      </c>
      <c r="M309" s="39" t="s">
        <v>1184</v>
      </c>
      <c r="N309" s="41" t="s">
        <v>95</v>
      </c>
      <c r="O309" s="42">
        <v>8</v>
      </c>
      <c r="P309" s="41" t="s">
        <v>46</v>
      </c>
      <c r="Q309" s="41" t="s">
        <v>66</v>
      </c>
      <c r="R309" s="41" t="s">
        <v>234</v>
      </c>
      <c r="S309" s="41" t="s">
        <v>234</v>
      </c>
      <c r="T309" s="41" t="s">
        <v>234</v>
      </c>
      <c r="U309" s="41" t="s">
        <v>234</v>
      </c>
      <c r="V309" s="41" t="s">
        <v>234</v>
      </c>
      <c r="W309" s="41" t="s">
        <v>234</v>
      </c>
      <c r="X309" s="43">
        <v>0</v>
      </c>
      <c r="Y309" s="41" t="s">
        <v>97</v>
      </c>
      <c r="Z309" s="41" t="s">
        <v>97</v>
      </c>
      <c r="AA309" s="41" t="s">
        <v>113</v>
      </c>
      <c r="AB309" s="39" t="s">
        <v>46</v>
      </c>
      <c r="AC309" s="44" t="s">
        <v>46</v>
      </c>
    </row>
    <row r="310" spans="1:29" x14ac:dyDescent="0.25">
      <c r="A310" s="45" t="s">
        <v>1563</v>
      </c>
      <c r="B310" s="46" t="s">
        <v>172</v>
      </c>
      <c r="C310" s="46" t="s">
        <v>171</v>
      </c>
      <c r="D310" s="47" t="s">
        <v>1521</v>
      </c>
      <c r="E310" s="47" t="s">
        <v>289</v>
      </c>
      <c r="F310" s="46" t="s">
        <v>1564</v>
      </c>
      <c r="G310" s="46" t="s">
        <v>1565</v>
      </c>
      <c r="H310" s="47" t="s">
        <v>123</v>
      </c>
      <c r="I310" s="47" t="s">
        <v>135</v>
      </c>
      <c r="J310" s="46" t="s">
        <v>1566</v>
      </c>
      <c r="K310" s="47" t="s">
        <v>1525</v>
      </c>
      <c r="L310" s="48" t="s">
        <v>125</v>
      </c>
      <c r="M310" s="46" t="s">
        <v>1184</v>
      </c>
      <c r="N310" s="48" t="s">
        <v>95</v>
      </c>
      <c r="O310" s="49">
        <v>5</v>
      </c>
      <c r="P310" s="48" t="s">
        <v>46</v>
      </c>
      <c r="Q310" s="41" t="s">
        <v>66</v>
      </c>
      <c r="R310" s="41" t="s">
        <v>234</v>
      </c>
      <c r="S310" s="41" t="s">
        <v>234</v>
      </c>
      <c r="T310" s="41" t="s">
        <v>234</v>
      </c>
      <c r="U310" s="41" t="s">
        <v>234</v>
      </c>
      <c r="V310" s="41" t="s">
        <v>234</v>
      </c>
      <c r="W310" s="41" t="s">
        <v>234</v>
      </c>
      <c r="X310" s="43">
        <v>0</v>
      </c>
      <c r="Y310" s="41" t="s">
        <v>97</v>
      </c>
      <c r="Z310" s="41" t="s">
        <v>97</v>
      </c>
      <c r="AA310" s="41" t="s">
        <v>113</v>
      </c>
      <c r="AB310" s="39" t="s">
        <v>46</v>
      </c>
      <c r="AC310" s="44" t="s">
        <v>46</v>
      </c>
    </row>
    <row r="311" spans="1:29" x14ac:dyDescent="0.25">
      <c r="A311" s="38" t="s">
        <v>1567</v>
      </c>
      <c r="B311" s="39" t="s">
        <v>172</v>
      </c>
      <c r="C311" s="39" t="s">
        <v>171</v>
      </c>
      <c r="D311" s="40" t="s">
        <v>1521</v>
      </c>
      <c r="E311" s="40" t="s">
        <v>123</v>
      </c>
      <c r="F311" s="39" t="s">
        <v>1568</v>
      </c>
      <c r="G311" s="39" t="s">
        <v>1569</v>
      </c>
      <c r="H311" s="40" t="s">
        <v>123</v>
      </c>
      <c r="I311" s="40" t="s">
        <v>513</v>
      </c>
      <c r="J311" s="39" t="s">
        <v>1570</v>
      </c>
      <c r="K311" s="40" t="s">
        <v>1525</v>
      </c>
      <c r="L311" s="41" t="s">
        <v>122</v>
      </c>
      <c r="M311" s="39" t="s">
        <v>1184</v>
      </c>
      <c r="N311" s="41" t="s">
        <v>95</v>
      </c>
      <c r="O311" s="42">
        <v>14</v>
      </c>
      <c r="P311" s="41" t="s">
        <v>46</v>
      </c>
      <c r="Q311" s="41" t="s">
        <v>66</v>
      </c>
      <c r="R311" s="41" t="s">
        <v>234</v>
      </c>
      <c r="S311" s="41" t="s">
        <v>234</v>
      </c>
      <c r="T311" s="41" t="s">
        <v>234</v>
      </c>
      <c r="U311" s="41" t="s">
        <v>234</v>
      </c>
      <c r="V311" s="41" t="s">
        <v>234</v>
      </c>
      <c r="W311" s="41" t="s">
        <v>234</v>
      </c>
      <c r="X311" s="43">
        <v>0</v>
      </c>
      <c r="Y311" s="41" t="s">
        <v>97</v>
      </c>
      <c r="Z311" s="41" t="s">
        <v>97</v>
      </c>
      <c r="AA311" s="41" t="s">
        <v>113</v>
      </c>
      <c r="AB311" s="39" t="s">
        <v>46</v>
      </c>
      <c r="AC311" s="44" t="s">
        <v>46</v>
      </c>
    </row>
    <row r="312" spans="1:29" x14ac:dyDescent="0.25">
      <c r="A312" s="45" t="s">
        <v>1571</v>
      </c>
      <c r="B312" s="46" t="s">
        <v>172</v>
      </c>
      <c r="C312" s="46" t="s">
        <v>171</v>
      </c>
      <c r="D312" s="47" t="s">
        <v>1521</v>
      </c>
      <c r="E312" s="47" t="s">
        <v>584</v>
      </c>
      <c r="F312" s="46" t="s">
        <v>1572</v>
      </c>
      <c r="G312" s="46" t="s">
        <v>1573</v>
      </c>
      <c r="H312" s="47" t="s">
        <v>126</v>
      </c>
      <c r="I312" s="47" t="s">
        <v>584</v>
      </c>
      <c r="J312" s="46" t="s">
        <v>1574</v>
      </c>
      <c r="K312" s="47" t="s">
        <v>1525</v>
      </c>
      <c r="L312" s="48" t="s">
        <v>125</v>
      </c>
      <c r="M312" s="46" t="s">
        <v>1184</v>
      </c>
      <c r="N312" s="48" t="s">
        <v>95</v>
      </c>
      <c r="O312" s="49">
        <v>5</v>
      </c>
      <c r="P312" s="48" t="s">
        <v>46</v>
      </c>
      <c r="Q312" s="41" t="s">
        <v>66</v>
      </c>
      <c r="R312" s="41" t="s">
        <v>234</v>
      </c>
      <c r="S312" s="41" t="s">
        <v>234</v>
      </c>
      <c r="T312" s="41" t="s">
        <v>234</v>
      </c>
      <c r="U312" s="41" t="s">
        <v>234</v>
      </c>
      <c r="V312" s="41" t="s">
        <v>234</v>
      </c>
      <c r="W312" s="41" t="s">
        <v>234</v>
      </c>
      <c r="X312" s="43">
        <v>0</v>
      </c>
      <c r="Y312" s="41" t="s">
        <v>97</v>
      </c>
      <c r="Z312" s="41" t="s">
        <v>97</v>
      </c>
      <c r="AA312" s="41" t="s">
        <v>113</v>
      </c>
      <c r="AB312" s="39" t="s">
        <v>46</v>
      </c>
      <c r="AC312" s="44" t="s">
        <v>46</v>
      </c>
    </row>
    <row r="313" spans="1:29" x14ac:dyDescent="0.25">
      <c r="A313" s="38" t="s">
        <v>1575</v>
      </c>
      <c r="B313" s="39" t="s">
        <v>172</v>
      </c>
      <c r="C313" s="39" t="s">
        <v>171</v>
      </c>
      <c r="D313" s="40" t="s">
        <v>1521</v>
      </c>
      <c r="E313" s="40" t="s">
        <v>135</v>
      </c>
      <c r="F313" s="39" t="s">
        <v>1576</v>
      </c>
      <c r="G313" s="39" t="s">
        <v>1577</v>
      </c>
      <c r="H313" s="40" t="s">
        <v>123</v>
      </c>
      <c r="I313" s="40" t="s">
        <v>135</v>
      </c>
      <c r="J313" s="39" t="s">
        <v>1578</v>
      </c>
      <c r="K313" s="40" t="s">
        <v>1525</v>
      </c>
      <c r="L313" s="41" t="s">
        <v>125</v>
      </c>
      <c r="M313" s="39" t="s">
        <v>1184</v>
      </c>
      <c r="N313" s="41" t="s">
        <v>95</v>
      </c>
      <c r="O313" s="42">
        <v>14</v>
      </c>
      <c r="P313" s="41" t="s">
        <v>46</v>
      </c>
      <c r="Q313" s="41" t="s">
        <v>66</v>
      </c>
      <c r="R313" s="41" t="s">
        <v>234</v>
      </c>
      <c r="S313" s="41" t="s">
        <v>234</v>
      </c>
      <c r="T313" s="41" t="s">
        <v>234</v>
      </c>
      <c r="U313" s="41" t="s">
        <v>234</v>
      </c>
      <c r="V313" s="41" t="s">
        <v>234</v>
      </c>
      <c r="W313" s="41" t="s">
        <v>234</v>
      </c>
      <c r="X313" s="43">
        <v>0</v>
      </c>
      <c r="Y313" s="41" t="s">
        <v>97</v>
      </c>
      <c r="Z313" s="41" t="s">
        <v>97</v>
      </c>
      <c r="AA313" s="41" t="s">
        <v>113</v>
      </c>
      <c r="AB313" s="39" t="s">
        <v>46</v>
      </c>
      <c r="AC313" s="44" t="s">
        <v>46</v>
      </c>
    </row>
    <row r="314" spans="1:29" x14ac:dyDescent="0.25">
      <c r="A314" s="45" t="s">
        <v>1579</v>
      </c>
      <c r="B314" s="46" t="s">
        <v>172</v>
      </c>
      <c r="C314" s="46" t="s">
        <v>171</v>
      </c>
      <c r="D314" s="47" t="s">
        <v>1521</v>
      </c>
      <c r="E314" s="47" t="s">
        <v>56</v>
      </c>
      <c r="F314" s="46" t="s">
        <v>1580</v>
      </c>
      <c r="G314" s="46" t="s">
        <v>1581</v>
      </c>
      <c r="H314" s="47" t="s">
        <v>132</v>
      </c>
      <c r="I314" s="47" t="s">
        <v>522</v>
      </c>
      <c r="J314" s="46" t="s">
        <v>1582</v>
      </c>
      <c r="K314" s="47" t="s">
        <v>1525</v>
      </c>
      <c r="L314" s="48" t="s">
        <v>125</v>
      </c>
      <c r="M314" s="46" t="s">
        <v>1184</v>
      </c>
      <c r="N314" s="48" t="s">
        <v>95</v>
      </c>
      <c r="O314" s="49">
        <v>10</v>
      </c>
      <c r="P314" s="48" t="s">
        <v>46</v>
      </c>
      <c r="Q314" s="41" t="s">
        <v>66</v>
      </c>
      <c r="R314" s="41" t="s">
        <v>234</v>
      </c>
      <c r="S314" s="41" t="s">
        <v>234</v>
      </c>
      <c r="T314" s="41" t="s">
        <v>234</v>
      </c>
      <c r="U314" s="41" t="s">
        <v>234</v>
      </c>
      <c r="V314" s="41" t="s">
        <v>234</v>
      </c>
      <c r="W314" s="41" t="s">
        <v>234</v>
      </c>
      <c r="X314" s="43">
        <v>0</v>
      </c>
      <c r="Y314" s="41" t="s">
        <v>97</v>
      </c>
      <c r="Z314" s="41" t="s">
        <v>97</v>
      </c>
      <c r="AA314" s="41" t="s">
        <v>113</v>
      </c>
      <c r="AB314" s="39" t="s">
        <v>46</v>
      </c>
      <c r="AC314" s="44" t="s">
        <v>46</v>
      </c>
    </row>
    <row r="315" spans="1:29" x14ac:dyDescent="0.25">
      <c r="A315" s="38" t="s">
        <v>1583</v>
      </c>
      <c r="B315" s="39" t="s">
        <v>172</v>
      </c>
      <c r="C315" s="39" t="s">
        <v>173</v>
      </c>
      <c r="D315" s="40" t="s">
        <v>1584</v>
      </c>
      <c r="E315" s="40" t="s">
        <v>398</v>
      </c>
      <c r="F315" s="39" t="s">
        <v>1585</v>
      </c>
      <c r="G315" s="39" t="s">
        <v>1586</v>
      </c>
      <c r="H315" s="40" t="s">
        <v>128</v>
      </c>
      <c r="I315" s="40" t="s">
        <v>401</v>
      </c>
      <c r="J315" s="39" t="s">
        <v>1587</v>
      </c>
      <c r="K315" s="40" t="s">
        <v>1588</v>
      </c>
      <c r="L315" s="41" t="s">
        <v>122</v>
      </c>
      <c r="M315" s="39" t="s">
        <v>1589</v>
      </c>
      <c r="N315" s="41" t="s">
        <v>95</v>
      </c>
      <c r="O315" s="42">
        <v>5</v>
      </c>
      <c r="P315" s="41" t="s">
        <v>46</v>
      </c>
      <c r="Q315" s="41" t="s">
        <v>66</v>
      </c>
      <c r="R315" s="41" t="s">
        <v>234</v>
      </c>
      <c r="S315" s="41" t="s">
        <v>234</v>
      </c>
      <c r="T315" s="41" t="s">
        <v>234</v>
      </c>
      <c r="U315" s="41" t="s">
        <v>234</v>
      </c>
      <c r="V315" s="41" t="s">
        <v>234</v>
      </c>
      <c r="W315" s="41" t="s">
        <v>234</v>
      </c>
      <c r="X315" s="43">
        <v>0</v>
      </c>
      <c r="Y315" s="41" t="s">
        <v>97</v>
      </c>
      <c r="Z315" s="41" t="s">
        <v>97</v>
      </c>
      <c r="AA315" s="41" t="s">
        <v>113</v>
      </c>
      <c r="AB315" s="39" t="s">
        <v>46</v>
      </c>
      <c r="AC315" s="44" t="s">
        <v>46</v>
      </c>
    </row>
    <row r="316" spans="1:29" x14ac:dyDescent="0.25">
      <c r="A316" s="45" t="s">
        <v>1590</v>
      </c>
      <c r="B316" s="46" t="s">
        <v>172</v>
      </c>
      <c r="C316" s="46" t="s">
        <v>173</v>
      </c>
      <c r="D316" s="47" t="s">
        <v>1584</v>
      </c>
      <c r="E316" s="47" t="s">
        <v>584</v>
      </c>
      <c r="F316" s="46" t="s">
        <v>1591</v>
      </c>
      <c r="G316" s="46" t="s">
        <v>1592</v>
      </c>
      <c r="H316" s="47" t="s">
        <v>126</v>
      </c>
      <c r="I316" s="47" t="s">
        <v>584</v>
      </c>
      <c r="J316" s="46" t="s">
        <v>1593</v>
      </c>
      <c r="K316" s="47" t="s">
        <v>1588</v>
      </c>
      <c r="L316" s="48" t="s">
        <v>122</v>
      </c>
      <c r="M316" s="46" t="s">
        <v>1589</v>
      </c>
      <c r="N316" s="48" t="s">
        <v>95</v>
      </c>
      <c r="O316" s="49">
        <v>10</v>
      </c>
      <c r="P316" s="48" t="s">
        <v>46</v>
      </c>
      <c r="Q316" s="41" t="s">
        <v>66</v>
      </c>
      <c r="R316" s="41" t="s">
        <v>234</v>
      </c>
      <c r="S316" s="41" t="s">
        <v>234</v>
      </c>
      <c r="T316" s="41" t="s">
        <v>234</v>
      </c>
      <c r="U316" s="41" t="s">
        <v>234</v>
      </c>
      <c r="V316" s="41" t="s">
        <v>234</v>
      </c>
      <c r="W316" s="41" t="s">
        <v>234</v>
      </c>
      <c r="X316" s="43">
        <v>0</v>
      </c>
      <c r="Y316" s="41" t="s">
        <v>97</v>
      </c>
      <c r="Z316" s="41" t="s">
        <v>97</v>
      </c>
      <c r="AA316" s="41" t="s">
        <v>113</v>
      </c>
      <c r="AB316" s="39" t="s">
        <v>46</v>
      </c>
      <c r="AC316" s="44" t="s">
        <v>46</v>
      </c>
    </row>
    <row r="317" spans="1:29" x14ac:dyDescent="0.25">
      <c r="A317" s="38" t="s">
        <v>1594</v>
      </c>
      <c r="B317" s="39" t="s">
        <v>172</v>
      </c>
      <c r="C317" s="39" t="s">
        <v>173</v>
      </c>
      <c r="D317" s="40" t="s">
        <v>1584</v>
      </c>
      <c r="E317" s="40" t="s">
        <v>584</v>
      </c>
      <c r="F317" s="39" t="s">
        <v>1595</v>
      </c>
      <c r="G317" s="39" t="s">
        <v>1596</v>
      </c>
      <c r="H317" s="40" t="s">
        <v>126</v>
      </c>
      <c r="I317" s="40" t="s">
        <v>584</v>
      </c>
      <c r="J317" s="39" t="s">
        <v>1597</v>
      </c>
      <c r="K317" s="40" t="s">
        <v>1588</v>
      </c>
      <c r="L317" s="41" t="s">
        <v>122</v>
      </c>
      <c r="M317" s="39" t="s">
        <v>1589</v>
      </c>
      <c r="N317" s="41" t="s">
        <v>95</v>
      </c>
      <c r="O317" s="42">
        <v>5</v>
      </c>
      <c r="P317" s="41" t="s">
        <v>46</v>
      </c>
      <c r="Q317" s="41" t="s">
        <v>66</v>
      </c>
      <c r="R317" s="41" t="s">
        <v>234</v>
      </c>
      <c r="S317" s="41" t="s">
        <v>234</v>
      </c>
      <c r="T317" s="41" t="s">
        <v>234</v>
      </c>
      <c r="U317" s="41" t="s">
        <v>234</v>
      </c>
      <c r="V317" s="41" t="s">
        <v>234</v>
      </c>
      <c r="W317" s="41" t="s">
        <v>234</v>
      </c>
      <c r="X317" s="43">
        <v>0</v>
      </c>
      <c r="Y317" s="41" t="s">
        <v>97</v>
      </c>
      <c r="Z317" s="41" t="s">
        <v>97</v>
      </c>
      <c r="AA317" s="41" t="s">
        <v>113</v>
      </c>
      <c r="AB317" s="39" t="s">
        <v>46</v>
      </c>
      <c r="AC317" s="44" t="s">
        <v>46</v>
      </c>
    </row>
    <row r="318" spans="1:29" x14ac:dyDescent="0.25">
      <c r="A318" s="45" t="s">
        <v>1598</v>
      </c>
      <c r="B318" s="46" t="s">
        <v>172</v>
      </c>
      <c r="C318" s="46" t="s">
        <v>173</v>
      </c>
      <c r="D318" s="47" t="s">
        <v>1584</v>
      </c>
      <c r="E318" s="47" t="s">
        <v>584</v>
      </c>
      <c r="F318" s="46" t="s">
        <v>1599</v>
      </c>
      <c r="G318" s="46" t="s">
        <v>1600</v>
      </c>
      <c r="H318" s="47" t="s">
        <v>126</v>
      </c>
      <c r="I318" s="47" t="s">
        <v>584</v>
      </c>
      <c r="J318" s="46" t="s">
        <v>1601</v>
      </c>
      <c r="K318" s="47" t="s">
        <v>1588</v>
      </c>
      <c r="L318" s="48" t="s">
        <v>122</v>
      </c>
      <c r="M318" s="46" t="s">
        <v>1589</v>
      </c>
      <c r="N318" s="48" t="s">
        <v>95</v>
      </c>
      <c r="O318" s="49">
        <v>6</v>
      </c>
      <c r="P318" s="48" t="s">
        <v>46</v>
      </c>
      <c r="Q318" s="41" t="s">
        <v>66</v>
      </c>
      <c r="R318" s="41" t="s">
        <v>234</v>
      </c>
      <c r="S318" s="41" t="s">
        <v>234</v>
      </c>
      <c r="T318" s="41" t="s">
        <v>234</v>
      </c>
      <c r="U318" s="41" t="s">
        <v>234</v>
      </c>
      <c r="V318" s="41" t="s">
        <v>234</v>
      </c>
      <c r="W318" s="41" t="s">
        <v>234</v>
      </c>
      <c r="X318" s="43">
        <v>0</v>
      </c>
      <c r="Y318" s="41" t="s">
        <v>97</v>
      </c>
      <c r="Z318" s="41" t="s">
        <v>97</v>
      </c>
      <c r="AA318" s="41" t="s">
        <v>113</v>
      </c>
      <c r="AB318" s="39" t="s">
        <v>46</v>
      </c>
      <c r="AC318" s="44" t="s">
        <v>46</v>
      </c>
    </row>
    <row r="319" spans="1:29" x14ac:dyDescent="0.25">
      <c r="A319" s="38" t="s">
        <v>1602</v>
      </c>
      <c r="B319" s="39" t="s">
        <v>172</v>
      </c>
      <c r="C319" s="39" t="s">
        <v>173</v>
      </c>
      <c r="D319" s="40" t="s">
        <v>1584</v>
      </c>
      <c r="E319" s="40" t="s">
        <v>584</v>
      </c>
      <c r="F319" s="39" t="s">
        <v>1603</v>
      </c>
      <c r="G319" s="39" t="s">
        <v>1604</v>
      </c>
      <c r="H319" s="40" t="s">
        <v>126</v>
      </c>
      <c r="I319" s="40" t="s">
        <v>584</v>
      </c>
      <c r="J319" s="39" t="s">
        <v>1605</v>
      </c>
      <c r="K319" s="40" t="s">
        <v>1588</v>
      </c>
      <c r="L319" s="41" t="s">
        <v>122</v>
      </c>
      <c r="M319" s="39" t="s">
        <v>1589</v>
      </c>
      <c r="N319" s="41" t="s">
        <v>95</v>
      </c>
      <c r="O319" s="42">
        <v>6</v>
      </c>
      <c r="P319" s="41" t="s">
        <v>46</v>
      </c>
      <c r="Q319" s="41" t="s">
        <v>66</v>
      </c>
      <c r="R319" s="41" t="s">
        <v>234</v>
      </c>
      <c r="S319" s="41" t="s">
        <v>234</v>
      </c>
      <c r="T319" s="41" t="s">
        <v>234</v>
      </c>
      <c r="U319" s="41" t="s">
        <v>234</v>
      </c>
      <c r="V319" s="41" t="s">
        <v>234</v>
      </c>
      <c r="W319" s="41" t="s">
        <v>234</v>
      </c>
      <c r="X319" s="43">
        <v>0</v>
      </c>
      <c r="Y319" s="41" t="s">
        <v>97</v>
      </c>
      <c r="Z319" s="41" t="s">
        <v>97</v>
      </c>
      <c r="AA319" s="41" t="s">
        <v>113</v>
      </c>
      <c r="AB319" s="39" t="s">
        <v>46</v>
      </c>
      <c r="AC319" s="44" t="s">
        <v>46</v>
      </c>
    </row>
    <row r="320" spans="1:29" x14ac:dyDescent="0.25">
      <c r="A320" s="45" t="s">
        <v>1606</v>
      </c>
      <c r="B320" s="46" t="s">
        <v>172</v>
      </c>
      <c r="C320" s="46" t="s">
        <v>173</v>
      </c>
      <c r="D320" s="47" t="s">
        <v>1584</v>
      </c>
      <c r="E320" s="47" t="s">
        <v>584</v>
      </c>
      <c r="F320" s="46" t="s">
        <v>1607</v>
      </c>
      <c r="G320" s="46" t="s">
        <v>1608</v>
      </c>
      <c r="H320" s="47" t="s">
        <v>126</v>
      </c>
      <c r="I320" s="47" t="s">
        <v>584</v>
      </c>
      <c r="J320" s="46" t="s">
        <v>1609</v>
      </c>
      <c r="K320" s="47" t="s">
        <v>1588</v>
      </c>
      <c r="L320" s="48" t="s">
        <v>122</v>
      </c>
      <c r="M320" s="46" t="s">
        <v>1589</v>
      </c>
      <c r="N320" s="48" t="s">
        <v>95</v>
      </c>
      <c r="O320" s="49">
        <v>5</v>
      </c>
      <c r="P320" s="48" t="s">
        <v>46</v>
      </c>
      <c r="Q320" s="41" t="s">
        <v>66</v>
      </c>
      <c r="R320" s="41" t="s">
        <v>234</v>
      </c>
      <c r="S320" s="41" t="s">
        <v>234</v>
      </c>
      <c r="T320" s="41" t="s">
        <v>234</v>
      </c>
      <c r="U320" s="41" t="s">
        <v>234</v>
      </c>
      <c r="V320" s="41" t="s">
        <v>234</v>
      </c>
      <c r="W320" s="41" t="s">
        <v>234</v>
      </c>
      <c r="X320" s="43">
        <v>0</v>
      </c>
      <c r="Y320" s="41" t="s">
        <v>97</v>
      </c>
      <c r="Z320" s="41" t="s">
        <v>97</v>
      </c>
      <c r="AA320" s="41" t="s">
        <v>113</v>
      </c>
      <c r="AB320" s="39" t="s">
        <v>46</v>
      </c>
      <c r="AC320" s="44" t="s">
        <v>46</v>
      </c>
    </row>
    <row r="321" spans="1:29" x14ac:dyDescent="0.25">
      <c r="A321" s="38" t="s">
        <v>1610</v>
      </c>
      <c r="B321" s="39" t="s">
        <v>172</v>
      </c>
      <c r="C321" s="39" t="s">
        <v>173</v>
      </c>
      <c r="D321" s="40" t="s">
        <v>1584</v>
      </c>
      <c r="E321" s="40" t="s">
        <v>289</v>
      </c>
      <c r="F321" s="39" t="s">
        <v>1611</v>
      </c>
      <c r="G321" s="39" t="s">
        <v>1612</v>
      </c>
      <c r="H321" s="40" t="s">
        <v>123</v>
      </c>
      <c r="I321" s="40" t="s">
        <v>135</v>
      </c>
      <c r="J321" s="39" t="s">
        <v>1613</v>
      </c>
      <c r="K321" s="40" t="s">
        <v>1588</v>
      </c>
      <c r="L321" s="41" t="s">
        <v>122</v>
      </c>
      <c r="M321" s="39" t="s">
        <v>1589</v>
      </c>
      <c r="N321" s="41" t="s">
        <v>95</v>
      </c>
      <c r="O321" s="42">
        <v>5</v>
      </c>
      <c r="P321" s="41" t="s">
        <v>46</v>
      </c>
      <c r="Q321" s="41" t="s">
        <v>66</v>
      </c>
      <c r="R321" s="41" t="s">
        <v>234</v>
      </c>
      <c r="S321" s="41" t="s">
        <v>234</v>
      </c>
      <c r="T321" s="41" t="s">
        <v>234</v>
      </c>
      <c r="U321" s="41" t="s">
        <v>234</v>
      </c>
      <c r="V321" s="41" t="s">
        <v>234</v>
      </c>
      <c r="W321" s="41" t="s">
        <v>234</v>
      </c>
      <c r="X321" s="43">
        <v>0</v>
      </c>
      <c r="Y321" s="41" t="s">
        <v>97</v>
      </c>
      <c r="Z321" s="41" t="s">
        <v>97</v>
      </c>
      <c r="AA321" s="41" t="s">
        <v>113</v>
      </c>
      <c r="AB321" s="39" t="s">
        <v>46</v>
      </c>
      <c r="AC321" s="44" t="s">
        <v>46</v>
      </c>
    </row>
    <row r="322" spans="1:29" x14ac:dyDescent="0.25">
      <c r="A322" s="45" t="s">
        <v>1614</v>
      </c>
      <c r="B322" s="46" t="s">
        <v>172</v>
      </c>
      <c r="C322" s="46" t="s">
        <v>173</v>
      </c>
      <c r="D322" s="47" t="s">
        <v>1584</v>
      </c>
      <c r="E322" s="47" t="s">
        <v>584</v>
      </c>
      <c r="F322" s="46" t="s">
        <v>1615</v>
      </c>
      <c r="G322" s="46" t="s">
        <v>1616</v>
      </c>
      <c r="H322" s="47" t="s">
        <v>126</v>
      </c>
      <c r="I322" s="47" t="s">
        <v>584</v>
      </c>
      <c r="J322" s="46" t="s">
        <v>1617</v>
      </c>
      <c r="K322" s="47" t="s">
        <v>1588</v>
      </c>
      <c r="L322" s="48" t="s">
        <v>122</v>
      </c>
      <c r="M322" s="46" t="s">
        <v>1589</v>
      </c>
      <c r="N322" s="48" t="s">
        <v>95</v>
      </c>
      <c r="O322" s="49">
        <v>5</v>
      </c>
      <c r="P322" s="48" t="s">
        <v>46</v>
      </c>
      <c r="Q322" s="41" t="s">
        <v>66</v>
      </c>
      <c r="R322" s="41" t="s">
        <v>234</v>
      </c>
      <c r="S322" s="41" t="s">
        <v>234</v>
      </c>
      <c r="T322" s="41" t="s">
        <v>234</v>
      </c>
      <c r="U322" s="41" t="s">
        <v>234</v>
      </c>
      <c r="V322" s="41" t="s">
        <v>234</v>
      </c>
      <c r="W322" s="41" t="s">
        <v>234</v>
      </c>
      <c r="X322" s="43">
        <v>0</v>
      </c>
      <c r="Y322" s="41" t="s">
        <v>97</v>
      </c>
      <c r="Z322" s="41" t="s">
        <v>97</v>
      </c>
      <c r="AA322" s="41" t="s">
        <v>113</v>
      </c>
      <c r="AB322" s="39" t="s">
        <v>46</v>
      </c>
      <c r="AC322" s="44" t="s">
        <v>46</v>
      </c>
    </row>
    <row r="323" spans="1:29" x14ac:dyDescent="0.25">
      <c r="A323" s="38" t="s">
        <v>1618</v>
      </c>
      <c r="B323" s="39" t="s">
        <v>172</v>
      </c>
      <c r="C323" s="39" t="s">
        <v>173</v>
      </c>
      <c r="D323" s="40" t="s">
        <v>1584</v>
      </c>
      <c r="E323" s="40" t="s">
        <v>584</v>
      </c>
      <c r="F323" s="39" t="s">
        <v>1619</v>
      </c>
      <c r="G323" s="39" t="s">
        <v>1620</v>
      </c>
      <c r="H323" s="40" t="s">
        <v>126</v>
      </c>
      <c r="I323" s="40" t="s">
        <v>584</v>
      </c>
      <c r="J323" s="39" t="s">
        <v>1621</v>
      </c>
      <c r="K323" s="40" t="s">
        <v>1588</v>
      </c>
      <c r="L323" s="41" t="s">
        <v>122</v>
      </c>
      <c r="M323" s="39" t="s">
        <v>1589</v>
      </c>
      <c r="N323" s="41" t="s">
        <v>95</v>
      </c>
      <c r="O323" s="42">
        <v>6</v>
      </c>
      <c r="P323" s="41" t="s">
        <v>46</v>
      </c>
      <c r="Q323" s="41" t="s">
        <v>66</v>
      </c>
      <c r="R323" s="41" t="s">
        <v>234</v>
      </c>
      <c r="S323" s="41" t="s">
        <v>234</v>
      </c>
      <c r="T323" s="41" t="s">
        <v>234</v>
      </c>
      <c r="U323" s="41" t="s">
        <v>234</v>
      </c>
      <c r="V323" s="41" t="s">
        <v>234</v>
      </c>
      <c r="W323" s="41" t="s">
        <v>234</v>
      </c>
      <c r="X323" s="43">
        <v>0</v>
      </c>
      <c r="Y323" s="41" t="s">
        <v>97</v>
      </c>
      <c r="Z323" s="41" t="s">
        <v>97</v>
      </c>
      <c r="AA323" s="41" t="s">
        <v>113</v>
      </c>
      <c r="AB323" s="39" t="s">
        <v>46</v>
      </c>
      <c r="AC323" s="44" t="s">
        <v>46</v>
      </c>
    </row>
    <row r="324" spans="1:29" x14ac:dyDescent="0.25">
      <c r="A324" s="45" t="s">
        <v>1622</v>
      </c>
      <c r="B324" s="46" t="s">
        <v>172</v>
      </c>
      <c r="C324" s="46" t="s">
        <v>173</v>
      </c>
      <c r="D324" s="47" t="s">
        <v>1584</v>
      </c>
      <c r="E324" s="47" t="s">
        <v>584</v>
      </c>
      <c r="F324" s="46" t="s">
        <v>1623</v>
      </c>
      <c r="G324" s="46" t="s">
        <v>1624</v>
      </c>
      <c r="H324" s="47" t="s">
        <v>126</v>
      </c>
      <c r="I324" s="47" t="s">
        <v>351</v>
      </c>
      <c r="J324" s="46" t="s">
        <v>1625</v>
      </c>
      <c r="K324" s="47" t="s">
        <v>1588</v>
      </c>
      <c r="L324" s="48" t="s">
        <v>122</v>
      </c>
      <c r="M324" s="46" t="s">
        <v>1589</v>
      </c>
      <c r="N324" s="48" t="s">
        <v>95</v>
      </c>
      <c r="O324" s="49">
        <v>6</v>
      </c>
      <c r="P324" s="48" t="s">
        <v>46</v>
      </c>
      <c r="Q324" s="41" t="s">
        <v>66</v>
      </c>
      <c r="R324" s="41" t="s">
        <v>234</v>
      </c>
      <c r="S324" s="41" t="s">
        <v>234</v>
      </c>
      <c r="T324" s="41" t="s">
        <v>234</v>
      </c>
      <c r="U324" s="41" t="s">
        <v>234</v>
      </c>
      <c r="V324" s="41" t="s">
        <v>234</v>
      </c>
      <c r="W324" s="41" t="s">
        <v>234</v>
      </c>
      <c r="X324" s="43">
        <v>0</v>
      </c>
      <c r="Y324" s="41" t="s">
        <v>97</v>
      </c>
      <c r="Z324" s="41" t="s">
        <v>97</v>
      </c>
      <c r="AA324" s="41" t="s">
        <v>113</v>
      </c>
      <c r="AB324" s="39" t="s">
        <v>46</v>
      </c>
      <c r="AC324" s="44" t="s">
        <v>46</v>
      </c>
    </row>
    <row r="325" spans="1:29" x14ac:dyDescent="0.25">
      <c r="A325" s="38" t="s">
        <v>1626</v>
      </c>
      <c r="B325" s="39" t="s">
        <v>172</v>
      </c>
      <c r="C325" s="39" t="s">
        <v>173</v>
      </c>
      <c r="D325" s="40" t="s">
        <v>1584</v>
      </c>
      <c r="E325" s="40" t="s">
        <v>584</v>
      </c>
      <c r="F325" s="39" t="s">
        <v>1627</v>
      </c>
      <c r="G325" s="39" t="s">
        <v>1628</v>
      </c>
      <c r="H325" s="40" t="s">
        <v>126</v>
      </c>
      <c r="I325" s="40" t="s">
        <v>584</v>
      </c>
      <c r="J325" s="39" t="s">
        <v>1629</v>
      </c>
      <c r="K325" s="40" t="s">
        <v>1588</v>
      </c>
      <c r="L325" s="41" t="s">
        <v>122</v>
      </c>
      <c r="M325" s="39" t="s">
        <v>1589</v>
      </c>
      <c r="N325" s="41" t="s">
        <v>95</v>
      </c>
      <c r="O325" s="42">
        <v>5</v>
      </c>
      <c r="P325" s="41" t="s">
        <v>46</v>
      </c>
      <c r="Q325" s="41" t="s">
        <v>66</v>
      </c>
      <c r="R325" s="41" t="s">
        <v>234</v>
      </c>
      <c r="S325" s="41" t="s">
        <v>234</v>
      </c>
      <c r="T325" s="41" t="s">
        <v>234</v>
      </c>
      <c r="U325" s="41" t="s">
        <v>234</v>
      </c>
      <c r="V325" s="41" t="s">
        <v>234</v>
      </c>
      <c r="W325" s="41" t="s">
        <v>234</v>
      </c>
      <c r="X325" s="43">
        <v>0</v>
      </c>
      <c r="Y325" s="41" t="s">
        <v>97</v>
      </c>
      <c r="Z325" s="41" t="s">
        <v>97</v>
      </c>
      <c r="AA325" s="41" t="s">
        <v>113</v>
      </c>
      <c r="AB325" s="39" t="s">
        <v>46</v>
      </c>
      <c r="AC325" s="44" t="s">
        <v>46</v>
      </c>
    </row>
    <row r="326" spans="1:29" x14ac:dyDescent="0.25">
      <c r="A326" s="45" t="s">
        <v>1630</v>
      </c>
      <c r="B326" s="46" t="s">
        <v>172</v>
      </c>
      <c r="C326" s="46" t="s">
        <v>173</v>
      </c>
      <c r="D326" s="47" t="s">
        <v>1584</v>
      </c>
      <c r="E326" s="47" t="s">
        <v>131</v>
      </c>
      <c r="F326" s="46" t="s">
        <v>1631</v>
      </c>
      <c r="G326" s="46" t="s">
        <v>1632</v>
      </c>
      <c r="H326" s="47" t="s">
        <v>126</v>
      </c>
      <c r="I326" s="47" t="s">
        <v>469</v>
      </c>
      <c r="J326" s="46" t="s">
        <v>1633</v>
      </c>
      <c r="K326" s="47" t="s">
        <v>1588</v>
      </c>
      <c r="L326" s="48" t="s">
        <v>125</v>
      </c>
      <c r="M326" s="46" t="s">
        <v>1589</v>
      </c>
      <c r="N326" s="48" t="s">
        <v>95</v>
      </c>
      <c r="O326" s="49">
        <v>6</v>
      </c>
      <c r="P326" s="48" t="s">
        <v>46</v>
      </c>
      <c r="Q326" s="41" t="s">
        <v>66</v>
      </c>
      <c r="R326" s="41" t="s">
        <v>234</v>
      </c>
      <c r="S326" s="41" t="s">
        <v>234</v>
      </c>
      <c r="T326" s="41" t="s">
        <v>234</v>
      </c>
      <c r="U326" s="41" t="s">
        <v>234</v>
      </c>
      <c r="V326" s="41" t="s">
        <v>234</v>
      </c>
      <c r="W326" s="41" t="s">
        <v>234</v>
      </c>
      <c r="X326" s="43">
        <v>0</v>
      </c>
      <c r="Y326" s="41" t="s">
        <v>97</v>
      </c>
      <c r="Z326" s="41" t="s">
        <v>97</v>
      </c>
      <c r="AA326" s="41" t="s">
        <v>113</v>
      </c>
      <c r="AB326" s="39" t="s">
        <v>46</v>
      </c>
      <c r="AC326" s="44" t="s">
        <v>46</v>
      </c>
    </row>
    <row r="327" spans="1:29" x14ac:dyDescent="0.25">
      <c r="A327" s="38" t="s">
        <v>1634</v>
      </c>
      <c r="B327" s="39" t="s">
        <v>172</v>
      </c>
      <c r="C327" s="39" t="s">
        <v>173</v>
      </c>
      <c r="D327" s="40" t="s">
        <v>1584</v>
      </c>
      <c r="E327" s="40" t="s">
        <v>584</v>
      </c>
      <c r="F327" s="39" t="s">
        <v>1635</v>
      </c>
      <c r="G327" s="39" t="s">
        <v>1636</v>
      </c>
      <c r="H327" s="40" t="s">
        <v>126</v>
      </c>
      <c r="I327" s="40" t="s">
        <v>584</v>
      </c>
      <c r="J327" s="39" t="s">
        <v>1637</v>
      </c>
      <c r="K327" s="40" t="s">
        <v>1588</v>
      </c>
      <c r="L327" s="41" t="s">
        <v>125</v>
      </c>
      <c r="M327" s="39" t="s">
        <v>1589</v>
      </c>
      <c r="N327" s="41" t="s">
        <v>95</v>
      </c>
      <c r="O327" s="42">
        <v>5</v>
      </c>
      <c r="P327" s="41" t="s">
        <v>46</v>
      </c>
      <c r="Q327" s="41" t="s">
        <v>66</v>
      </c>
      <c r="R327" s="41" t="s">
        <v>234</v>
      </c>
      <c r="S327" s="41" t="s">
        <v>234</v>
      </c>
      <c r="T327" s="41" t="s">
        <v>234</v>
      </c>
      <c r="U327" s="41" t="s">
        <v>234</v>
      </c>
      <c r="V327" s="41" t="s">
        <v>234</v>
      </c>
      <c r="W327" s="41" t="s">
        <v>234</v>
      </c>
      <c r="X327" s="43">
        <v>0</v>
      </c>
      <c r="Y327" s="41" t="s">
        <v>97</v>
      </c>
      <c r="Z327" s="41" t="s">
        <v>97</v>
      </c>
      <c r="AA327" s="41" t="s">
        <v>113</v>
      </c>
      <c r="AB327" s="39" t="s">
        <v>46</v>
      </c>
      <c r="AC327" s="44" t="s">
        <v>46</v>
      </c>
    </row>
    <row r="328" spans="1:29" x14ac:dyDescent="0.25">
      <c r="A328" s="45" t="s">
        <v>1638</v>
      </c>
      <c r="B328" s="46" t="s">
        <v>172</v>
      </c>
      <c r="C328" s="46" t="s">
        <v>173</v>
      </c>
      <c r="D328" s="47" t="s">
        <v>1584</v>
      </c>
      <c r="E328" s="47" t="s">
        <v>295</v>
      </c>
      <c r="F328" s="46" t="s">
        <v>1639</v>
      </c>
      <c r="G328" s="46" t="s">
        <v>1640</v>
      </c>
      <c r="H328" s="47" t="s">
        <v>126</v>
      </c>
      <c r="I328" s="47" t="s">
        <v>584</v>
      </c>
      <c r="J328" s="46" t="s">
        <v>1641</v>
      </c>
      <c r="K328" s="47" t="s">
        <v>1588</v>
      </c>
      <c r="L328" s="48" t="s">
        <v>122</v>
      </c>
      <c r="M328" s="46" t="s">
        <v>1589</v>
      </c>
      <c r="N328" s="48" t="s">
        <v>95</v>
      </c>
      <c r="O328" s="49">
        <v>10</v>
      </c>
      <c r="P328" s="48" t="s">
        <v>46</v>
      </c>
      <c r="Q328" s="41" t="s">
        <v>66</v>
      </c>
      <c r="R328" s="41" t="s">
        <v>234</v>
      </c>
      <c r="S328" s="41" t="s">
        <v>234</v>
      </c>
      <c r="T328" s="41" t="s">
        <v>234</v>
      </c>
      <c r="U328" s="41" t="s">
        <v>234</v>
      </c>
      <c r="V328" s="41" t="s">
        <v>234</v>
      </c>
      <c r="W328" s="41" t="s">
        <v>234</v>
      </c>
      <c r="X328" s="43">
        <v>0</v>
      </c>
      <c r="Y328" s="41" t="s">
        <v>97</v>
      </c>
      <c r="Z328" s="41" t="s">
        <v>97</v>
      </c>
      <c r="AA328" s="41" t="s">
        <v>113</v>
      </c>
      <c r="AB328" s="39" t="s">
        <v>46</v>
      </c>
      <c r="AC328" s="44" t="s">
        <v>46</v>
      </c>
    </row>
    <row r="329" spans="1:29" x14ac:dyDescent="0.25">
      <c r="A329" s="38" t="s">
        <v>1642</v>
      </c>
      <c r="B329" s="39" t="s">
        <v>172</v>
      </c>
      <c r="C329" s="39" t="s">
        <v>173</v>
      </c>
      <c r="D329" s="40" t="s">
        <v>1584</v>
      </c>
      <c r="E329" s="40" t="s">
        <v>131</v>
      </c>
      <c r="F329" s="39" t="s">
        <v>1643</v>
      </c>
      <c r="G329" s="39" t="s">
        <v>1644</v>
      </c>
      <c r="H329" s="40" t="s">
        <v>126</v>
      </c>
      <c r="I329" s="40" t="s">
        <v>469</v>
      </c>
      <c r="J329" s="39" t="s">
        <v>1645</v>
      </c>
      <c r="K329" s="40" t="s">
        <v>1588</v>
      </c>
      <c r="L329" s="41" t="s">
        <v>122</v>
      </c>
      <c r="M329" s="39" t="s">
        <v>1589</v>
      </c>
      <c r="N329" s="41" t="s">
        <v>95</v>
      </c>
      <c r="O329" s="42">
        <v>5</v>
      </c>
      <c r="P329" s="41" t="s">
        <v>46</v>
      </c>
      <c r="Q329" s="41" t="s">
        <v>66</v>
      </c>
      <c r="R329" s="41" t="s">
        <v>234</v>
      </c>
      <c r="S329" s="41" t="s">
        <v>234</v>
      </c>
      <c r="T329" s="41" t="s">
        <v>234</v>
      </c>
      <c r="U329" s="41" t="s">
        <v>234</v>
      </c>
      <c r="V329" s="41" t="s">
        <v>234</v>
      </c>
      <c r="W329" s="41" t="s">
        <v>234</v>
      </c>
      <c r="X329" s="43">
        <v>0</v>
      </c>
      <c r="Y329" s="41" t="s">
        <v>97</v>
      </c>
      <c r="Z329" s="41" t="s">
        <v>97</v>
      </c>
      <c r="AA329" s="41" t="s">
        <v>113</v>
      </c>
      <c r="AB329" s="39" t="s">
        <v>46</v>
      </c>
      <c r="AC329" s="44" t="s">
        <v>46</v>
      </c>
    </row>
    <row r="330" spans="1:29" x14ac:dyDescent="0.25">
      <c r="A330" s="45" t="s">
        <v>1646</v>
      </c>
      <c r="B330" s="46" t="s">
        <v>172</v>
      </c>
      <c r="C330" s="46" t="s">
        <v>173</v>
      </c>
      <c r="D330" s="47" t="s">
        <v>1584</v>
      </c>
      <c r="E330" s="47" t="s">
        <v>129</v>
      </c>
      <c r="F330" s="46" t="s">
        <v>1647</v>
      </c>
      <c r="G330" s="46" t="s">
        <v>1648</v>
      </c>
      <c r="H330" s="47" t="s">
        <v>126</v>
      </c>
      <c r="I330" s="47" t="s">
        <v>584</v>
      </c>
      <c r="J330" s="46" t="s">
        <v>1649</v>
      </c>
      <c r="K330" s="47" t="s">
        <v>1588</v>
      </c>
      <c r="L330" s="48" t="s">
        <v>122</v>
      </c>
      <c r="M330" s="46" t="s">
        <v>1589</v>
      </c>
      <c r="N330" s="48" t="s">
        <v>95</v>
      </c>
      <c r="O330" s="49">
        <v>6</v>
      </c>
      <c r="P330" s="48" t="s">
        <v>46</v>
      </c>
      <c r="Q330" s="41" t="s">
        <v>66</v>
      </c>
      <c r="R330" s="41" t="s">
        <v>234</v>
      </c>
      <c r="S330" s="41" t="s">
        <v>234</v>
      </c>
      <c r="T330" s="41" t="s">
        <v>234</v>
      </c>
      <c r="U330" s="41" t="s">
        <v>234</v>
      </c>
      <c r="V330" s="41" t="s">
        <v>234</v>
      </c>
      <c r="W330" s="41" t="s">
        <v>234</v>
      </c>
      <c r="X330" s="43">
        <v>0</v>
      </c>
      <c r="Y330" s="41" t="s">
        <v>97</v>
      </c>
      <c r="Z330" s="41" t="s">
        <v>97</v>
      </c>
      <c r="AA330" s="41" t="s">
        <v>113</v>
      </c>
      <c r="AB330" s="39" t="s">
        <v>46</v>
      </c>
      <c r="AC330" s="44" t="s">
        <v>46</v>
      </c>
    </row>
    <row r="331" spans="1:29" x14ac:dyDescent="0.25">
      <c r="A331" s="38" t="s">
        <v>1650</v>
      </c>
      <c r="B331" s="39" t="s">
        <v>172</v>
      </c>
      <c r="C331" s="39" t="s">
        <v>173</v>
      </c>
      <c r="D331" s="40" t="s">
        <v>1584</v>
      </c>
      <c r="E331" s="40" t="s">
        <v>289</v>
      </c>
      <c r="F331" s="39" t="s">
        <v>1651</v>
      </c>
      <c r="G331" s="39" t="s">
        <v>1652</v>
      </c>
      <c r="H331" s="40" t="s">
        <v>123</v>
      </c>
      <c r="I331" s="40" t="s">
        <v>135</v>
      </c>
      <c r="J331" s="39" t="s">
        <v>1653</v>
      </c>
      <c r="K331" s="40" t="s">
        <v>1588</v>
      </c>
      <c r="L331" s="41" t="s">
        <v>122</v>
      </c>
      <c r="M331" s="39" t="s">
        <v>1589</v>
      </c>
      <c r="N331" s="41" t="s">
        <v>95</v>
      </c>
      <c r="O331" s="42">
        <v>4</v>
      </c>
      <c r="P331" s="41" t="s">
        <v>46</v>
      </c>
      <c r="Q331" s="41" t="s">
        <v>66</v>
      </c>
      <c r="R331" s="41" t="s">
        <v>234</v>
      </c>
      <c r="S331" s="41" t="s">
        <v>234</v>
      </c>
      <c r="T331" s="41" t="s">
        <v>234</v>
      </c>
      <c r="U331" s="41" t="s">
        <v>234</v>
      </c>
      <c r="V331" s="41" t="s">
        <v>234</v>
      </c>
      <c r="W331" s="41" t="s">
        <v>234</v>
      </c>
      <c r="X331" s="43">
        <v>0</v>
      </c>
      <c r="Y331" s="41" t="s">
        <v>97</v>
      </c>
      <c r="Z331" s="41" t="s">
        <v>97</v>
      </c>
      <c r="AA331" s="41" t="s">
        <v>113</v>
      </c>
      <c r="AB331" s="39" t="s">
        <v>46</v>
      </c>
      <c r="AC331" s="44" t="s">
        <v>46</v>
      </c>
    </row>
    <row r="332" spans="1:29" x14ac:dyDescent="0.25">
      <c r="A332" s="45" t="s">
        <v>1654</v>
      </c>
      <c r="B332" s="46" t="s">
        <v>172</v>
      </c>
      <c r="C332" s="46" t="s">
        <v>173</v>
      </c>
      <c r="D332" s="47" t="s">
        <v>1584</v>
      </c>
      <c r="E332" s="47" t="s">
        <v>295</v>
      </c>
      <c r="F332" s="46" t="s">
        <v>1655</v>
      </c>
      <c r="G332" s="46" t="s">
        <v>1656</v>
      </c>
      <c r="H332" s="47" t="s">
        <v>123</v>
      </c>
      <c r="I332" s="47" t="s">
        <v>495</v>
      </c>
      <c r="J332" s="46" t="s">
        <v>1657</v>
      </c>
      <c r="K332" s="47" t="s">
        <v>1588</v>
      </c>
      <c r="L332" s="48" t="s">
        <v>122</v>
      </c>
      <c r="M332" s="46" t="s">
        <v>1589</v>
      </c>
      <c r="N332" s="48" t="s">
        <v>95</v>
      </c>
      <c r="O332" s="49">
        <v>10</v>
      </c>
      <c r="P332" s="48" t="s">
        <v>46</v>
      </c>
      <c r="Q332" s="41" t="s">
        <v>66</v>
      </c>
      <c r="R332" s="41" t="s">
        <v>234</v>
      </c>
      <c r="S332" s="41" t="s">
        <v>234</v>
      </c>
      <c r="T332" s="41" t="s">
        <v>234</v>
      </c>
      <c r="U332" s="41" t="s">
        <v>234</v>
      </c>
      <c r="V332" s="41" t="s">
        <v>234</v>
      </c>
      <c r="W332" s="41" t="s">
        <v>234</v>
      </c>
      <c r="X332" s="43">
        <v>0</v>
      </c>
      <c r="Y332" s="41" t="s">
        <v>97</v>
      </c>
      <c r="Z332" s="41" t="s">
        <v>97</v>
      </c>
      <c r="AA332" s="41" t="s">
        <v>113</v>
      </c>
      <c r="AB332" s="39" t="s">
        <v>46</v>
      </c>
      <c r="AC332" s="44" t="s">
        <v>46</v>
      </c>
    </row>
    <row r="333" spans="1:29" x14ac:dyDescent="0.25">
      <c r="A333" s="38" t="s">
        <v>1658</v>
      </c>
      <c r="B333" s="39" t="s">
        <v>172</v>
      </c>
      <c r="C333" s="39" t="s">
        <v>173</v>
      </c>
      <c r="D333" s="40" t="s">
        <v>1584</v>
      </c>
      <c r="E333" s="40" t="s">
        <v>135</v>
      </c>
      <c r="F333" s="39" t="s">
        <v>1659</v>
      </c>
      <c r="G333" s="39" t="s">
        <v>1660</v>
      </c>
      <c r="H333" s="40" t="s">
        <v>123</v>
      </c>
      <c r="I333" s="40" t="s">
        <v>135</v>
      </c>
      <c r="J333" s="39" t="s">
        <v>1661</v>
      </c>
      <c r="K333" s="40" t="s">
        <v>1588</v>
      </c>
      <c r="L333" s="41" t="s">
        <v>122</v>
      </c>
      <c r="M333" s="39" t="s">
        <v>1589</v>
      </c>
      <c r="N333" s="41" t="s">
        <v>95</v>
      </c>
      <c r="O333" s="42">
        <v>10</v>
      </c>
      <c r="P333" s="41" t="s">
        <v>46</v>
      </c>
      <c r="Q333" s="41" t="s">
        <v>66</v>
      </c>
      <c r="R333" s="41" t="s">
        <v>234</v>
      </c>
      <c r="S333" s="41" t="s">
        <v>234</v>
      </c>
      <c r="T333" s="41" t="s">
        <v>234</v>
      </c>
      <c r="U333" s="41" t="s">
        <v>234</v>
      </c>
      <c r="V333" s="41" t="s">
        <v>234</v>
      </c>
      <c r="W333" s="41" t="s">
        <v>234</v>
      </c>
      <c r="X333" s="43">
        <v>0</v>
      </c>
      <c r="Y333" s="41" t="s">
        <v>97</v>
      </c>
      <c r="Z333" s="41" t="s">
        <v>97</v>
      </c>
      <c r="AA333" s="41" t="s">
        <v>113</v>
      </c>
      <c r="AB333" s="39" t="s">
        <v>46</v>
      </c>
      <c r="AC333" s="44" t="s">
        <v>46</v>
      </c>
    </row>
    <row r="334" spans="1:29" x14ac:dyDescent="0.25">
      <c r="A334" s="45" t="s">
        <v>1662</v>
      </c>
      <c r="B334" s="46" t="s">
        <v>172</v>
      </c>
      <c r="C334" s="46" t="s">
        <v>173</v>
      </c>
      <c r="D334" s="47" t="s">
        <v>1584</v>
      </c>
      <c r="E334" s="47" t="s">
        <v>584</v>
      </c>
      <c r="F334" s="46" t="s">
        <v>1663</v>
      </c>
      <c r="G334" s="46" t="s">
        <v>1664</v>
      </c>
      <c r="H334" s="47" t="s">
        <v>126</v>
      </c>
      <c r="I334" s="47" t="s">
        <v>584</v>
      </c>
      <c r="J334" s="46" t="s">
        <v>1665</v>
      </c>
      <c r="K334" s="47" t="s">
        <v>1588</v>
      </c>
      <c r="L334" s="48" t="s">
        <v>122</v>
      </c>
      <c r="M334" s="46" t="s">
        <v>1589</v>
      </c>
      <c r="N334" s="48" t="s">
        <v>95</v>
      </c>
      <c r="O334" s="49">
        <v>3</v>
      </c>
      <c r="P334" s="48" t="s">
        <v>46</v>
      </c>
      <c r="Q334" s="41" t="s">
        <v>66</v>
      </c>
      <c r="R334" s="41" t="s">
        <v>234</v>
      </c>
      <c r="S334" s="41" t="s">
        <v>234</v>
      </c>
      <c r="T334" s="41" t="s">
        <v>234</v>
      </c>
      <c r="U334" s="41" t="s">
        <v>234</v>
      </c>
      <c r="V334" s="41" t="s">
        <v>234</v>
      </c>
      <c r="W334" s="41" t="s">
        <v>234</v>
      </c>
      <c r="X334" s="43">
        <v>0</v>
      </c>
      <c r="Y334" s="41" t="s">
        <v>97</v>
      </c>
      <c r="Z334" s="41" t="s">
        <v>97</v>
      </c>
      <c r="AA334" s="41" t="s">
        <v>113</v>
      </c>
      <c r="AB334" s="39" t="s">
        <v>1666</v>
      </c>
      <c r="AC334" s="44" t="s">
        <v>46</v>
      </c>
    </row>
    <row r="335" spans="1:29" x14ac:dyDescent="0.25">
      <c r="A335" s="38" t="s">
        <v>1667</v>
      </c>
      <c r="B335" s="39" t="s">
        <v>172</v>
      </c>
      <c r="C335" s="39" t="s">
        <v>173</v>
      </c>
      <c r="D335" s="40" t="s">
        <v>1584</v>
      </c>
      <c r="E335" s="40" t="s">
        <v>56</v>
      </c>
      <c r="F335" s="39" t="s">
        <v>1668</v>
      </c>
      <c r="G335" s="39" t="s">
        <v>1669</v>
      </c>
      <c r="H335" s="40" t="s">
        <v>132</v>
      </c>
      <c r="I335" s="40" t="s">
        <v>522</v>
      </c>
      <c r="J335" s="39" t="s">
        <v>1582</v>
      </c>
      <c r="K335" s="40" t="s">
        <v>1588</v>
      </c>
      <c r="L335" s="41" t="s">
        <v>122</v>
      </c>
      <c r="M335" s="39" t="s">
        <v>1589</v>
      </c>
      <c r="N335" s="41" t="s">
        <v>95</v>
      </c>
      <c r="O335" s="42">
        <v>10</v>
      </c>
      <c r="P335" s="41" t="s">
        <v>46</v>
      </c>
      <c r="Q335" s="41" t="s">
        <v>66</v>
      </c>
      <c r="R335" s="41" t="s">
        <v>234</v>
      </c>
      <c r="S335" s="41" t="s">
        <v>234</v>
      </c>
      <c r="T335" s="41" t="s">
        <v>234</v>
      </c>
      <c r="U335" s="41" t="s">
        <v>234</v>
      </c>
      <c r="V335" s="41" t="s">
        <v>234</v>
      </c>
      <c r="W335" s="41" t="s">
        <v>234</v>
      </c>
      <c r="X335" s="43">
        <v>0</v>
      </c>
      <c r="Y335" s="41" t="s">
        <v>97</v>
      </c>
      <c r="Z335" s="41" t="s">
        <v>97</v>
      </c>
      <c r="AA335" s="41" t="s">
        <v>113</v>
      </c>
      <c r="AB335" s="39" t="s">
        <v>46</v>
      </c>
      <c r="AC335" s="44" t="s">
        <v>46</v>
      </c>
    </row>
    <row r="336" spans="1:29" x14ac:dyDescent="0.25">
      <c r="A336" s="45" t="s">
        <v>1670</v>
      </c>
      <c r="B336" s="46" t="s">
        <v>175</v>
      </c>
      <c r="C336" s="46" t="s">
        <v>174</v>
      </c>
      <c r="D336" s="47" t="s">
        <v>1671</v>
      </c>
      <c r="E336" s="47" t="s">
        <v>398</v>
      </c>
      <c r="F336" s="46" t="s">
        <v>1672</v>
      </c>
      <c r="G336" s="46" t="s">
        <v>1673</v>
      </c>
      <c r="H336" s="47" t="s">
        <v>128</v>
      </c>
      <c r="I336" s="47" t="s">
        <v>401</v>
      </c>
      <c r="J336" s="46" t="s">
        <v>1674</v>
      </c>
      <c r="K336" s="47" t="s">
        <v>1675</v>
      </c>
      <c r="L336" s="48" t="s">
        <v>122</v>
      </c>
      <c r="M336" s="46" t="s">
        <v>1676</v>
      </c>
      <c r="N336" s="48" t="s">
        <v>95</v>
      </c>
      <c r="O336" s="49">
        <v>4</v>
      </c>
      <c r="P336" s="48" t="s">
        <v>46</v>
      </c>
      <c r="Q336" s="41" t="s">
        <v>66</v>
      </c>
      <c r="R336" s="41" t="s">
        <v>234</v>
      </c>
      <c r="S336" s="41" t="s">
        <v>234</v>
      </c>
      <c r="T336" s="41" t="s">
        <v>234</v>
      </c>
      <c r="U336" s="41" t="s">
        <v>234</v>
      </c>
      <c r="V336" s="41" t="s">
        <v>234</v>
      </c>
      <c r="W336" s="41" t="s">
        <v>234</v>
      </c>
      <c r="X336" s="43">
        <v>0</v>
      </c>
      <c r="Y336" s="41" t="s">
        <v>97</v>
      </c>
      <c r="Z336" s="41" t="s">
        <v>97</v>
      </c>
      <c r="AA336" s="41" t="s">
        <v>113</v>
      </c>
      <c r="AB336" s="39" t="s">
        <v>46</v>
      </c>
      <c r="AC336" s="44" t="s">
        <v>46</v>
      </c>
    </row>
    <row r="337" spans="1:29" x14ac:dyDescent="0.25">
      <c r="A337" s="38" t="s">
        <v>1677</v>
      </c>
      <c r="B337" s="39" t="s">
        <v>175</v>
      </c>
      <c r="C337" s="39" t="s">
        <v>174</v>
      </c>
      <c r="D337" s="40" t="s">
        <v>1671</v>
      </c>
      <c r="E337" s="40" t="s">
        <v>131</v>
      </c>
      <c r="F337" s="39" t="s">
        <v>1678</v>
      </c>
      <c r="G337" s="39" t="s">
        <v>1679</v>
      </c>
      <c r="H337" s="40" t="s">
        <v>126</v>
      </c>
      <c r="I337" s="40" t="s">
        <v>469</v>
      </c>
      <c r="J337" s="39" t="s">
        <v>1680</v>
      </c>
      <c r="K337" s="40" t="s">
        <v>1675</v>
      </c>
      <c r="L337" s="41" t="s">
        <v>122</v>
      </c>
      <c r="M337" s="39" t="s">
        <v>1676</v>
      </c>
      <c r="N337" s="41" t="s">
        <v>95</v>
      </c>
      <c r="O337" s="42">
        <v>6</v>
      </c>
      <c r="P337" s="41" t="s">
        <v>46</v>
      </c>
      <c r="Q337" s="41" t="s">
        <v>66</v>
      </c>
      <c r="R337" s="41" t="s">
        <v>234</v>
      </c>
      <c r="S337" s="41" t="s">
        <v>234</v>
      </c>
      <c r="T337" s="41" t="s">
        <v>234</v>
      </c>
      <c r="U337" s="41" t="s">
        <v>234</v>
      </c>
      <c r="V337" s="41" t="s">
        <v>234</v>
      </c>
      <c r="W337" s="41" t="s">
        <v>234</v>
      </c>
      <c r="X337" s="43">
        <v>0</v>
      </c>
      <c r="Y337" s="41" t="s">
        <v>97</v>
      </c>
      <c r="Z337" s="41" t="s">
        <v>97</v>
      </c>
      <c r="AA337" s="41" t="s">
        <v>113</v>
      </c>
      <c r="AB337" s="39" t="s">
        <v>46</v>
      </c>
      <c r="AC337" s="44" t="s">
        <v>46</v>
      </c>
    </row>
    <row r="338" spans="1:29" x14ac:dyDescent="0.25">
      <c r="A338" s="45" t="s">
        <v>1681</v>
      </c>
      <c r="B338" s="46" t="s">
        <v>175</v>
      </c>
      <c r="C338" s="46" t="s">
        <v>174</v>
      </c>
      <c r="D338" s="47" t="s">
        <v>1671</v>
      </c>
      <c r="E338" s="47" t="s">
        <v>131</v>
      </c>
      <c r="F338" s="46" t="s">
        <v>1682</v>
      </c>
      <c r="G338" s="46" t="s">
        <v>1683</v>
      </c>
      <c r="H338" s="47" t="s">
        <v>126</v>
      </c>
      <c r="I338" s="47" t="s">
        <v>469</v>
      </c>
      <c r="J338" s="46" t="s">
        <v>1684</v>
      </c>
      <c r="K338" s="47" t="s">
        <v>1675</v>
      </c>
      <c r="L338" s="48" t="s">
        <v>122</v>
      </c>
      <c r="M338" s="46" t="s">
        <v>1676</v>
      </c>
      <c r="N338" s="48" t="s">
        <v>95</v>
      </c>
      <c r="O338" s="49">
        <v>5</v>
      </c>
      <c r="P338" s="48" t="s">
        <v>46</v>
      </c>
      <c r="Q338" s="41" t="s">
        <v>66</v>
      </c>
      <c r="R338" s="41" t="s">
        <v>234</v>
      </c>
      <c r="S338" s="41" t="s">
        <v>234</v>
      </c>
      <c r="T338" s="41" t="s">
        <v>234</v>
      </c>
      <c r="U338" s="41" t="s">
        <v>234</v>
      </c>
      <c r="V338" s="41" t="s">
        <v>234</v>
      </c>
      <c r="W338" s="41" t="s">
        <v>234</v>
      </c>
      <c r="X338" s="43">
        <v>0</v>
      </c>
      <c r="Y338" s="41" t="s">
        <v>97</v>
      </c>
      <c r="Z338" s="41" t="s">
        <v>97</v>
      </c>
      <c r="AA338" s="41" t="s">
        <v>113</v>
      </c>
      <c r="AB338" s="39" t="s">
        <v>46</v>
      </c>
      <c r="AC338" s="44" t="s">
        <v>46</v>
      </c>
    </row>
    <row r="339" spans="1:29" x14ac:dyDescent="0.25">
      <c r="A339" s="38" t="s">
        <v>1685</v>
      </c>
      <c r="B339" s="39" t="s">
        <v>175</v>
      </c>
      <c r="C339" s="39" t="s">
        <v>174</v>
      </c>
      <c r="D339" s="40" t="s">
        <v>1671</v>
      </c>
      <c r="E339" s="40" t="s">
        <v>124</v>
      </c>
      <c r="F339" s="39" t="s">
        <v>1686</v>
      </c>
      <c r="G339" s="39" t="s">
        <v>1687</v>
      </c>
      <c r="H339" s="40" t="s">
        <v>126</v>
      </c>
      <c r="I339" s="40" t="s">
        <v>325</v>
      </c>
      <c r="J339" s="39" t="s">
        <v>1688</v>
      </c>
      <c r="K339" s="40" t="s">
        <v>1675</v>
      </c>
      <c r="L339" s="41" t="s">
        <v>122</v>
      </c>
      <c r="M339" s="39" t="s">
        <v>1676</v>
      </c>
      <c r="N339" s="41" t="s">
        <v>95</v>
      </c>
      <c r="O339" s="42">
        <v>5</v>
      </c>
      <c r="P339" s="41" t="s">
        <v>46</v>
      </c>
      <c r="Q339" s="41" t="s">
        <v>66</v>
      </c>
      <c r="R339" s="41" t="s">
        <v>234</v>
      </c>
      <c r="S339" s="41" t="s">
        <v>234</v>
      </c>
      <c r="T339" s="41" t="s">
        <v>234</v>
      </c>
      <c r="U339" s="41" t="s">
        <v>234</v>
      </c>
      <c r="V339" s="41" t="s">
        <v>234</v>
      </c>
      <c r="W339" s="41" t="s">
        <v>234</v>
      </c>
      <c r="X339" s="43">
        <v>0</v>
      </c>
      <c r="Y339" s="41" t="s">
        <v>97</v>
      </c>
      <c r="Z339" s="41" t="s">
        <v>97</v>
      </c>
      <c r="AA339" s="41" t="s">
        <v>113</v>
      </c>
      <c r="AB339" s="39" t="s">
        <v>46</v>
      </c>
      <c r="AC339" s="44" t="s">
        <v>46</v>
      </c>
    </row>
    <row r="340" spans="1:29" x14ac:dyDescent="0.25">
      <c r="A340" s="45" t="s">
        <v>1689</v>
      </c>
      <c r="B340" s="46" t="s">
        <v>175</v>
      </c>
      <c r="C340" s="46" t="s">
        <v>174</v>
      </c>
      <c r="D340" s="47" t="s">
        <v>1671</v>
      </c>
      <c r="E340" s="47" t="s">
        <v>135</v>
      </c>
      <c r="F340" s="46" t="s">
        <v>1690</v>
      </c>
      <c r="G340" s="46" t="s">
        <v>1691</v>
      </c>
      <c r="H340" s="47" t="s">
        <v>123</v>
      </c>
      <c r="I340" s="47" t="s">
        <v>135</v>
      </c>
      <c r="J340" s="46" t="s">
        <v>1692</v>
      </c>
      <c r="K340" s="47" t="s">
        <v>1675</v>
      </c>
      <c r="L340" s="48" t="s">
        <v>122</v>
      </c>
      <c r="M340" s="46" t="s">
        <v>1676</v>
      </c>
      <c r="N340" s="48" t="s">
        <v>95</v>
      </c>
      <c r="O340" s="49">
        <v>8</v>
      </c>
      <c r="P340" s="48" t="s">
        <v>46</v>
      </c>
      <c r="Q340" s="41" t="s">
        <v>66</v>
      </c>
      <c r="R340" s="41" t="s">
        <v>234</v>
      </c>
      <c r="S340" s="41" t="s">
        <v>234</v>
      </c>
      <c r="T340" s="41" t="s">
        <v>234</v>
      </c>
      <c r="U340" s="41" t="s">
        <v>234</v>
      </c>
      <c r="V340" s="41" t="s">
        <v>234</v>
      </c>
      <c r="W340" s="41" t="s">
        <v>234</v>
      </c>
      <c r="X340" s="43">
        <v>0</v>
      </c>
      <c r="Y340" s="41" t="s">
        <v>97</v>
      </c>
      <c r="Z340" s="41" t="s">
        <v>97</v>
      </c>
      <c r="AA340" s="41" t="s">
        <v>113</v>
      </c>
      <c r="AB340" s="39" t="s">
        <v>46</v>
      </c>
      <c r="AC340" s="44" t="s">
        <v>46</v>
      </c>
    </row>
    <row r="341" spans="1:29" x14ac:dyDescent="0.25">
      <c r="A341" s="38" t="s">
        <v>1693</v>
      </c>
      <c r="B341" s="39" t="s">
        <v>175</v>
      </c>
      <c r="C341" s="39" t="s">
        <v>174</v>
      </c>
      <c r="D341" s="40" t="s">
        <v>1671</v>
      </c>
      <c r="E341" s="40" t="s">
        <v>56</v>
      </c>
      <c r="F341" s="39" t="s">
        <v>1694</v>
      </c>
      <c r="G341" s="39" t="s">
        <v>1695</v>
      </c>
      <c r="H341" s="40" t="s">
        <v>132</v>
      </c>
      <c r="I341" s="40" t="s">
        <v>522</v>
      </c>
      <c r="J341" s="39" t="s">
        <v>879</v>
      </c>
      <c r="K341" s="40" t="s">
        <v>1675</v>
      </c>
      <c r="L341" s="41" t="s">
        <v>122</v>
      </c>
      <c r="M341" s="39" t="s">
        <v>1676</v>
      </c>
      <c r="N341" s="41" t="s">
        <v>95</v>
      </c>
      <c r="O341" s="42">
        <v>5</v>
      </c>
      <c r="P341" s="41" t="s">
        <v>46</v>
      </c>
      <c r="Q341" s="41" t="s">
        <v>66</v>
      </c>
      <c r="R341" s="41" t="s">
        <v>234</v>
      </c>
      <c r="S341" s="41" t="s">
        <v>234</v>
      </c>
      <c r="T341" s="41" t="s">
        <v>234</v>
      </c>
      <c r="U341" s="41" t="s">
        <v>234</v>
      </c>
      <c r="V341" s="41" t="s">
        <v>234</v>
      </c>
      <c r="W341" s="41" t="s">
        <v>234</v>
      </c>
      <c r="X341" s="43">
        <v>0</v>
      </c>
      <c r="Y341" s="41" t="s">
        <v>97</v>
      </c>
      <c r="Z341" s="41" t="s">
        <v>97</v>
      </c>
      <c r="AA341" s="41" t="s">
        <v>113</v>
      </c>
      <c r="AB341" s="39" t="s">
        <v>46</v>
      </c>
      <c r="AC341" s="44" t="s">
        <v>46</v>
      </c>
    </row>
    <row r="342" spans="1:29" x14ac:dyDescent="0.25">
      <c r="A342" s="45" t="s">
        <v>1696</v>
      </c>
      <c r="B342" s="46" t="s">
        <v>175</v>
      </c>
      <c r="C342" s="46" t="s">
        <v>176</v>
      </c>
      <c r="D342" s="47" t="s">
        <v>1697</v>
      </c>
      <c r="E342" s="47" t="s">
        <v>398</v>
      </c>
      <c r="F342" s="46" t="s">
        <v>1698</v>
      </c>
      <c r="G342" s="46" t="s">
        <v>1699</v>
      </c>
      <c r="H342" s="47" t="s">
        <v>128</v>
      </c>
      <c r="I342" s="47" t="s">
        <v>401</v>
      </c>
      <c r="J342" s="46" t="s">
        <v>1700</v>
      </c>
      <c r="K342" s="47" t="s">
        <v>1701</v>
      </c>
      <c r="L342" s="48" t="s">
        <v>122</v>
      </c>
      <c r="M342" s="46" t="s">
        <v>1702</v>
      </c>
      <c r="N342" s="48" t="s">
        <v>95</v>
      </c>
      <c r="O342" s="49">
        <v>6</v>
      </c>
      <c r="P342" s="48" t="s">
        <v>46</v>
      </c>
      <c r="Q342" s="41" t="s">
        <v>66</v>
      </c>
      <c r="R342" s="41" t="s">
        <v>234</v>
      </c>
      <c r="S342" s="41" t="s">
        <v>234</v>
      </c>
      <c r="T342" s="41" t="s">
        <v>234</v>
      </c>
      <c r="U342" s="41" t="s">
        <v>234</v>
      </c>
      <c r="V342" s="41" t="s">
        <v>234</v>
      </c>
      <c r="W342" s="41" t="s">
        <v>234</v>
      </c>
      <c r="X342" s="43">
        <v>0</v>
      </c>
      <c r="Y342" s="41" t="s">
        <v>97</v>
      </c>
      <c r="Z342" s="41" t="s">
        <v>97</v>
      </c>
      <c r="AA342" s="41" t="s">
        <v>113</v>
      </c>
      <c r="AB342" s="39" t="s">
        <v>46</v>
      </c>
      <c r="AC342" s="44" t="s">
        <v>46</v>
      </c>
    </row>
    <row r="343" spans="1:29" x14ac:dyDescent="0.25">
      <c r="A343" s="38" t="s">
        <v>1703</v>
      </c>
      <c r="B343" s="39" t="s">
        <v>175</v>
      </c>
      <c r="C343" s="39" t="s">
        <v>176</v>
      </c>
      <c r="D343" s="40" t="s">
        <v>1697</v>
      </c>
      <c r="E343" s="40" t="s">
        <v>129</v>
      </c>
      <c r="F343" s="39" t="s">
        <v>1704</v>
      </c>
      <c r="G343" s="39" t="s">
        <v>1705</v>
      </c>
      <c r="H343" s="40" t="s">
        <v>126</v>
      </c>
      <c r="I343" s="40" t="s">
        <v>246</v>
      </c>
      <c r="J343" s="39" t="s">
        <v>1706</v>
      </c>
      <c r="K343" s="40" t="s">
        <v>1701</v>
      </c>
      <c r="L343" s="41" t="s">
        <v>122</v>
      </c>
      <c r="M343" s="39" t="s">
        <v>1702</v>
      </c>
      <c r="N343" s="41" t="s">
        <v>95</v>
      </c>
      <c r="O343" s="42">
        <v>8</v>
      </c>
      <c r="P343" s="41" t="s">
        <v>46</v>
      </c>
      <c r="Q343" s="41" t="s">
        <v>66</v>
      </c>
      <c r="R343" s="41" t="s">
        <v>234</v>
      </c>
      <c r="S343" s="41" t="s">
        <v>234</v>
      </c>
      <c r="T343" s="41" t="s">
        <v>234</v>
      </c>
      <c r="U343" s="41" t="s">
        <v>234</v>
      </c>
      <c r="V343" s="41" t="s">
        <v>234</v>
      </c>
      <c r="W343" s="41" t="s">
        <v>234</v>
      </c>
      <c r="X343" s="43">
        <v>0</v>
      </c>
      <c r="Y343" s="41" t="s">
        <v>97</v>
      </c>
      <c r="Z343" s="41" t="s">
        <v>97</v>
      </c>
      <c r="AA343" s="41" t="s">
        <v>113</v>
      </c>
      <c r="AB343" s="39" t="s">
        <v>46</v>
      </c>
      <c r="AC343" s="44" t="s">
        <v>46</v>
      </c>
    </row>
    <row r="344" spans="1:29" x14ac:dyDescent="0.25">
      <c r="A344" s="45" t="s">
        <v>1707</v>
      </c>
      <c r="B344" s="46" t="s">
        <v>175</v>
      </c>
      <c r="C344" s="46" t="s">
        <v>176</v>
      </c>
      <c r="D344" s="47" t="s">
        <v>1697</v>
      </c>
      <c r="E344" s="47" t="s">
        <v>129</v>
      </c>
      <c r="F344" s="46" t="s">
        <v>1708</v>
      </c>
      <c r="G344" s="46" t="s">
        <v>1709</v>
      </c>
      <c r="H344" s="47" t="s">
        <v>126</v>
      </c>
      <c r="I344" s="47" t="s">
        <v>325</v>
      </c>
      <c r="J344" s="46" t="s">
        <v>1710</v>
      </c>
      <c r="K344" s="47" t="s">
        <v>1701</v>
      </c>
      <c r="L344" s="48" t="s">
        <v>122</v>
      </c>
      <c r="M344" s="46" t="s">
        <v>1702</v>
      </c>
      <c r="N344" s="48" t="s">
        <v>95</v>
      </c>
      <c r="O344" s="49">
        <v>8</v>
      </c>
      <c r="P344" s="48" t="s">
        <v>46</v>
      </c>
      <c r="Q344" s="41" t="s">
        <v>66</v>
      </c>
      <c r="R344" s="41" t="s">
        <v>234</v>
      </c>
      <c r="S344" s="41" t="s">
        <v>234</v>
      </c>
      <c r="T344" s="41" t="s">
        <v>234</v>
      </c>
      <c r="U344" s="41" t="s">
        <v>234</v>
      </c>
      <c r="V344" s="41" t="s">
        <v>234</v>
      </c>
      <c r="W344" s="41" t="s">
        <v>234</v>
      </c>
      <c r="X344" s="43">
        <v>0</v>
      </c>
      <c r="Y344" s="41" t="s">
        <v>97</v>
      </c>
      <c r="Z344" s="41" t="s">
        <v>97</v>
      </c>
      <c r="AA344" s="41" t="s">
        <v>113</v>
      </c>
      <c r="AB344" s="39" t="s">
        <v>46</v>
      </c>
      <c r="AC344" s="44" t="s">
        <v>46</v>
      </c>
    </row>
    <row r="345" spans="1:29" x14ac:dyDescent="0.25">
      <c r="A345" s="38" t="s">
        <v>1711</v>
      </c>
      <c r="B345" s="39" t="s">
        <v>175</v>
      </c>
      <c r="C345" s="39" t="s">
        <v>176</v>
      </c>
      <c r="D345" s="40" t="s">
        <v>1697</v>
      </c>
      <c r="E345" s="40" t="s">
        <v>129</v>
      </c>
      <c r="F345" s="39" t="s">
        <v>1712</v>
      </c>
      <c r="G345" s="39" t="s">
        <v>1713</v>
      </c>
      <c r="H345" s="40" t="s">
        <v>126</v>
      </c>
      <c r="I345" s="40" t="s">
        <v>325</v>
      </c>
      <c r="J345" s="39" t="s">
        <v>1714</v>
      </c>
      <c r="K345" s="40" t="s">
        <v>1701</v>
      </c>
      <c r="L345" s="41" t="s">
        <v>122</v>
      </c>
      <c r="M345" s="39" t="s">
        <v>1702</v>
      </c>
      <c r="N345" s="41" t="s">
        <v>95</v>
      </c>
      <c r="O345" s="42">
        <v>8</v>
      </c>
      <c r="P345" s="41" t="s">
        <v>46</v>
      </c>
      <c r="Q345" s="41" t="s">
        <v>66</v>
      </c>
      <c r="R345" s="41" t="s">
        <v>234</v>
      </c>
      <c r="S345" s="41" t="s">
        <v>234</v>
      </c>
      <c r="T345" s="41" t="s">
        <v>234</v>
      </c>
      <c r="U345" s="41" t="s">
        <v>234</v>
      </c>
      <c r="V345" s="41" t="s">
        <v>234</v>
      </c>
      <c r="W345" s="41" t="s">
        <v>234</v>
      </c>
      <c r="X345" s="43">
        <v>0</v>
      </c>
      <c r="Y345" s="41" t="s">
        <v>97</v>
      </c>
      <c r="Z345" s="41" t="s">
        <v>97</v>
      </c>
      <c r="AA345" s="41" t="s">
        <v>113</v>
      </c>
      <c r="AB345" s="39" t="s">
        <v>46</v>
      </c>
      <c r="AC345" s="44" t="s">
        <v>46</v>
      </c>
    </row>
    <row r="346" spans="1:29" x14ac:dyDescent="0.25">
      <c r="A346" s="45" t="s">
        <v>1715</v>
      </c>
      <c r="B346" s="46" t="s">
        <v>175</v>
      </c>
      <c r="C346" s="46" t="s">
        <v>176</v>
      </c>
      <c r="D346" s="47" t="s">
        <v>1697</v>
      </c>
      <c r="E346" s="47" t="s">
        <v>129</v>
      </c>
      <c r="F346" s="46" t="s">
        <v>1716</v>
      </c>
      <c r="G346" s="46" t="s">
        <v>1717</v>
      </c>
      <c r="H346" s="47" t="s">
        <v>126</v>
      </c>
      <c r="I346" s="47" t="s">
        <v>351</v>
      </c>
      <c r="J346" s="46" t="s">
        <v>1718</v>
      </c>
      <c r="K346" s="47" t="s">
        <v>1701</v>
      </c>
      <c r="L346" s="48" t="s">
        <v>122</v>
      </c>
      <c r="M346" s="46" t="s">
        <v>1702</v>
      </c>
      <c r="N346" s="48" t="s">
        <v>95</v>
      </c>
      <c r="O346" s="49">
        <v>6</v>
      </c>
      <c r="P346" s="48" t="s">
        <v>46</v>
      </c>
      <c r="Q346" s="41" t="s">
        <v>66</v>
      </c>
      <c r="R346" s="41" t="s">
        <v>234</v>
      </c>
      <c r="S346" s="41" t="s">
        <v>234</v>
      </c>
      <c r="T346" s="41" t="s">
        <v>234</v>
      </c>
      <c r="U346" s="41" t="s">
        <v>234</v>
      </c>
      <c r="V346" s="41" t="s">
        <v>234</v>
      </c>
      <c r="W346" s="41" t="s">
        <v>234</v>
      </c>
      <c r="X346" s="43">
        <v>0</v>
      </c>
      <c r="Y346" s="41" t="s">
        <v>97</v>
      </c>
      <c r="Z346" s="41" t="s">
        <v>97</v>
      </c>
      <c r="AA346" s="41" t="s">
        <v>113</v>
      </c>
      <c r="AB346" s="39" t="s">
        <v>46</v>
      </c>
      <c r="AC346" s="44" t="s">
        <v>46</v>
      </c>
    </row>
    <row r="347" spans="1:29" x14ac:dyDescent="0.25">
      <c r="A347" s="38" t="s">
        <v>1719</v>
      </c>
      <c r="B347" s="39" t="s">
        <v>175</v>
      </c>
      <c r="C347" s="39" t="s">
        <v>176</v>
      </c>
      <c r="D347" s="40" t="s">
        <v>1697</v>
      </c>
      <c r="E347" s="40" t="s">
        <v>129</v>
      </c>
      <c r="F347" s="39" t="s">
        <v>1720</v>
      </c>
      <c r="G347" s="39" t="s">
        <v>1721</v>
      </c>
      <c r="H347" s="40" t="s">
        <v>126</v>
      </c>
      <c r="I347" s="40" t="s">
        <v>351</v>
      </c>
      <c r="J347" s="39" t="s">
        <v>1722</v>
      </c>
      <c r="K347" s="40" t="s">
        <v>1701</v>
      </c>
      <c r="L347" s="41" t="s">
        <v>122</v>
      </c>
      <c r="M347" s="39" t="s">
        <v>1702</v>
      </c>
      <c r="N347" s="41" t="s">
        <v>95</v>
      </c>
      <c r="O347" s="42">
        <v>8</v>
      </c>
      <c r="P347" s="41" t="s">
        <v>46</v>
      </c>
      <c r="Q347" s="41" t="s">
        <v>66</v>
      </c>
      <c r="R347" s="41" t="s">
        <v>234</v>
      </c>
      <c r="S347" s="41" t="s">
        <v>234</v>
      </c>
      <c r="T347" s="41" t="s">
        <v>234</v>
      </c>
      <c r="U347" s="41" t="s">
        <v>234</v>
      </c>
      <c r="V347" s="41" t="s">
        <v>234</v>
      </c>
      <c r="W347" s="41" t="s">
        <v>234</v>
      </c>
      <c r="X347" s="43">
        <v>0</v>
      </c>
      <c r="Y347" s="41" t="s">
        <v>97</v>
      </c>
      <c r="Z347" s="41" t="s">
        <v>97</v>
      </c>
      <c r="AA347" s="41" t="s">
        <v>113</v>
      </c>
      <c r="AB347" s="39" t="s">
        <v>46</v>
      </c>
      <c r="AC347" s="44" t="s">
        <v>46</v>
      </c>
    </row>
    <row r="348" spans="1:29" x14ac:dyDescent="0.25">
      <c r="A348" s="45" t="s">
        <v>1723</v>
      </c>
      <c r="B348" s="46" t="s">
        <v>175</v>
      </c>
      <c r="C348" s="46" t="s">
        <v>176</v>
      </c>
      <c r="D348" s="47" t="s">
        <v>1697</v>
      </c>
      <c r="E348" s="47" t="s">
        <v>129</v>
      </c>
      <c r="F348" s="46" t="s">
        <v>1724</v>
      </c>
      <c r="G348" s="46" t="s">
        <v>1725</v>
      </c>
      <c r="H348" s="47" t="s">
        <v>126</v>
      </c>
      <c r="I348" s="47" t="s">
        <v>325</v>
      </c>
      <c r="J348" s="46" t="s">
        <v>1726</v>
      </c>
      <c r="K348" s="47" t="s">
        <v>1701</v>
      </c>
      <c r="L348" s="48" t="s">
        <v>122</v>
      </c>
      <c r="M348" s="46" t="s">
        <v>1702</v>
      </c>
      <c r="N348" s="48" t="s">
        <v>95</v>
      </c>
      <c r="O348" s="49">
        <v>5</v>
      </c>
      <c r="P348" s="48" t="s">
        <v>46</v>
      </c>
      <c r="Q348" s="41" t="s">
        <v>66</v>
      </c>
      <c r="R348" s="41" t="s">
        <v>234</v>
      </c>
      <c r="S348" s="41" t="s">
        <v>234</v>
      </c>
      <c r="T348" s="41" t="s">
        <v>234</v>
      </c>
      <c r="U348" s="41" t="s">
        <v>234</v>
      </c>
      <c r="V348" s="41" t="s">
        <v>234</v>
      </c>
      <c r="W348" s="41" t="s">
        <v>234</v>
      </c>
      <c r="X348" s="43">
        <v>0</v>
      </c>
      <c r="Y348" s="41" t="s">
        <v>97</v>
      </c>
      <c r="Z348" s="41" t="s">
        <v>97</v>
      </c>
      <c r="AA348" s="41" t="s">
        <v>113</v>
      </c>
      <c r="AB348" s="39" t="s">
        <v>46</v>
      </c>
      <c r="AC348" s="44" t="s">
        <v>46</v>
      </c>
    </row>
    <row r="349" spans="1:29" x14ac:dyDescent="0.25">
      <c r="A349" s="38" t="s">
        <v>1727</v>
      </c>
      <c r="B349" s="39" t="s">
        <v>175</v>
      </c>
      <c r="C349" s="39" t="s">
        <v>176</v>
      </c>
      <c r="D349" s="40" t="s">
        <v>1697</v>
      </c>
      <c r="E349" s="40" t="s">
        <v>129</v>
      </c>
      <c r="F349" s="39" t="s">
        <v>1728</v>
      </c>
      <c r="G349" s="39" t="s">
        <v>1729</v>
      </c>
      <c r="H349" s="40" t="s">
        <v>126</v>
      </c>
      <c r="I349" s="40" t="s">
        <v>325</v>
      </c>
      <c r="J349" s="39" t="s">
        <v>1730</v>
      </c>
      <c r="K349" s="40" t="s">
        <v>1701</v>
      </c>
      <c r="L349" s="41" t="s">
        <v>122</v>
      </c>
      <c r="M349" s="39" t="s">
        <v>1702</v>
      </c>
      <c r="N349" s="41" t="s">
        <v>95</v>
      </c>
      <c r="O349" s="42">
        <v>6</v>
      </c>
      <c r="P349" s="41" t="s">
        <v>46</v>
      </c>
      <c r="Q349" s="41" t="s">
        <v>66</v>
      </c>
      <c r="R349" s="41" t="s">
        <v>234</v>
      </c>
      <c r="S349" s="41" t="s">
        <v>234</v>
      </c>
      <c r="T349" s="41" t="s">
        <v>234</v>
      </c>
      <c r="U349" s="41" t="s">
        <v>234</v>
      </c>
      <c r="V349" s="41" t="s">
        <v>234</v>
      </c>
      <c r="W349" s="41" t="s">
        <v>234</v>
      </c>
      <c r="X349" s="43">
        <v>0</v>
      </c>
      <c r="Y349" s="41" t="s">
        <v>97</v>
      </c>
      <c r="Z349" s="41" t="s">
        <v>97</v>
      </c>
      <c r="AA349" s="41" t="s">
        <v>113</v>
      </c>
      <c r="AB349" s="39" t="s">
        <v>46</v>
      </c>
      <c r="AC349" s="44" t="s">
        <v>46</v>
      </c>
    </row>
    <row r="350" spans="1:29" x14ac:dyDescent="0.25">
      <c r="A350" s="45" t="s">
        <v>1731</v>
      </c>
      <c r="B350" s="46" t="s">
        <v>175</v>
      </c>
      <c r="C350" s="46" t="s">
        <v>176</v>
      </c>
      <c r="D350" s="47" t="s">
        <v>1697</v>
      </c>
      <c r="E350" s="47" t="s">
        <v>129</v>
      </c>
      <c r="F350" s="46" t="s">
        <v>1732</v>
      </c>
      <c r="G350" s="46" t="s">
        <v>1733</v>
      </c>
      <c r="H350" s="47" t="s">
        <v>126</v>
      </c>
      <c r="I350" s="47" t="s">
        <v>325</v>
      </c>
      <c r="J350" s="46" t="s">
        <v>1734</v>
      </c>
      <c r="K350" s="47" t="s">
        <v>1701</v>
      </c>
      <c r="L350" s="48" t="s">
        <v>122</v>
      </c>
      <c r="M350" s="46" t="s">
        <v>1702</v>
      </c>
      <c r="N350" s="48" t="s">
        <v>95</v>
      </c>
      <c r="O350" s="49">
        <v>5</v>
      </c>
      <c r="P350" s="48" t="s">
        <v>46</v>
      </c>
      <c r="Q350" s="41" t="s">
        <v>66</v>
      </c>
      <c r="R350" s="41" t="s">
        <v>234</v>
      </c>
      <c r="S350" s="41" t="s">
        <v>234</v>
      </c>
      <c r="T350" s="41" t="s">
        <v>234</v>
      </c>
      <c r="U350" s="41" t="s">
        <v>234</v>
      </c>
      <c r="V350" s="41" t="s">
        <v>234</v>
      </c>
      <c r="W350" s="41" t="s">
        <v>234</v>
      </c>
      <c r="X350" s="43">
        <v>0</v>
      </c>
      <c r="Y350" s="41" t="s">
        <v>97</v>
      </c>
      <c r="Z350" s="41" t="s">
        <v>97</v>
      </c>
      <c r="AA350" s="41" t="s">
        <v>113</v>
      </c>
      <c r="AB350" s="39" t="s">
        <v>46</v>
      </c>
      <c r="AC350" s="44" t="s">
        <v>46</v>
      </c>
    </row>
    <row r="351" spans="1:29" x14ac:dyDescent="0.25">
      <c r="A351" s="38" t="s">
        <v>1735</v>
      </c>
      <c r="B351" s="39" t="s">
        <v>175</v>
      </c>
      <c r="C351" s="39" t="s">
        <v>176</v>
      </c>
      <c r="D351" s="40" t="s">
        <v>1697</v>
      </c>
      <c r="E351" s="40" t="s">
        <v>136</v>
      </c>
      <c r="F351" s="39" t="s">
        <v>1736</v>
      </c>
      <c r="G351" s="39" t="s">
        <v>1737</v>
      </c>
      <c r="H351" s="40" t="s">
        <v>126</v>
      </c>
      <c r="I351" s="40" t="s">
        <v>351</v>
      </c>
      <c r="J351" s="39" t="s">
        <v>1738</v>
      </c>
      <c r="K351" s="40" t="s">
        <v>1701</v>
      </c>
      <c r="L351" s="41" t="s">
        <v>122</v>
      </c>
      <c r="M351" s="39" t="s">
        <v>1702</v>
      </c>
      <c r="N351" s="41" t="s">
        <v>95</v>
      </c>
      <c r="O351" s="42">
        <v>8</v>
      </c>
      <c r="P351" s="41" t="s">
        <v>46</v>
      </c>
      <c r="Q351" s="41" t="s">
        <v>66</v>
      </c>
      <c r="R351" s="41" t="s">
        <v>234</v>
      </c>
      <c r="S351" s="41" t="s">
        <v>234</v>
      </c>
      <c r="T351" s="41" t="s">
        <v>234</v>
      </c>
      <c r="U351" s="41" t="s">
        <v>234</v>
      </c>
      <c r="V351" s="41" t="s">
        <v>234</v>
      </c>
      <c r="W351" s="41" t="s">
        <v>234</v>
      </c>
      <c r="X351" s="43">
        <v>0</v>
      </c>
      <c r="Y351" s="41" t="s">
        <v>97</v>
      </c>
      <c r="Z351" s="41" t="s">
        <v>97</v>
      </c>
      <c r="AA351" s="41" t="s">
        <v>113</v>
      </c>
      <c r="AB351" s="39" t="s">
        <v>46</v>
      </c>
      <c r="AC351" s="44" t="s">
        <v>46</v>
      </c>
    </row>
    <row r="352" spans="1:29" x14ac:dyDescent="0.25">
      <c r="A352" s="45" t="s">
        <v>1739</v>
      </c>
      <c r="B352" s="46" t="s">
        <v>175</v>
      </c>
      <c r="C352" s="46" t="s">
        <v>176</v>
      </c>
      <c r="D352" s="47" t="s">
        <v>1697</v>
      </c>
      <c r="E352" s="47" t="s">
        <v>56</v>
      </c>
      <c r="F352" s="46" t="s">
        <v>1740</v>
      </c>
      <c r="G352" s="46" t="s">
        <v>1741</v>
      </c>
      <c r="H352" s="47" t="s">
        <v>132</v>
      </c>
      <c r="I352" s="47" t="s">
        <v>522</v>
      </c>
      <c r="J352" s="46" t="s">
        <v>1742</v>
      </c>
      <c r="K352" s="47" t="s">
        <v>1701</v>
      </c>
      <c r="L352" s="48" t="s">
        <v>122</v>
      </c>
      <c r="M352" s="46" t="s">
        <v>1702</v>
      </c>
      <c r="N352" s="48" t="s">
        <v>95</v>
      </c>
      <c r="O352" s="49">
        <v>12</v>
      </c>
      <c r="P352" s="48" t="s">
        <v>46</v>
      </c>
      <c r="Q352" s="41" t="s">
        <v>66</v>
      </c>
      <c r="R352" s="41" t="s">
        <v>234</v>
      </c>
      <c r="S352" s="41" t="s">
        <v>234</v>
      </c>
      <c r="T352" s="41" t="s">
        <v>234</v>
      </c>
      <c r="U352" s="41" t="s">
        <v>234</v>
      </c>
      <c r="V352" s="41" t="s">
        <v>234</v>
      </c>
      <c r="W352" s="41" t="s">
        <v>234</v>
      </c>
      <c r="X352" s="43">
        <v>0</v>
      </c>
      <c r="Y352" s="41" t="s">
        <v>97</v>
      </c>
      <c r="Z352" s="41" t="s">
        <v>97</v>
      </c>
      <c r="AA352" s="41" t="s">
        <v>113</v>
      </c>
      <c r="AB352" s="39" t="s">
        <v>46</v>
      </c>
      <c r="AC352" s="44" t="s">
        <v>46</v>
      </c>
    </row>
    <row r="353" spans="1:29" x14ac:dyDescent="0.25">
      <c r="A353" s="38" t="s">
        <v>1743</v>
      </c>
      <c r="B353" s="39" t="s">
        <v>175</v>
      </c>
      <c r="C353" s="39" t="s">
        <v>177</v>
      </c>
      <c r="D353" s="40" t="s">
        <v>1744</v>
      </c>
      <c r="E353" s="40" t="s">
        <v>129</v>
      </c>
      <c r="F353" s="39" t="s">
        <v>1745</v>
      </c>
      <c r="G353" s="39" t="s">
        <v>1746</v>
      </c>
      <c r="H353" s="40" t="s">
        <v>126</v>
      </c>
      <c r="I353" s="40" t="s">
        <v>469</v>
      </c>
      <c r="J353" s="39" t="s">
        <v>1747</v>
      </c>
      <c r="K353" s="40" t="s">
        <v>1748</v>
      </c>
      <c r="L353" s="41" t="s">
        <v>122</v>
      </c>
      <c r="M353" s="39" t="s">
        <v>1749</v>
      </c>
      <c r="N353" s="41" t="s">
        <v>95</v>
      </c>
      <c r="O353" s="42">
        <v>10</v>
      </c>
      <c r="P353" s="41" t="s">
        <v>46</v>
      </c>
      <c r="Q353" s="41" t="s">
        <v>66</v>
      </c>
      <c r="R353" s="41" t="s">
        <v>234</v>
      </c>
      <c r="S353" s="41" t="s">
        <v>234</v>
      </c>
      <c r="T353" s="41" t="s">
        <v>234</v>
      </c>
      <c r="U353" s="41" t="s">
        <v>234</v>
      </c>
      <c r="V353" s="41" t="s">
        <v>234</v>
      </c>
      <c r="W353" s="41" t="s">
        <v>234</v>
      </c>
      <c r="X353" s="43">
        <v>0</v>
      </c>
      <c r="Y353" s="41" t="s">
        <v>97</v>
      </c>
      <c r="Z353" s="41" t="s">
        <v>97</v>
      </c>
      <c r="AA353" s="41" t="s">
        <v>113</v>
      </c>
      <c r="AB353" s="39" t="s">
        <v>46</v>
      </c>
      <c r="AC353" s="44" t="s">
        <v>46</v>
      </c>
    </row>
    <row r="354" spans="1:29" x14ac:dyDescent="0.25">
      <c r="A354" s="45" t="s">
        <v>1750</v>
      </c>
      <c r="B354" s="46" t="s">
        <v>175</v>
      </c>
      <c r="C354" s="46" t="s">
        <v>177</v>
      </c>
      <c r="D354" s="47" t="s">
        <v>1744</v>
      </c>
      <c r="E354" s="47" t="s">
        <v>136</v>
      </c>
      <c r="F354" s="46" t="s">
        <v>1751</v>
      </c>
      <c r="G354" s="46" t="s">
        <v>1752</v>
      </c>
      <c r="H354" s="47" t="s">
        <v>126</v>
      </c>
      <c r="I354" s="47" t="s">
        <v>469</v>
      </c>
      <c r="J354" s="46" t="s">
        <v>1753</v>
      </c>
      <c r="K354" s="47" t="s">
        <v>1748</v>
      </c>
      <c r="L354" s="48" t="s">
        <v>122</v>
      </c>
      <c r="M354" s="46" t="s">
        <v>1749</v>
      </c>
      <c r="N354" s="48" t="s">
        <v>95</v>
      </c>
      <c r="O354" s="49">
        <v>8</v>
      </c>
      <c r="P354" s="48" t="s">
        <v>46</v>
      </c>
      <c r="Q354" s="41" t="s">
        <v>66</v>
      </c>
      <c r="R354" s="41" t="s">
        <v>234</v>
      </c>
      <c r="S354" s="41" t="s">
        <v>234</v>
      </c>
      <c r="T354" s="41" t="s">
        <v>234</v>
      </c>
      <c r="U354" s="41" t="s">
        <v>234</v>
      </c>
      <c r="V354" s="41" t="s">
        <v>234</v>
      </c>
      <c r="W354" s="41" t="s">
        <v>234</v>
      </c>
      <c r="X354" s="43">
        <v>0</v>
      </c>
      <c r="Y354" s="41" t="s">
        <v>97</v>
      </c>
      <c r="Z354" s="41" t="s">
        <v>97</v>
      </c>
      <c r="AA354" s="41" t="s">
        <v>113</v>
      </c>
      <c r="AB354" s="39" t="s">
        <v>46</v>
      </c>
      <c r="AC354" s="44" t="s">
        <v>46</v>
      </c>
    </row>
    <row r="355" spans="1:29" x14ac:dyDescent="0.25">
      <c r="A355" s="38" t="s">
        <v>1754</v>
      </c>
      <c r="B355" s="39" t="s">
        <v>175</v>
      </c>
      <c r="C355" s="39" t="s">
        <v>177</v>
      </c>
      <c r="D355" s="40" t="s">
        <v>1744</v>
      </c>
      <c r="E355" s="40" t="s">
        <v>136</v>
      </c>
      <c r="F355" s="39" t="s">
        <v>1755</v>
      </c>
      <c r="G355" s="39" t="s">
        <v>1756</v>
      </c>
      <c r="H355" s="40" t="s">
        <v>132</v>
      </c>
      <c r="I355" s="40" t="s">
        <v>469</v>
      </c>
      <c r="J355" s="39" t="s">
        <v>1757</v>
      </c>
      <c r="K355" s="40" t="s">
        <v>1748</v>
      </c>
      <c r="L355" s="41" t="s">
        <v>122</v>
      </c>
      <c r="M355" s="39" t="s">
        <v>1749</v>
      </c>
      <c r="N355" s="41" t="s">
        <v>95</v>
      </c>
      <c r="O355" s="42">
        <v>8</v>
      </c>
      <c r="P355" s="41" t="s">
        <v>46</v>
      </c>
      <c r="Q355" s="41" t="s">
        <v>66</v>
      </c>
      <c r="R355" s="41" t="s">
        <v>234</v>
      </c>
      <c r="S355" s="41" t="s">
        <v>234</v>
      </c>
      <c r="T355" s="41" t="s">
        <v>234</v>
      </c>
      <c r="U355" s="41" t="s">
        <v>234</v>
      </c>
      <c r="V355" s="41" t="s">
        <v>234</v>
      </c>
      <c r="W355" s="41" t="s">
        <v>234</v>
      </c>
      <c r="X355" s="43">
        <v>0</v>
      </c>
      <c r="Y355" s="41" t="s">
        <v>97</v>
      </c>
      <c r="Z355" s="41" t="s">
        <v>97</v>
      </c>
      <c r="AA355" s="41" t="s">
        <v>113</v>
      </c>
      <c r="AB355" s="39" t="s">
        <v>46</v>
      </c>
      <c r="AC355" s="44" t="s">
        <v>46</v>
      </c>
    </row>
    <row r="356" spans="1:29" x14ac:dyDescent="0.25">
      <c r="A356" s="45" t="s">
        <v>1758</v>
      </c>
      <c r="B356" s="46" t="s">
        <v>175</v>
      </c>
      <c r="C356" s="46" t="s">
        <v>177</v>
      </c>
      <c r="D356" s="47" t="s">
        <v>1744</v>
      </c>
      <c r="E356" s="47" t="s">
        <v>289</v>
      </c>
      <c r="F356" s="46" t="s">
        <v>1759</v>
      </c>
      <c r="G356" s="46" t="s">
        <v>1760</v>
      </c>
      <c r="H356" s="47" t="s">
        <v>123</v>
      </c>
      <c r="I356" s="47" t="s">
        <v>135</v>
      </c>
      <c r="J356" s="46" t="s">
        <v>1761</v>
      </c>
      <c r="K356" s="47" t="s">
        <v>1748</v>
      </c>
      <c r="L356" s="48" t="s">
        <v>122</v>
      </c>
      <c r="M356" s="46" t="s">
        <v>1749</v>
      </c>
      <c r="N356" s="48" t="s">
        <v>95</v>
      </c>
      <c r="O356" s="49">
        <v>8</v>
      </c>
      <c r="P356" s="48" t="s">
        <v>46</v>
      </c>
      <c r="Q356" s="41" t="s">
        <v>66</v>
      </c>
      <c r="R356" s="41" t="s">
        <v>234</v>
      </c>
      <c r="S356" s="41" t="s">
        <v>234</v>
      </c>
      <c r="T356" s="41" t="s">
        <v>234</v>
      </c>
      <c r="U356" s="41" t="s">
        <v>234</v>
      </c>
      <c r="V356" s="41" t="s">
        <v>234</v>
      </c>
      <c r="W356" s="41" t="s">
        <v>234</v>
      </c>
      <c r="X356" s="43">
        <v>0</v>
      </c>
      <c r="Y356" s="41" t="s">
        <v>97</v>
      </c>
      <c r="Z356" s="41" t="s">
        <v>97</v>
      </c>
      <c r="AA356" s="41" t="s">
        <v>113</v>
      </c>
      <c r="AB356" s="39" t="s">
        <v>46</v>
      </c>
      <c r="AC356" s="44" t="s">
        <v>46</v>
      </c>
    </row>
    <row r="357" spans="1:29" x14ac:dyDescent="0.25">
      <c r="A357" s="38" t="s">
        <v>1762</v>
      </c>
      <c r="B357" s="39" t="s">
        <v>175</v>
      </c>
      <c r="C357" s="39" t="s">
        <v>177</v>
      </c>
      <c r="D357" s="40" t="s">
        <v>1744</v>
      </c>
      <c r="E357" s="40" t="s">
        <v>129</v>
      </c>
      <c r="F357" s="39" t="s">
        <v>1763</v>
      </c>
      <c r="G357" s="39" t="s">
        <v>1764</v>
      </c>
      <c r="H357" s="40" t="s">
        <v>123</v>
      </c>
      <c r="I357" s="40" t="s">
        <v>135</v>
      </c>
      <c r="J357" s="39" t="s">
        <v>1765</v>
      </c>
      <c r="K357" s="40" t="s">
        <v>1748</v>
      </c>
      <c r="L357" s="41" t="s">
        <v>122</v>
      </c>
      <c r="M357" s="39" t="s">
        <v>1749</v>
      </c>
      <c r="N357" s="41" t="s">
        <v>95</v>
      </c>
      <c r="O357" s="42">
        <v>6</v>
      </c>
      <c r="P357" s="41" t="s">
        <v>46</v>
      </c>
      <c r="Q357" s="41" t="s">
        <v>66</v>
      </c>
      <c r="R357" s="41" t="s">
        <v>234</v>
      </c>
      <c r="S357" s="41" t="s">
        <v>234</v>
      </c>
      <c r="T357" s="41" t="s">
        <v>234</v>
      </c>
      <c r="U357" s="41" t="s">
        <v>234</v>
      </c>
      <c r="V357" s="41" t="s">
        <v>234</v>
      </c>
      <c r="W357" s="41" t="s">
        <v>234</v>
      </c>
      <c r="X357" s="43">
        <v>0</v>
      </c>
      <c r="Y357" s="41" t="s">
        <v>97</v>
      </c>
      <c r="Z357" s="41" t="s">
        <v>97</v>
      </c>
      <c r="AA357" s="41" t="s">
        <v>113</v>
      </c>
      <c r="AB357" s="39" t="s">
        <v>46</v>
      </c>
      <c r="AC357" s="44" t="s">
        <v>46</v>
      </c>
    </row>
    <row r="358" spans="1:29" x14ac:dyDescent="0.25">
      <c r="A358" s="45" t="s">
        <v>1766</v>
      </c>
      <c r="B358" s="46" t="s">
        <v>175</v>
      </c>
      <c r="C358" s="46" t="s">
        <v>177</v>
      </c>
      <c r="D358" s="47" t="s">
        <v>1744</v>
      </c>
      <c r="E358" s="47" t="s">
        <v>289</v>
      </c>
      <c r="F358" s="46" t="s">
        <v>1767</v>
      </c>
      <c r="G358" s="46" t="s">
        <v>1768</v>
      </c>
      <c r="H358" s="47" t="s">
        <v>123</v>
      </c>
      <c r="I358" s="47" t="s">
        <v>135</v>
      </c>
      <c r="J358" s="46" t="s">
        <v>1769</v>
      </c>
      <c r="K358" s="47" t="s">
        <v>1748</v>
      </c>
      <c r="L358" s="48" t="s">
        <v>122</v>
      </c>
      <c r="M358" s="46" t="s">
        <v>1749</v>
      </c>
      <c r="N358" s="48" t="s">
        <v>95</v>
      </c>
      <c r="O358" s="49">
        <v>6</v>
      </c>
      <c r="P358" s="48" t="s">
        <v>46</v>
      </c>
      <c r="Q358" s="41" t="s">
        <v>66</v>
      </c>
      <c r="R358" s="41" t="s">
        <v>234</v>
      </c>
      <c r="S358" s="41" t="s">
        <v>234</v>
      </c>
      <c r="T358" s="41" t="s">
        <v>234</v>
      </c>
      <c r="U358" s="41" t="s">
        <v>234</v>
      </c>
      <c r="V358" s="41" t="s">
        <v>234</v>
      </c>
      <c r="W358" s="41" t="s">
        <v>234</v>
      </c>
      <c r="X358" s="43">
        <v>0</v>
      </c>
      <c r="Y358" s="41" t="s">
        <v>97</v>
      </c>
      <c r="Z358" s="41" t="s">
        <v>97</v>
      </c>
      <c r="AA358" s="41" t="s">
        <v>113</v>
      </c>
      <c r="AB358" s="39" t="s">
        <v>46</v>
      </c>
      <c r="AC358" s="44" t="s">
        <v>46</v>
      </c>
    </row>
    <row r="359" spans="1:29" x14ac:dyDescent="0.25">
      <c r="A359" s="38" t="s">
        <v>1770</v>
      </c>
      <c r="B359" s="39" t="s">
        <v>175</v>
      </c>
      <c r="C359" s="39" t="s">
        <v>177</v>
      </c>
      <c r="D359" s="40" t="s">
        <v>1744</v>
      </c>
      <c r="E359" s="40" t="s">
        <v>135</v>
      </c>
      <c r="F359" s="39" t="s">
        <v>1771</v>
      </c>
      <c r="G359" s="39" t="s">
        <v>1772</v>
      </c>
      <c r="H359" s="40" t="s">
        <v>123</v>
      </c>
      <c r="I359" s="40" t="s">
        <v>135</v>
      </c>
      <c r="J359" s="39" t="s">
        <v>1773</v>
      </c>
      <c r="K359" s="40" t="s">
        <v>1748</v>
      </c>
      <c r="L359" s="41" t="s">
        <v>122</v>
      </c>
      <c r="M359" s="39" t="s">
        <v>1749</v>
      </c>
      <c r="N359" s="41" t="s">
        <v>95</v>
      </c>
      <c r="O359" s="42">
        <v>10</v>
      </c>
      <c r="P359" s="41" t="s">
        <v>46</v>
      </c>
      <c r="Q359" s="41" t="s">
        <v>66</v>
      </c>
      <c r="R359" s="41" t="s">
        <v>234</v>
      </c>
      <c r="S359" s="41" t="s">
        <v>234</v>
      </c>
      <c r="T359" s="41" t="s">
        <v>234</v>
      </c>
      <c r="U359" s="41" t="s">
        <v>234</v>
      </c>
      <c r="V359" s="41" t="s">
        <v>234</v>
      </c>
      <c r="W359" s="41" t="s">
        <v>234</v>
      </c>
      <c r="X359" s="43">
        <v>0</v>
      </c>
      <c r="Y359" s="41" t="s">
        <v>97</v>
      </c>
      <c r="Z359" s="41" t="s">
        <v>97</v>
      </c>
      <c r="AA359" s="41" t="s">
        <v>113</v>
      </c>
      <c r="AB359" s="39" t="s">
        <v>46</v>
      </c>
      <c r="AC359" s="44" t="s">
        <v>46</v>
      </c>
    </row>
    <row r="360" spans="1:29" x14ac:dyDescent="0.25">
      <c r="A360" s="45" t="s">
        <v>1774</v>
      </c>
      <c r="B360" s="46" t="s">
        <v>175</v>
      </c>
      <c r="C360" s="46" t="s">
        <v>177</v>
      </c>
      <c r="D360" s="47" t="s">
        <v>1744</v>
      </c>
      <c r="E360" s="47" t="s">
        <v>135</v>
      </c>
      <c r="F360" s="46" t="s">
        <v>1775</v>
      </c>
      <c r="G360" s="46" t="s">
        <v>1776</v>
      </c>
      <c r="H360" s="47" t="s">
        <v>123</v>
      </c>
      <c r="I360" s="47" t="s">
        <v>135</v>
      </c>
      <c r="J360" s="46" t="s">
        <v>1777</v>
      </c>
      <c r="K360" s="47" t="s">
        <v>1778</v>
      </c>
      <c r="L360" s="48" t="s">
        <v>122</v>
      </c>
      <c r="M360" s="46" t="s">
        <v>1749</v>
      </c>
      <c r="N360" s="48" t="s">
        <v>95</v>
      </c>
      <c r="O360" s="49">
        <v>6</v>
      </c>
      <c r="P360" s="48" t="s">
        <v>46</v>
      </c>
      <c r="Q360" s="41" t="s">
        <v>66</v>
      </c>
      <c r="R360" s="41" t="s">
        <v>234</v>
      </c>
      <c r="S360" s="41" t="s">
        <v>234</v>
      </c>
      <c r="T360" s="41" t="s">
        <v>234</v>
      </c>
      <c r="U360" s="41" t="s">
        <v>234</v>
      </c>
      <c r="V360" s="41" t="s">
        <v>234</v>
      </c>
      <c r="W360" s="41" t="s">
        <v>234</v>
      </c>
      <c r="X360" s="43">
        <v>0</v>
      </c>
      <c r="Y360" s="41" t="s">
        <v>97</v>
      </c>
      <c r="Z360" s="41" t="s">
        <v>97</v>
      </c>
      <c r="AA360" s="41" t="s">
        <v>113</v>
      </c>
      <c r="AB360" s="39" t="s">
        <v>46</v>
      </c>
      <c r="AC360" s="44" t="s">
        <v>46</v>
      </c>
    </row>
    <row r="361" spans="1:29" x14ac:dyDescent="0.25">
      <c r="A361" s="38" t="s">
        <v>1779</v>
      </c>
      <c r="B361" s="39" t="s">
        <v>175</v>
      </c>
      <c r="C361" s="39" t="s">
        <v>177</v>
      </c>
      <c r="D361" s="40" t="s">
        <v>1744</v>
      </c>
      <c r="E361" s="40" t="s">
        <v>129</v>
      </c>
      <c r="F361" s="39" t="s">
        <v>1780</v>
      </c>
      <c r="G361" s="39" t="s">
        <v>1781</v>
      </c>
      <c r="H361" s="40" t="s">
        <v>132</v>
      </c>
      <c r="I361" s="40" t="s">
        <v>522</v>
      </c>
      <c r="J361" s="39" t="s">
        <v>1782</v>
      </c>
      <c r="K361" s="40" t="s">
        <v>1748</v>
      </c>
      <c r="L361" s="41" t="s">
        <v>122</v>
      </c>
      <c r="M361" s="39" t="s">
        <v>1749</v>
      </c>
      <c r="N361" s="41" t="s">
        <v>95</v>
      </c>
      <c r="O361" s="42">
        <v>6</v>
      </c>
      <c r="P361" s="41" t="s">
        <v>46</v>
      </c>
      <c r="Q361" s="41" t="s">
        <v>66</v>
      </c>
      <c r="R361" s="41" t="s">
        <v>234</v>
      </c>
      <c r="S361" s="41" t="s">
        <v>234</v>
      </c>
      <c r="T361" s="41" t="s">
        <v>234</v>
      </c>
      <c r="U361" s="41" t="s">
        <v>234</v>
      </c>
      <c r="V361" s="41" t="s">
        <v>234</v>
      </c>
      <c r="W361" s="41" t="s">
        <v>234</v>
      </c>
      <c r="X361" s="43">
        <v>0</v>
      </c>
      <c r="Y361" s="41" t="s">
        <v>97</v>
      </c>
      <c r="Z361" s="41" t="s">
        <v>97</v>
      </c>
      <c r="AA361" s="41" t="s">
        <v>113</v>
      </c>
      <c r="AB361" s="39" t="s">
        <v>46</v>
      </c>
      <c r="AC361" s="44" t="s">
        <v>46</v>
      </c>
    </row>
    <row r="362" spans="1:29" x14ac:dyDescent="0.25">
      <c r="A362" s="45" t="s">
        <v>1783</v>
      </c>
      <c r="B362" s="46" t="s">
        <v>175</v>
      </c>
      <c r="C362" s="46" t="s">
        <v>177</v>
      </c>
      <c r="D362" s="47" t="s">
        <v>1744</v>
      </c>
      <c r="E362" s="47" t="s">
        <v>56</v>
      </c>
      <c r="F362" s="46" t="s">
        <v>1784</v>
      </c>
      <c r="G362" s="46" t="s">
        <v>1785</v>
      </c>
      <c r="H362" s="47" t="s">
        <v>132</v>
      </c>
      <c r="I362" s="47" t="s">
        <v>522</v>
      </c>
      <c r="J362" s="46" t="s">
        <v>1786</v>
      </c>
      <c r="K362" s="47" t="s">
        <v>1748</v>
      </c>
      <c r="L362" s="48" t="s">
        <v>122</v>
      </c>
      <c r="M362" s="46" t="s">
        <v>1749</v>
      </c>
      <c r="N362" s="48" t="s">
        <v>95</v>
      </c>
      <c r="O362" s="49">
        <v>10</v>
      </c>
      <c r="P362" s="48" t="s">
        <v>46</v>
      </c>
      <c r="Q362" s="41" t="s">
        <v>66</v>
      </c>
      <c r="R362" s="41" t="s">
        <v>234</v>
      </c>
      <c r="S362" s="41" t="s">
        <v>234</v>
      </c>
      <c r="T362" s="41" t="s">
        <v>234</v>
      </c>
      <c r="U362" s="41" t="s">
        <v>234</v>
      </c>
      <c r="V362" s="41" t="s">
        <v>234</v>
      </c>
      <c r="W362" s="41" t="s">
        <v>234</v>
      </c>
      <c r="X362" s="43">
        <v>0</v>
      </c>
      <c r="Y362" s="41" t="s">
        <v>97</v>
      </c>
      <c r="Z362" s="41" t="s">
        <v>97</v>
      </c>
      <c r="AA362" s="41" t="s">
        <v>113</v>
      </c>
      <c r="AB362" s="39" t="s">
        <v>46</v>
      </c>
      <c r="AC362" s="44" t="s">
        <v>46</v>
      </c>
    </row>
    <row r="363" spans="1:29" x14ac:dyDescent="0.25">
      <c r="A363" s="38" t="s">
        <v>1787</v>
      </c>
      <c r="B363" s="39" t="s">
        <v>179</v>
      </c>
      <c r="C363" s="39" t="s">
        <v>178</v>
      </c>
      <c r="D363" s="40" t="s">
        <v>1788</v>
      </c>
      <c r="E363" s="40" t="s">
        <v>133</v>
      </c>
      <c r="F363" s="39" t="s">
        <v>1789</v>
      </c>
      <c r="G363" s="39" t="s">
        <v>1790</v>
      </c>
      <c r="H363" s="40" t="s">
        <v>130</v>
      </c>
      <c r="I363" s="40" t="s">
        <v>1791</v>
      </c>
      <c r="J363" s="39" t="s">
        <v>1792</v>
      </c>
      <c r="K363" s="40" t="s">
        <v>1793</v>
      </c>
      <c r="L363" s="41" t="s">
        <v>125</v>
      </c>
      <c r="M363" s="39" t="s">
        <v>1702</v>
      </c>
      <c r="N363" s="41" t="s">
        <v>95</v>
      </c>
      <c r="O363" s="42">
        <v>8</v>
      </c>
      <c r="P363" s="41" t="s">
        <v>46</v>
      </c>
      <c r="Q363" s="41" t="s">
        <v>66</v>
      </c>
      <c r="R363" s="41" t="s">
        <v>234</v>
      </c>
      <c r="S363" s="41" t="s">
        <v>234</v>
      </c>
      <c r="T363" s="41" t="s">
        <v>234</v>
      </c>
      <c r="U363" s="41" t="s">
        <v>234</v>
      </c>
      <c r="V363" s="41" t="s">
        <v>234</v>
      </c>
      <c r="W363" s="41" t="s">
        <v>234</v>
      </c>
      <c r="X363" s="43">
        <v>0</v>
      </c>
      <c r="Y363" s="41" t="s">
        <v>97</v>
      </c>
      <c r="Z363" s="41" t="s">
        <v>97</v>
      </c>
      <c r="AA363" s="41" t="s">
        <v>113</v>
      </c>
      <c r="AB363" s="39" t="s">
        <v>46</v>
      </c>
      <c r="AC363" s="44" t="s">
        <v>46</v>
      </c>
    </row>
    <row r="364" spans="1:29" x14ac:dyDescent="0.25">
      <c r="A364" s="45" t="s">
        <v>1794</v>
      </c>
      <c r="B364" s="46" t="s">
        <v>179</v>
      </c>
      <c r="C364" s="46" t="s">
        <v>178</v>
      </c>
      <c r="D364" s="47" t="s">
        <v>1788</v>
      </c>
      <c r="E364" s="47" t="s">
        <v>133</v>
      </c>
      <c r="F364" s="46" t="s">
        <v>1795</v>
      </c>
      <c r="G364" s="46" t="s">
        <v>1796</v>
      </c>
      <c r="H364" s="47" t="s">
        <v>130</v>
      </c>
      <c r="I364" s="47" t="s">
        <v>1791</v>
      </c>
      <c r="J364" s="46" t="s">
        <v>1797</v>
      </c>
      <c r="K364" s="47" t="s">
        <v>1793</v>
      </c>
      <c r="L364" s="48" t="s">
        <v>125</v>
      </c>
      <c r="M364" s="46" t="s">
        <v>1702</v>
      </c>
      <c r="N364" s="48" t="s">
        <v>95</v>
      </c>
      <c r="O364" s="49">
        <v>12</v>
      </c>
      <c r="P364" s="48" t="s">
        <v>46</v>
      </c>
      <c r="Q364" s="41" t="s">
        <v>66</v>
      </c>
      <c r="R364" s="41" t="s">
        <v>234</v>
      </c>
      <c r="S364" s="41" t="s">
        <v>234</v>
      </c>
      <c r="T364" s="41" t="s">
        <v>234</v>
      </c>
      <c r="U364" s="41" t="s">
        <v>234</v>
      </c>
      <c r="V364" s="41" t="s">
        <v>234</v>
      </c>
      <c r="W364" s="41" t="s">
        <v>234</v>
      </c>
      <c r="X364" s="43">
        <v>0</v>
      </c>
      <c r="Y364" s="41" t="s">
        <v>97</v>
      </c>
      <c r="Z364" s="41" t="s">
        <v>97</v>
      </c>
      <c r="AA364" s="41" t="s">
        <v>113</v>
      </c>
      <c r="AB364" s="39" t="s">
        <v>46</v>
      </c>
      <c r="AC364" s="44" t="s">
        <v>46</v>
      </c>
    </row>
    <row r="365" spans="1:29" x14ac:dyDescent="0.25">
      <c r="A365" s="38" t="s">
        <v>1798</v>
      </c>
      <c r="B365" s="39" t="s">
        <v>179</v>
      </c>
      <c r="C365" s="39" t="s">
        <v>178</v>
      </c>
      <c r="D365" s="40" t="s">
        <v>1788</v>
      </c>
      <c r="E365" s="40" t="s">
        <v>398</v>
      </c>
      <c r="F365" s="39" t="s">
        <v>1799</v>
      </c>
      <c r="G365" s="39" t="s">
        <v>1800</v>
      </c>
      <c r="H365" s="40" t="s">
        <v>128</v>
      </c>
      <c r="I365" s="40" t="s">
        <v>401</v>
      </c>
      <c r="J365" s="39" t="s">
        <v>1801</v>
      </c>
      <c r="K365" s="40" t="s">
        <v>1793</v>
      </c>
      <c r="L365" s="41" t="s">
        <v>125</v>
      </c>
      <c r="M365" s="39" t="s">
        <v>1702</v>
      </c>
      <c r="N365" s="41" t="s">
        <v>95</v>
      </c>
      <c r="O365" s="42">
        <v>10</v>
      </c>
      <c r="P365" s="41" t="s">
        <v>46</v>
      </c>
      <c r="Q365" s="41" t="s">
        <v>66</v>
      </c>
      <c r="R365" s="41" t="s">
        <v>234</v>
      </c>
      <c r="S365" s="41" t="s">
        <v>234</v>
      </c>
      <c r="T365" s="41" t="s">
        <v>234</v>
      </c>
      <c r="U365" s="41" t="s">
        <v>234</v>
      </c>
      <c r="V365" s="41" t="s">
        <v>234</v>
      </c>
      <c r="W365" s="41" t="s">
        <v>234</v>
      </c>
      <c r="X365" s="43">
        <v>0</v>
      </c>
      <c r="Y365" s="41" t="s">
        <v>97</v>
      </c>
      <c r="Z365" s="41" t="s">
        <v>97</v>
      </c>
      <c r="AA365" s="41" t="s">
        <v>113</v>
      </c>
      <c r="AB365" s="39" t="s">
        <v>46</v>
      </c>
      <c r="AC365" s="44" t="s">
        <v>46</v>
      </c>
    </row>
    <row r="366" spans="1:29" x14ac:dyDescent="0.25">
      <c r="A366" s="45" t="s">
        <v>1802</v>
      </c>
      <c r="B366" s="46" t="s">
        <v>179</v>
      </c>
      <c r="C366" s="46" t="s">
        <v>178</v>
      </c>
      <c r="D366" s="47" t="s">
        <v>1788</v>
      </c>
      <c r="E366" s="47" t="s">
        <v>133</v>
      </c>
      <c r="F366" s="46" t="s">
        <v>1803</v>
      </c>
      <c r="G366" s="46" t="s">
        <v>1804</v>
      </c>
      <c r="H366" s="47" t="s">
        <v>126</v>
      </c>
      <c r="I366" s="47" t="s">
        <v>342</v>
      </c>
      <c r="J366" s="46" t="s">
        <v>1805</v>
      </c>
      <c r="K366" s="47" t="s">
        <v>1793</v>
      </c>
      <c r="L366" s="48" t="s">
        <v>125</v>
      </c>
      <c r="M366" s="46" t="s">
        <v>1702</v>
      </c>
      <c r="N366" s="48" t="s">
        <v>95</v>
      </c>
      <c r="O366" s="49">
        <v>12</v>
      </c>
      <c r="P366" s="48" t="s">
        <v>46</v>
      </c>
      <c r="Q366" s="41" t="s">
        <v>66</v>
      </c>
      <c r="R366" s="41" t="s">
        <v>234</v>
      </c>
      <c r="S366" s="41" t="s">
        <v>234</v>
      </c>
      <c r="T366" s="41" t="s">
        <v>234</v>
      </c>
      <c r="U366" s="41" t="s">
        <v>234</v>
      </c>
      <c r="V366" s="41" t="s">
        <v>234</v>
      </c>
      <c r="W366" s="41" t="s">
        <v>234</v>
      </c>
      <c r="X366" s="43">
        <v>0</v>
      </c>
      <c r="Y366" s="41" t="s">
        <v>97</v>
      </c>
      <c r="Z366" s="41" t="s">
        <v>97</v>
      </c>
      <c r="AA366" s="41" t="s">
        <v>113</v>
      </c>
      <c r="AB366" s="39" t="s">
        <v>46</v>
      </c>
      <c r="AC366" s="44" t="s">
        <v>46</v>
      </c>
    </row>
    <row r="367" spans="1:29" x14ac:dyDescent="0.25">
      <c r="A367" s="38" t="s">
        <v>1806</v>
      </c>
      <c r="B367" s="39" t="s">
        <v>179</v>
      </c>
      <c r="C367" s="39" t="s">
        <v>178</v>
      </c>
      <c r="D367" s="40" t="s">
        <v>1788</v>
      </c>
      <c r="E367" s="40" t="s">
        <v>133</v>
      </c>
      <c r="F367" s="39" t="s">
        <v>1807</v>
      </c>
      <c r="G367" s="39" t="s">
        <v>1808</v>
      </c>
      <c r="H367" s="40" t="s">
        <v>126</v>
      </c>
      <c r="I367" s="40" t="s">
        <v>342</v>
      </c>
      <c r="J367" s="39" t="s">
        <v>1809</v>
      </c>
      <c r="K367" s="40" t="s">
        <v>1793</v>
      </c>
      <c r="L367" s="41" t="s">
        <v>125</v>
      </c>
      <c r="M367" s="39" t="s">
        <v>1702</v>
      </c>
      <c r="N367" s="41" t="s">
        <v>95</v>
      </c>
      <c r="O367" s="42">
        <v>10</v>
      </c>
      <c r="P367" s="41" t="s">
        <v>46</v>
      </c>
      <c r="Q367" s="41" t="s">
        <v>66</v>
      </c>
      <c r="R367" s="41" t="s">
        <v>234</v>
      </c>
      <c r="S367" s="41" t="s">
        <v>234</v>
      </c>
      <c r="T367" s="41" t="s">
        <v>234</v>
      </c>
      <c r="U367" s="41" t="s">
        <v>234</v>
      </c>
      <c r="V367" s="41" t="s">
        <v>234</v>
      </c>
      <c r="W367" s="41" t="s">
        <v>234</v>
      </c>
      <c r="X367" s="43">
        <v>0</v>
      </c>
      <c r="Y367" s="41" t="s">
        <v>97</v>
      </c>
      <c r="Z367" s="41" t="s">
        <v>97</v>
      </c>
      <c r="AA367" s="41" t="s">
        <v>113</v>
      </c>
      <c r="AB367" s="39" t="s">
        <v>46</v>
      </c>
      <c r="AC367" s="44" t="s">
        <v>46</v>
      </c>
    </row>
    <row r="368" spans="1:29" x14ac:dyDescent="0.25">
      <c r="A368" s="45" t="s">
        <v>1810</v>
      </c>
      <c r="B368" s="46" t="s">
        <v>179</v>
      </c>
      <c r="C368" s="46" t="s">
        <v>178</v>
      </c>
      <c r="D368" s="47" t="s">
        <v>1788</v>
      </c>
      <c r="E368" s="47" t="s">
        <v>133</v>
      </c>
      <c r="F368" s="46" t="s">
        <v>1811</v>
      </c>
      <c r="G368" s="46" t="s">
        <v>1812</v>
      </c>
      <c r="H368" s="47" t="s">
        <v>130</v>
      </c>
      <c r="I368" s="47" t="s">
        <v>1791</v>
      </c>
      <c r="J368" s="46" t="s">
        <v>1813</v>
      </c>
      <c r="K368" s="47" t="s">
        <v>1793</v>
      </c>
      <c r="L368" s="48" t="s">
        <v>125</v>
      </c>
      <c r="M368" s="46" t="s">
        <v>1702</v>
      </c>
      <c r="N368" s="48" t="s">
        <v>95</v>
      </c>
      <c r="O368" s="49">
        <v>6</v>
      </c>
      <c r="P368" s="48" t="s">
        <v>46</v>
      </c>
      <c r="Q368" s="41" t="s">
        <v>66</v>
      </c>
      <c r="R368" s="41" t="s">
        <v>234</v>
      </c>
      <c r="S368" s="41" t="s">
        <v>234</v>
      </c>
      <c r="T368" s="41" t="s">
        <v>234</v>
      </c>
      <c r="U368" s="41" t="s">
        <v>234</v>
      </c>
      <c r="V368" s="41" t="s">
        <v>234</v>
      </c>
      <c r="W368" s="41" t="s">
        <v>234</v>
      </c>
      <c r="X368" s="43">
        <v>0</v>
      </c>
      <c r="Y368" s="41" t="s">
        <v>97</v>
      </c>
      <c r="Z368" s="41" t="s">
        <v>97</v>
      </c>
      <c r="AA368" s="41" t="s">
        <v>113</v>
      </c>
      <c r="AB368" s="39" t="s">
        <v>46</v>
      </c>
      <c r="AC368" s="44" t="s">
        <v>46</v>
      </c>
    </row>
    <row r="369" spans="1:29" x14ac:dyDescent="0.25">
      <c r="A369" s="38" t="s">
        <v>1814</v>
      </c>
      <c r="B369" s="39" t="s">
        <v>179</v>
      </c>
      <c r="C369" s="39" t="s">
        <v>178</v>
      </c>
      <c r="D369" s="40" t="s">
        <v>1788</v>
      </c>
      <c r="E369" s="40" t="s">
        <v>133</v>
      </c>
      <c r="F369" s="39" t="s">
        <v>1815</v>
      </c>
      <c r="G369" s="39" t="s">
        <v>1816</v>
      </c>
      <c r="H369" s="40" t="s">
        <v>130</v>
      </c>
      <c r="I369" s="40" t="s">
        <v>1791</v>
      </c>
      <c r="J369" s="39" t="s">
        <v>1817</v>
      </c>
      <c r="K369" s="40" t="s">
        <v>1793</v>
      </c>
      <c r="L369" s="41" t="s">
        <v>125</v>
      </c>
      <c r="M369" s="39" t="s">
        <v>1702</v>
      </c>
      <c r="N369" s="41" t="s">
        <v>95</v>
      </c>
      <c r="O369" s="42">
        <v>6</v>
      </c>
      <c r="P369" s="41" t="s">
        <v>46</v>
      </c>
      <c r="Q369" s="41" t="s">
        <v>66</v>
      </c>
      <c r="R369" s="41" t="s">
        <v>234</v>
      </c>
      <c r="S369" s="41" t="s">
        <v>234</v>
      </c>
      <c r="T369" s="41" t="s">
        <v>234</v>
      </c>
      <c r="U369" s="41" t="s">
        <v>234</v>
      </c>
      <c r="V369" s="41" t="s">
        <v>234</v>
      </c>
      <c r="W369" s="41" t="s">
        <v>234</v>
      </c>
      <c r="X369" s="43">
        <v>0</v>
      </c>
      <c r="Y369" s="41" t="s">
        <v>97</v>
      </c>
      <c r="Z369" s="41" t="s">
        <v>97</v>
      </c>
      <c r="AA369" s="41" t="s">
        <v>113</v>
      </c>
      <c r="AB369" s="39" t="s">
        <v>46</v>
      </c>
      <c r="AC369" s="44" t="s">
        <v>46</v>
      </c>
    </row>
    <row r="370" spans="1:29" x14ac:dyDescent="0.25">
      <c r="A370" s="45" t="s">
        <v>1818</v>
      </c>
      <c r="B370" s="46" t="s">
        <v>179</v>
      </c>
      <c r="C370" s="46" t="s">
        <v>178</v>
      </c>
      <c r="D370" s="47" t="s">
        <v>1788</v>
      </c>
      <c r="E370" s="47" t="s">
        <v>133</v>
      </c>
      <c r="F370" s="46" t="s">
        <v>1819</v>
      </c>
      <c r="G370" s="46" t="s">
        <v>1820</v>
      </c>
      <c r="H370" s="47" t="s">
        <v>130</v>
      </c>
      <c r="I370" s="47" t="s">
        <v>1791</v>
      </c>
      <c r="J370" s="46" t="s">
        <v>1821</v>
      </c>
      <c r="K370" s="47" t="s">
        <v>1793</v>
      </c>
      <c r="L370" s="48" t="s">
        <v>125</v>
      </c>
      <c r="M370" s="46" t="s">
        <v>1702</v>
      </c>
      <c r="N370" s="48" t="s">
        <v>95</v>
      </c>
      <c r="O370" s="49">
        <v>8</v>
      </c>
      <c r="P370" s="48" t="s">
        <v>46</v>
      </c>
      <c r="Q370" s="41" t="s">
        <v>66</v>
      </c>
      <c r="R370" s="41" t="s">
        <v>234</v>
      </c>
      <c r="S370" s="41" t="s">
        <v>234</v>
      </c>
      <c r="T370" s="41" t="s">
        <v>234</v>
      </c>
      <c r="U370" s="41" t="s">
        <v>234</v>
      </c>
      <c r="V370" s="41" t="s">
        <v>234</v>
      </c>
      <c r="W370" s="41" t="s">
        <v>234</v>
      </c>
      <c r="X370" s="43">
        <v>0</v>
      </c>
      <c r="Y370" s="41" t="s">
        <v>97</v>
      </c>
      <c r="Z370" s="41" t="s">
        <v>97</v>
      </c>
      <c r="AA370" s="41" t="s">
        <v>113</v>
      </c>
      <c r="AB370" s="39" t="s">
        <v>1822</v>
      </c>
      <c r="AC370" s="44" t="s">
        <v>46</v>
      </c>
    </row>
    <row r="371" spans="1:29" x14ac:dyDescent="0.25">
      <c r="A371" s="38" t="s">
        <v>1823</v>
      </c>
      <c r="B371" s="39" t="s">
        <v>179</v>
      </c>
      <c r="C371" s="39" t="s">
        <v>178</v>
      </c>
      <c r="D371" s="40" t="s">
        <v>1788</v>
      </c>
      <c r="E371" s="40" t="s">
        <v>133</v>
      </c>
      <c r="F371" s="39" t="s">
        <v>1824</v>
      </c>
      <c r="G371" s="39" t="s">
        <v>1825</v>
      </c>
      <c r="H371" s="40" t="s">
        <v>130</v>
      </c>
      <c r="I371" s="40" t="s">
        <v>1791</v>
      </c>
      <c r="J371" s="39" t="s">
        <v>1826</v>
      </c>
      <c r="K371" s="40" t="s">
        <v>1793</v>
      </c>
      <c r="L371" s="41" t="s">
        <v>125</v>
      </c>
      <c r="M371" s="39" t="s">
        <v>1702</v>
      </c>
      <c r="N371" s="41" t="s">
        <v>95</v>
      </c>
      <c r="O371" s="42">
        <v>6</v>
      </c>
      <c r="P371" s="41" t="s">
        <v>46</v>
      </c>
      <c r="Q371" s="41" t="s">
        <v>66</v>
      </c>
      <c r="R371" s="41" t="s">
        <v>234</v>
      </c>
      <c r="S371" s="41" t="s">
        <v>234</v>
      </c>
      <c r="T371" s="41" t="s">
        <v>234</v>
      </c>
      <c r="U371" s="41" t="s">
        <v>234</v>
      </c>
      <c r="V371" s="41" t="s">
        <v>234</v>
      </c>
      <c r="W371" s="41" t="s">
        <v>234</v>
      </c>
      <c r="X371" s="43">
        <v>0</v>
      </c>
      <c r="Y371" s="41" t="s">
        <v>97</v>
      </c>
      <c r="Z371" s="41" t="s">
        <v>97</v>
      </c>
      <c r="AA371" s="41" t="s">
        <v>113</v>
      </c>
      <c r="AB371" s="39" t="s">
        <v>46</v>
      </c>
      <c r="AC371" s="44" t="s">
        <v>46</v>
      </c>
    </row>
    <row r="372" spans="1:29" x14ac:dyDescent="0.25">
      <c r="A372" s="45" t="s">
        <v>1827</v>
      </c>
      <c r="B372" s="46" t="s">
        <v>179</v>
      </c>
      <c r="C372" s="46" t="s">
        <v>178</v>
      </c>
      <c r="D372" s="47" t="s">
        <v>1788</v>
      </c>
      <c r="E372" s="47" t="s">
        <v>129</v>
      </c>
      <c r="F372" s="46" t="s">
        <v>1828</v>
      </c>
      <c r="G372" s="46" t="s">
        <v>1829</v>
      </c>
      <c r="H372" s="47" t="s">
        <v>130</v>
      </c>
      <c r="I372" s="47" t="s">
        <v>1791</v>
      </c>
      <c r="J372" s="46" t="s">
        <v>1830</v>
      </c>
      <c r="K372" s="47" t="s">
        <v>1793</v>
      </c>
      <c r="L372" s="48" t="s">
        <v>125</v>
      </c>
      <c r="M372" s="46" t="s">
        <v>1702</v>
      </c>
      <c r="N372" s="48" t="s">
        <v>95</v>
      </c>
      <c r="O372" s="49">
        <v>8</v>
      </c>
      <c r="P372" s="48" t="s">
        <v>46</v>
      </c>
      <c r="Q372" s="41" t="s">
        <v>66</v>
      </c>
      <c r="R372" s="41" t="s">
        <v>234</v>
      </c>
      <c r="S372" s="41" t="s">
        <v>234</v>
      </c>
      <c r="T372" s="41" t="s">
        <v>234</v>
      </c>
      <c r="U372" s="41" t="s">
        <v>234</v>
      </c>
      <c r="V372" s="41" t="s">
        <v>234</v>
      </c>
      <c r="W372" s="41" t="s">
        <v>234</v>
      </c>
      <c r="X372" s="43">
        <v>0</v>
      </c>
      <c r="Y372" s="41" t="s">
        <v>97</v>
      </c>
      <c r="Z372" s="41" t="s">
        <v>97</v>
      </c>
      <c r="AA372" s="41" t="s">
        <v>113</v>
      </c>
      <c r="AB372" s="39" t="s">
        <v>46</v>
      </c>
      <c r="AC372" s="44" t="s">
        <v>46</v>
      </c>
    </row>
    <row r="373" spans="1:29" x14ac:dyDescent="0.25">
      <c r="A373" s="38" t="s">
        <v>1831</v>
      </c>
      <c r="B373" s="39" t="s">
        <v>179</v>
      </c>
      <c r="C373" s="39" t="s">
        <v>178</v>
      </c>
      <c r="D373" s="40" t="s">
        <v>1788</v>
      </c>
      <c r="E373" s="40" t="s">
        <v>133</v>
      </c>
      <c r="F373" s="39" t="s">
        <v>1832</v>
      </c>
      <c r="G373" s="39" t="s">
        <v>1833</v>
      </c>
      <c r="H373" s="40" t="s">
        <v>130</v>
      </c>
      <c r="I373" s="40" t="s">
        <v>1791</v>
      </c>
      <c r="J373" s="39" t="s">
        <v>1834</v>
      </c>
      <c r="K373" s="40" t="s">
        <v>1793</v>
      </c>
      <c r="L373" s="41" t="s">
        <v>125</v>
      </c>
      <c r="M373" s="39" t="s">
        <v>1702</v>
      </c>
      <c r="N373" s="41" t="s">
        <v>95</v>
      </c>
      <c r="O373" s="42">
        <v>5</v>
      </c>
      <c r="P373" s="41" t="s">
        <v>46</v>
      </c>
      <c r="Q373" s="41" t="s">
        <v>66</v>
      </c>
      <c r="R373" s="41" t="s">
        <v>234</v>
      </c>
      <c r="S373" s="41" t="s">
        <v>234</v>
      </c>
      <c r="T373" s="41" t="s">
        <v>234</v>
      </c>
      <c r="U373" s="41" t="s">
        <v>234</v>
      </c>
      <c r="V373" s="41" t="s">
        <v>234</v>
      </c>
      <c r="W373" s="41" t="s">
        <v>234</v>
      </c>
      <c r="X373" s="43">
        <v>0</v>
      </c>
      <c r="Y373" s="41" t="s">
        <v>97</v>
      </c>
      <c r="Z373" s="41" t="s">
        <v>97</v>
      </c>
      <c r="AA373" s="41" t="s">
        <v>113</v>
      </c>
      <c r="AB373" s="39" t="s">
        <v>46</v>
      </c>
      <c r="AC373" s="44" t="s">
        <v>46</v>
      </c>
    </row>
    <row r="374" spans="1:29" x14ac:dyDescent="0.25">
      <c r="A374" s="45" t="s">
        <v>1835</v>
      </c>
      <c r="B374" s="46" t="s">
        <v>179</v>
      </c>
      <c r="C374" s="46" t="s">
        <v>178</v>
      </c>
      <c r="D374" s="47" t="s">
        <v>1788</v>
      </c>
      <c r="E374" s="47" t="s">
        <v>133</v>
      </c>
      <c r="F374" s="46" t="s">
        <v>1836</v>
      </c>
      <c r="G374" s="46" t="s">
        <v>1837</v>
      </c>
      <c r="H374" s="47" t="s">
        <v>130</v>
      </c>
      <c r="I374" s="47" t="s">
        <v>1791</v>
      </c>
      <c r="J374" s="46" t="s">
        <v>1838</v>
      </c>
      <c r="K374" s="47" t="s">
        <v>1793</v>
      </c>
      <c r="L374" s="48" t="s">
        <v>125</v>
      </c>
      <c r="M374" s="46" t="s">
        <v>1702</v>
      </c>
      <c r="N374" s="48" t="s">
        <v>95</v>
      </c>
      <c r="O374" s="49">
        <v>8</v>
      </c>
      <c r="P374" s="48" t="s">
        <v>46</v>
      </c>
      <c r="Q374" s="41" t="s">
        <v>66</v>
      </c>
      <c r="R374" s="41" t="s">
        <v>234</v>
      </c>
      <c r="S374" s="41" t="s">
        <v>234</v>
      </c>
      <c r="T374" s="41" t="s">
        <v>234</v>
      </c>
      <c r="U374" s="41" t="s">
        <v>234</v>
      </c>
      <c r="V374" s="41" t="s">
        <v>234</v>
      </c>
      <c r="W374" s="41" t="s">
        <v>234</v>
      </c>
      <c r="X374" s="43">
        <v>0</v>
      </c>
      <c r="Y374" s="41" t="s">
        <v>97</v>
      </c>
      <c r="Z374" s="41" t="s">
        <v>97</v>
      </c>
      <c r="AA374" s="41" t="s">
        <v>113</v>
      </c>
      <c r="AB374" s="39" t="s">
        <v>46</v>
      </c>
      <c r="AC374" s="44" t="s">
        <v>46</v>
      </c>
    </row>
    <row r="375" spans="1:29" x14ac:dyDescent="0.25">
      <c r="A375" s="38" t="s">
        <v>1839</v>
      </c>
      <c r="B375" s="39" t="s">
        <v>179</v>
      </c>
      <c r="C375" s="39" t="s">
        <v>178</v>
      </c>
      <c r="D375" s="40" t="s">
        <v>1788</v>
      </c>
      <c r="E375" s="40" t="s">
        <v>133</v>
      </c>
      <c r="F375" s="39" t="s">
        <v>1840</v>
      </c>
      <c r="G375" s="39" t="s">
        <v>1841</v>
      </c>
      <c r="H375" s="40" t="s">
        <v>130</v>
      </c>
      <c r="I375" s="40" t="s">
        <v>1791</v>
      </c>
      <c r="J375" s="39" t="s">
        <v>1842</v>
      </c>
      <c r="K375" s="40" t="s">
        <v>1793</v>
      </c>
      <c r="L375" s="41" t="s">
        <v>127</v>
      </c>
      <c r="M375" s="39" t="s">
        <v>1702</v>
      </c>
      <c r="N375" s="41" t="s">
        <v>95</v>
      </c>
      <c r="O375" s="42">
        <v>8</v>
      </c>
      <c r="P375" s="41" t="s">
        <v>46</v>
      </c>
      <c r="Q375" s="41" t="s">
        <v>66</v>
      </c>
      <c r="R375" s="41" t="s">
        <v>234</v>
      </c>
      <c r="S375" s="41" t="s">
        <v>234</v>
      </c>
      <c r="T375" s="41" t="s">
        <v>234</v>
      </c>
      <c r="U375" s="41" t="s">
        <v>234</v>
      </c>
      <c r="V375" s="41" t="s">
        <v>234</v>
      </c>
      <c r="W375" s="41" t="s">
        <v>234</v>
      </c>
      <c r="X375" s="43">
        <v>0</v>
      </c>
      <c r="Y375" s="41" t="s">
        <v>97</v>
      </c>
      <c r="Z375" s="41" t="s">
        <v>97</v>
      </c>
      <c r="AA375" s="41" t="s">
        <v>113</v>
      </c>
      <c r="AB375" s="39" t="s">
        <v>46</v>
      </c>
      <c r="AC375" s="44" t="s">
        <v>46</v>
      </c>
    </row>
    <row r="376" spans="1:29" x14ac:dyDescent="0.25">
      <c r="A376" s="45" t="s">
        <v>1843</v>
      </c>
      <c r="B376" s="46" t="s">
        <v>179</v>
      </c>
      <c r="C376" s="46" t="s">
        <v>178</v>
      </c>
      <c r="D376" s="47" t="s">
        <v>1788</v>
      </c>
      <c r="E376" s="47" t="s">
        <v>133</v>
      </c>
      <c r="F376" s="46" t="s">
        <v>1844</v>
      </c>
      <c r="G376" s="46" t="s">
        <v>1845</v>
      </c>
      <c r="H376" s="47" t="s">
        <v>130</v>
      </c>
      <c r="I376" s="47" t="s">
        <v>1791</v>
      </c>
      <c r="J376" s="46" t="s">
        <v>1846</v>
      </c>
      <c r="K376" s="47" t="s">
        <v>1793</v>
      </c>
      <c r="L376" s="48" t="s">
        <v>127</v>
      </c>
      <c r="M376" s="46" t="s">
        <v>1702</v>
      </c>
      <c r="N376" s="48" t="s">
        <v>95</v>
      </c>
      <c r="O376" s="49">
        <v>6</v>
      </c>
      <c r="P376" s="48" t="s">
        <v>46</v>
      </c>
      <c r="Q376" s="41" t="s">
        <v>66</v>
      </c>
      <c r="R376" s="41" t="s">
        <v>234</v>
      </c>
      <c r="S376" s="41" t="s">
        <v>234</v>
      </c>
      <c r="T376" s="41" t="s">
        <v>234</v>
      </c>
      <c r="U376" s="41" t="s">
        <v>234</v>
      </c>
      <c r="V376" s="41" t="s">
        <v>234</v>
      </c>
      <c r="W376" s="41" t="s">
        <v>234</v>
      </c>
      <c r="X376" s="43">
        <v>0</v>
      </c>
      <c r="Y376" s="41" t="s">
        <v>97</v>
      </c>
      <c r="Z376" s="41" t="s">
        <v>97</v>
      </c>
      <c r="AA376" s="41" t="s">
        <v>113</v>
      </c>
      <c r="AB376" s="39" t="s">
        <v>46</v>
      </c>
      <c r="AC376" s="44" t="s">
        <v>46</v>
      </c>
    </row>
    <row r="377" spans="1:29" x14ac:dyDescent="0.25">
      <c r="A377" s="38" t="s">
        <v>1847</v>
      </c>
      <c r="B377" s="39" t="s">
        <v>179</v>
      </c>
      <c r="C377" s="39" t="s">
        <v>178</v>
      </c>
      <c r="D377" s="40" t="s">
        <v>1788</v>
      </c>
      <c r="E377" s="40" t="s">
        <v>129</v>
      </c>
      <c r="F377" s="39" t="s">
        <v>1848</v>
      </c>
      <c r="G377" s="39" t="s">
        <v>1849</v>
      </c>
      <c r="H377" s="40" t="s">
        <v>130</v>
      </c>
      <c r="I377" s="40" t="s">
        <v>1791</v>
      </c>
      <c r="J377" s="39" t="s">
        <v>1850</v>
      </c>
      <c r="K377" s="40" t="s">
        <v>1793</v>
      </c>
      <c r="L377" s="41" t="s">
        <v>125</v>
      </c>
      <c r="M377" s="39" t="s">
        <v>1702</v>
      </c>
      <c r="N377" s="41" t="s">
        <v>95</v>
      </c>
      <c r="O377" s="42">
        <v>10</v>
      </c>
      <c r="P377" s="41" t="s">
        <v>46</v>
      </c>
      <c r="Q377" s="41" t="s">
        <v>66</v>
      </c>
      <c r="R377" s="41" t="s">
        <v>234</v>
      </c>
      <c r="S377" s="41" t="s">
        <v>234</v>
      </c>
      <c r="T377" s="41" t="s">
        <v>234</v>
      </c>
      <c r="U377" s="41" t="s">
        <v>234</v>
      </c>
      <c r="V377" s="41" t="s">
        <v>234</v>
      </c>
      <c r="W377" s="41" t="s">
        <v>234</v>
      </c>
      <c r="X377" s="43">
        <v>0</v>
      </c>
      <c r="Y377" s="41" t="s">
        <v>97</v>
      </c>
      <c r="Z377" s="41" t="s">
        <v>97</v>
      </c>
      <c r="AA377" s="41" t="s">
        <v>113</v>
      </c>
      <c r="AB377" s="39" t="s">
        <v>1851</v>
      </c>
      <c r="AC377" s="44" t="s">
        <v>46</v>
      </c>
    </row>
    <row r="378" spans="1:29" x14ac:dyDescent="0.25">
      <c r="A378" s="45" t="s">
        <v>1852</v>
      </c>
      <c r="B378" s="46" t="s">
        <v>179</v>
      </c>
      <c r="C378" s="46" t="s">
        <v>178</v>
      </c>
      <c r="D378" s="47" t="s">
        <v>1788</v>
      </c>
      <c r="E378" s="47" t="s">
        <v>289</v>
      </c>
      <c r="F378" s="46" t="s">
        <v>1853</v>
      </c>
      <c r="G378" s="46" t="s">
        <v>1854</v>
      </c>
      <c r="H378" s="47" t="s">
        <v>130</v>
      </c>
      <c r="I378" s="47" t="s">
        <v>1791</v>
      </c>
      <c r="J378" s="46" t="s">
        <v>1855</v>
      </c>
      <c r="K378" s="47" t="s">
        <v>1793</v>
      </c>
      <c r="L378" s="48" t="s">
        <v>125</v>
      </c>
      <c r="M378" s="46" t="s">
        <v>1702</v>
      </c>
      <c r="N378" s="48" t="s">
        <v>95</v>
      </c>
      <c r="O378" s="49">
        <v>3</v>
      </c>
      <c r="P378" s="48" t="s">
        <v>46</v>
      </c>
      <c r="Q378" s="41" t="s">
        <v>66</v>
      </c>
      <c r="R378" s="41" t="s">
        <v>234</v>
      </c>
      <c r="S378" s="41" t="s">
        <v>234</v>
      </c>
      <c r="T378" s="41" t="s">
        <v>234</v>
      </c>
      <c r="U378" s="41" t="s">
        <v>234</v>
      </c>
      <c r="V378" s="41" t="s">
        <v>234</v>
      </c>
      <c r="W378" s="41" t="s">
        <v>234</v>
      </c>
      <c r="X378" s="43">
        <v>0</v>
      </c>
      <c r="Y378" s="41" t="s">
        <v>97</v>
      </c>
      <c r="Z378" s="41" t="s">
        <v>97</v>
      </c>
      <c r="AA378" s="41" t="s">
        <v>113</v>
      </c>
      <c r="AB378" s="39" t="s">
        <v>46</v>
      </c>
      <c r="AC378" s="44" t="s">
        <v>46</v>
      </c>
    </row>
    <row r="379" spans="1:29" x14ac:dyDescent="0.25">
      <c r="A379" s="38" t="s">
        <v>1856</v>
      </c>
      <c r="B379" s="39" t="s">
        <v>179</v>
      </c>
      <c r="C379" s="39" t="s">
        <v>178</v>
      </c>
      <c r="D379" s="40" t="s">
        <v>1788</v>
      </c>
      <c r="E379" s="40" t="s">
        <v>56</v>
      </c>
      <c r="F379" s="39" t="s">
        <v>1857</v>
      </c>
      <c r="G379" s="39" t="s">
        <v>1858</v>
      </c>
      <c r="H379" s="40" t="s">
        <v>132</v>
      </c>
      <c r="I379" s="40" t="s">
        <v>522</v>
      </c>
      <c r="J379" s="39" t="s">
        <v>1859</v>
      </c>
      <c r="K379" s="40" t="s">
        <v>1793</v>
      </c>
      <c r="L379" s="41" t="s">
        <v>125</v>
      </c>
      <c r="M379" s="39" t="s">
        <v>1702</v>
      </c>
      <c r="N379" s="41" t="s">
        <v>95</v>
      </c>
      <c r="O379" s="42">
        <v>10</v>
      </c>
      <c r="P379" s="41" t="s">
        <v>46</v>
      </c>
      <c r="Q379" s="41" t="s">
        <v>66</v>
      </c>
      <c r="R379" s="41" t="s">
        <v>234</v>
      </c>
      <c r="S379" s="41" t="s">
        <v>234</v>
      </c>
      <c r="T379" s="41" t="s">
        <v>234</v>
      </c>
      <c r="U379" s="41" t="s">
        <v>234</v>
      </c>
      <c r="V379" s="41" t="s">
        <v>234</v>
      </c>
      <c r="W379" s="41" t="s">
        <v>234</v>
      </c>
      <c r="X379" s="43">
        <v>0</v>
      </c>
      <c r="Y379" s="41" t="s">
        <v>97</v>
      </c>
      <c r="Z379" s="41" t="s">
        <v>97</v>
      </c>
      <c r="AA379" s="41" t="s">
        <v>113</v>
      </c>
      <c r="AB379" s="39" t="s">
        <v>46</v>
      </c>
      <c r="AC379" s="44" t="s">
        <v>46</v>
      </c>
    </row>
    <row r="380" spans="1:29" x14ac:dyDescent="0.25">
      <c r="A380" s="45" t="s">
        <v>1860</v>
      </c>
      <c r="B380" s="46" t="s">
        <v>179</v>
      </c>
      <c r="C380" s="46" t="s">
        <v>180</v>
      </c>
      <c r="D380" s="47" t="s">
        <v>1861</v>
      </c>
      <c r="E380" s="47" t="s">
        <v>133</v>
      </c>
      <c r="F380" s="46" t="s">
        <v>1862</v>
      </c>
      <c r="G380" s="46" t="s">
        <v>1863</v>
      </c>
      <c r="H380" s="47" t="s">
        <v>130</v>
      </c>
      <c r="I380" s="47" t="s">
        <v>1791</v>
      </c>
      <c r="J380" s="46" t="s">
        <v>1864</v>
      </c>
      <c r="K380" s="47" t="s">
        <v>1865</v>
      </c>
      <c r="L380" s="48" t="s">
        <v>125</v>
      </c>
      <c r="M380" s="46" t="s">
        <v>1866</v>
      </c>
      <c r="N380" s="48" t="s">
        <v>95</v>
      </c>
      <c r="O380" s="49">
        <v>8</v>
      </c>
      <c r="P380" s="48" t="s">
        <v>46</v>
      </c>
      <c r="Q380" s="41" t="s">
        <v>66</v>
      </c>
      <c r="R380" s="41" t="s">
        <v>234</v>
      </c>
      <c r="S380" s="41" t="s">
        <v>234</v>
      </c>
      <c r="T380" s="41" t="s">
        <v>234</v>
      </c>
      <c r="U380" s="41" t="s">
        <v>234</v>
      </c>
      <c r="V380" s="41" t="s">
        <v>234</v>
      </c>
      <c r="W380" s="41" t="s">
        <v>234</v>
      </c>
      <c r="X380" s="43">
        <v>0</v>
      </c>
      <c r="Y380" s="41" t="s">
        <v>97</v>
      </c>
      <c r="Z380" s="41" t="s">
        <v>97</v>
      </c>
      <c r="AA380" s="41" t="s">
        <v>113</v>
      </c>
      <c r="AB380" s="39" t="s">
        <v>46</v>
      </c>
      <c r="AC380" s="44" t="s">
        <v>46</v>
      </c>
    </row>
    <row r="381" spans="1:29" x14ac:dyDescent="0.25">
      <c r="A381" s="38" t="s">
        <v>1867</v>
      </c>
      <c r="B381" s="39" t="s">
        <v>179</v>
      </c>
      <c r="C381" s="39" t="s">
        <v>180</v>
      </c>
      <c r="D381" s="40" t="s">
        <v>1861</v>
      </c>
      <c r="E381" s="40" t="s">
        <v>133</v>
      </c>
      <c r="F381" s="39" t="s">
        <v>1868</v>
      </c>
      <c r="G381" s="39" t="s">
        <v>1869</v>
      </c>
      <c r="H381" s="40" t="s">
        <v>130</v>
      </c>
      <c r="I381" s="40" t="s">
        <v>1870</v>
      </c>
      <c r="J381" s="39" t="s">
        <v>1871</v>
      </c>
      <c r="K381" s="40" t="s">
        <v>1865</v>
      </c>
      <c r="L381" s="41" t="s">
        <v>125</v>
      </c>
      <c r="M381" s="39" t="s">
        <v>1866</v>
      </c>
      <c r="N381" s="41" t="s">
        <v>95</v>
      </c>
      <c r="O381" s="42">
        <v>12</v>
      </c>
      <c r="P381" s="41" t="s">
        <v>46</v>
      </c>
      <c r="Q381" s="41" t="s">
        <v>66</v>
      </c>
      <c r="R381" s="41" t="s">
        <v>234</v>
      </c>
      <c r="S381" s="41" t="s">
        <v>234</v>
      </c>
      <c r="T381" s="41" t="s">
        <v>234</v>
      </c>
      <c r="U381" s="41" t="s">
        <v>234</v>
      </c>
      <c r="V381" s="41" t="s">
        <v>234</v>
      </c>
      <c r="W381" s="41" t="s">
        <v>234</v>
      </c>
      <c r="X381" s="43">
        <v>0</v>
      </c>
      <c r="Y381" s="41" t="s">
        <v>97</v>
      </c>
      <c r="Z381" s="41" t="s">
        <v>97</v>
      </c>
      <c r="AA381" s="41" t="s">
        <v>113</v>
      </c>
      <c r="AB381" s="39" t="s">
        <v>46</v>
      </c>
      <c r="AC381" s="44" t="s">
        <v>46</v>
      </c>
    </row>
    <row r="382" spans="1:29" x14ac:dyDescent="0.25">
      <c r="A382" s="45" t="s">
        <v>1872</v>
      </c>
      <c r="B382" s="46" t="s">
        <v>179</v>
      </c>
      <c r="C382" s="46" t="s">
        <v>180</v>
      </c>
      <c r="D382" s="47" t="s">
        <v>1861</v>
      </c>
      <c r="E382" s="47" t="s">
        <v>133</v>
      </c>
      <c r="F382" s="46" t="s">
        <v>1873</v>
      </c>
      <c r="G382" s="46" t="s">
        <v>1874</v>
      </c>
      <c r="H382" s="47" t="s">
        <v>130</v>
      </c>
      <c r="I382" s="47" t="s">
        <v>1791</v>
      </c>
      <c r="J382" s="46" t="s">
        <v>1875</v>
      </c>
      <c r="K382" s="47" t="s">
        <v>1865</v>
      </c>
      <c r="L382" s="48" t="s">
        <v>125</v>
      </c>
      <c r="M382" s="46" t="s">
        <v>1866</v>
      </c>
      <c r="N382" s="48" t="s">
        <v>95</v>
      </c>
      <c r="O382" s="49">
        <v>5</v>
      </c>
      <c r="P382" s="48" t="s">
        <v>46</v>
      </c>
      <c r="Q382" s="41" t="s">
        <v>66</v>
      </c>
      <c r="R382" s="41" t="s">
        <v>234</v>
      </c>
      <c r="S382" s="41" t="s">
        <v>234</v>
      </c>
      <c r="T382" s="41" t="s">
        <v>234</v>
      </c>
      <c r="U382" s="41" t="s">
        <v>234</v>
      </c>
      <c r="V382" s="41" t="s">
        <v>234</v>
      </c>
      <c r="W382" s="41" t="s">
        <v>234</v>
      </c>
      <c r="X382" s="43">
        <v>0</v>
      </c>
      <c r="Y382" s="41" t="s">
        <v>97</v>
      </c>
      <c r="Z382" s="41" t="s">
        <v>97</v>
      </c>
      <c r="AA382" s="41" t="s">
        <v>113</v>
      </c>
      <c r="AB382" s="39" t="s">
        <v>46</v>
      </c>
      <c r="AC382" s="44" t="s">
        <v>46</v>
      </c>
    </row>
    <row r="383" spans="1:29" x14ac:dyDescent="0.25">
      <c r="A383" s="38" t="s">
        <v>1876</v>
      </c>
      <c r="B383" s="39" t="s">
        <v>179</v>
      </c>
      <c r="C383" s="39" t="s">
        <v>180</v>
      </c>
      <c r="D383" s="40" t="s">
        <v>1861</v>
      </c>
      <c r="E383" s="40" t="s">
        <v>133</v>
      </c>
      <c r="F383" s="39" t="s">
        <v>1877</v>
      </c>
      <c r="G383" s="39" t="s">
        <v>1878</v>
      </c>
      <c r="H383" s="40" t="s">
        <v>130</v>
      </c>
      <c r="I383" s="40" t="s">
        <v>1791</v>
      </c>
      <c r="J383" s="39" t="s">
        <v>1879</v>
      </c>
      <c r="K383" s="40" t="s">
        <v>1865</v>
      </c>
      <c r="L383" s="41" t="s">
        <v>125</v>
      </c>
      <c r="M383" s="39" t="s">
        <v>1866</v>
      </c>
      <c r="N383" s="41" t="s">
        <v>95</v>
      </c>
      <c r="O383" s="42">
        <v>6</v>
      </c>
      <c r="P383" s="41" t="s">
        <v>46</v>
      </c>
      <c r="Q383" s="41" t="s">
        <v>66</v>
      </c>
      <c r="R383" s="41" t="s">
        <v>234</v>
      </c>
      <c r="S383" s="41" t="s">
        <v>234</v>
      </c>
      <c r="T383" s="41" t="s">
        <v>234</v>
      </c>
      <c r="U383" s="41" t="s">
        <v>234</v>
      </c>
      <c r="V383" s="41" t="s">
        <v>234</v>
      </c>
      <c r="W383" s="41" t="s">
        <v>234</v>
      </c>
      <c r="X383" s="43">
        <v>0</v>
      </c>
      <c r="Y383" s="41" t="s">
        <v>97</v>
      </c>
      <c r="Z383" s="41" t="s">
        <v>97</v>
      </c>
      <c r="AA383" s="41" t="s">
        <v>113</v>
      </c>
      <c r="AB383" s="39" t="s">
        <v>1880</v>
      </c>
      <c r="AC383" s="44" t="s">
        <v>46</v>
      </c>
    </row>
    <row r="384" spans="1:29" x14ac:dyDescent="0.25">
      <c r="A384" s="45" t="s">
        <v>1881</v>
      </c>
      <c r="B384" s="46" t="s">
        <v>179</v>
      </c>
      <c r="C384" s="46" t="s">
        <v>180</v>
      </c>
      <c r="D384" s="47" t="s">
        <v>1861</v>
      </c>
      <c r="E384" s="47" t="s">
        <v>129</v>
      </c>
      <c r="F384" s="46" t="s">
        <v>1882</v>
      </c>
      <c r="G384" s="46" t="s">
        <v>1883</v>
      </c>
      <c r="H384" s="47" t="s">
        <v>130</v>
      </c>
      <c r="I384" s="47" t="s">
        <v>1791</v>
      </c>
      <c r="J384" s="46" t="s">
        <v>1884</v>
      </c>
      <c r="K384" s="47" t="s">
        <v>1865</v>
      </c>
      <c r="L384" s="48" t="s">
        <v>125</v>
      </c>
      <c r="M384" s="46" t="s">
        <v>1866</v>
      </c>
      <c r="N384" s="48" t="s">
        <v>95</v>
      </c>
      <c r="O384" s="49">
        <v>6</v>
      </c>
      <c r="P384" s="48" t="s">
        <v>46</v>
      </c>
      <c r="Q384" s="41" t="s">
        <v>66</v>
      </c>
      <c r="R384" s="41" t="s">
        <v>234</v>
      </c>
      <c r="S384" s="41" t="s">
        <v>234</v>
      </c>
      <c r="T384" s="41" t="s">
        <v>234</v>
      </c>
      <c r="U384" s="41" t="s">
        <v>234</v>
      </c>
      <c r="V384" s="41" t="s">
        <v>234</v>
      </c>
      <c r="W384" s="41" t="s">
        <v>234</v>
      </c>
      <c r="X384" s="43">
        <v>0</v>
      </c>
      <c r="Y384" s="41" t="s">
        <v>97</v>
      </c>
      <c r="Z384" s="41" t="s">
        <v>97</v>
      </c>
      <c r="AA384" s="41" t="s">
        <v>113</v>
      </c>
      <c r="AB384" s="39" t="s">
        <v>46</v>
      </c>
      <c r="AC384" s="44" t="s">
        <v>46</v>
      </c>
    </row>
    <row r="385" spans="1:29" x14ac:dyDescent="0.25">
      <c r="A385" s="38" t="s">
        <v>1885</v>
      </c>
      <c r="B385" s="39" t="s">
        <v>179</v>
      </c>
      <c r="C385" s="39" t="s">
        <v>180</v>
      </c>
      <c r="D385" s="40" t="s">
        <v>1861</v>
      </c>
      <c r="E385" s="40" t="s">
        <v>129</v>
      </c>
      <c r="F385" s="39" t="s">
        <v>1886</v>
      </c>
      <c r="G385" s="39" t="s">
        <v>1887</v>
      </c>
      <c r="H385" s="40" t="s">
        <v>130</v>
      </c>
      <c r="I385" s="40" t="s">
        <v>1791</v>
      </c>
      <c r="J385" s="39" t="s">
        <v>1888</v>
      </c>
      <c r="K385" s="40" t="s">
        <v>1865</v>
      </c>
      <c r="L385" s="41" t="s">
        <v>125</v>
      </c>
      <c r="M385" s="39" t="s">
        <v>1866</v>
      </c>
      <c r="N385" s="41" t="s">
        <v>95</v>
      </c>
      <c r="O385" s="42">
        <v>8</v>
      </c>
      <c r="P385" s="41" t="s">
        <v>46</v>
      </c>
      <c r="Q385" s="41" t="s">
        <v>66</v>
      </c>
      <c r="R385" s="41" t="s">
        <v>234</v>
      </c>
      <c r="S385" s="41" t="s">
        <v>234</v>
      </c>
      <c r="T385" s="41" t="s">
        <v>234</v>
      </c>
      <c r="U385" s="41" t="s">
        <v>234</v>
      </c>
      <c r="V385" s="41" t="s">
        <v>234</v>
      </c>
      <c r="W385" s="41" t="s">
        <v>234</v>
      </c>
      <c r="X385" s="43">
        <v>0</v>
      </c>
      <c r="Y385" s="41" t="s">
        <v>97</v>
      </c>
      <c r="Z385" s="41" t="s">
        <v>97</v>
      </c>
      <c r="AA385" s="41" t="s">
        <v>113</v>
      </c>
      <c r="AB385" s="39" t="s">
        <v>46</v>
      </c>
      <c r="AC385" s="44" t="s">
        <v>46</v>
      </c>
    </row>
    <row r="386" spans="1:29" x14ac:dyDescent="0.25">
      <c r="A386" s="45" t="s">
        <v>1889</v>
      </c>
      <c r="B386" s="46" t="s">
        <v>179</v>
      </c>
      <c r="C386" s="46" t="s">
        <v>180</v>
      </c>
      <c r="D386" s="47" t="s">
        <v>1861</v>
      </c>
      <c r="E386" s="47" t="s">
        <v>133</v>
      </c>
      <c r="F386" s="46" t="s">
        <v>1890</v>
      </c>
      <c r="G386" s="46" t="s">
        <v>1891</v>
      </c>
      <c r="H386" s="47" t="s">
        <v>130</v>
      </c>
      <c r="I386" s="47" t="s">
        <v>1791</v>
      </c>
      <c r="J386" s="46" t="s">
        <v>1892</v>
      </c>
      <c r="K386" s="47" t="s">
        <v>1865</v>
      </c>
      <c r="L386" s="48" t="s">
        <v>125</v>
      </c>
      <c r="M386" s="46" t="s">
        <v>1866</v>
      </c>
      <c r="N386" s="48" t="s">
        <v>95</v>
      </c>
      <c r="O386" s="49">
        <v>10</v>
      </c>
      <c r="P386" s="48" t="s">
        <v>46</v>
      </c>
      <c r="Q386" s="41" t="s">
        <v>66</v>
      </c>
      <c r="R386" s="41" t="s">
        <v>234</v>
      </c>
      <c r="S386" s="41" t="s">
        <v>234</v>
      </c>
      <c r="T386" s="41" t="s">
        <v>234</v>
      </c>
      <c r="U386" s="41" t="s">
        <v>234</v>
      </c>
      <c r="V386" s="41" t="s">
        <v>234</v>
      </c>
      <c r="W386" s="41" t="s">
        <v>234</v>
      </c>
      <c r="X386" s="43">
        <v>0</v>
      </c>
      <c r="Y386" s="41" t="s">
        <v>97</v>
      </c>
      <c r="Z386" s="41" t="s">
        <v>97</v>
      </c>
      <c r="AA386" s="41" t="s">
        <v>113</v>
      </c>
      <c r="AB386" s="39" t="s">
        <v>46</v>
      </c>
      <c r="AC386" s="44" t="s">
        <v>46</v>
      </c>
    </row>
    <row r="387" spans="1:29" x14ac:dyDescent="0.25">
      <c r="A387" s="38" t="s">
        <v>1893</v>
      </c>
      <c r="B387" s="39" t="s">
        <v>179</v>
      </c>
      <c r="C387" s="39" t="s">
        <v>180</v>
      </c>
      <c r="D387" s="40" t="s">
        <v>1861</v>
      </c>
      <c r="E387" s="40" t="s">
        <v>133</v>
      </c>
      <c r="F387" s="39" t="s">
        <v>1894</v>
      </c>
      <c r="G387" s="39" t="s">
        <v>1895</v>
      </c>
      <c r="H387" s="40" t="s">
        <v>130</v>
      </c>
      <c r="I387" s="40" t="s">
        <v>1791</v>
      </c>
      <c r="J387" s="39" t="s">
        <v>1896</v>
      </c>
      <c r="K387" s="40" t="s">
        <v>1865</v>
      </c>
      <c r="L387" s="41" t="s">
        <v>125</v>
      </c>
      <c r="M387" s="39" t="s">
        <v>1866</v>
      </c>
      <c r="N387" s="41" t="s">
        <v>95</v>
      </c>
      <c r="O387" s="42">
        <v>6</v>
      </c>
      <c r="P387" s="41" t="s">
        <v>46</v>
      </c>
      <c r="Q387" s="41" t="s">
        <v>66</v>
      </c>
      <c r="R387" s="41" t="s">
        <v>234</v>
      </c>
      <c r="S387" s="41" t="s">
        <v>234</v>
      </c>
      <c r="T387" s="41" t="s">
        <v>234</v>
      </c>
      <c r="U387" s="41" t="s">
        <v>234</v>
      </c>
      <c r="V387" s="41" t="s">
        <v>234</v>
      </c>
      <c r="W387" s="41" t="s">
        <v>234</v>
      </c>
      <c r="X387" s="43">
        <v>0</v>
      </c>
      <c r="Y387" s="41" t="s">
        <v>97</v>
      </c>
      <c r="Z387" s="41" t="s">
        <v>97</v>
      </c>
      <c r="AA387" s="41" t="s">
        <v>113</v>
      </c>
      <c r="AB387" s="39" t="s">
        <v>46</v>
      </c>
      <c r="AC387" s="44" t="s">
        <v>46</v>
      </c>
    </row>
    <row r="388" spans="1:29" x14ac:dyDescent="0.25">
      <c r="A388" s="45" t="s">
        <v>1897</v>
      </c>
      <c r="B388" s="46" t="s">
        <v>179</v>
      </c>
      <c r="C388" s="46" t="s">
        <v>180</v>
      </c>
      <c r="D388" s="47" t="s">
        <v>1861</v>
      </c>
      <c r="E388" s="47" t="s">
        <v>133</v>
      </c>
      <c r="F388" s="46" t="s">
        <v>1898</v>
      </c>
      <c r="G388" s="46" t="s">
        <v>1899</v>
      </c>
      <c r="H388" s="47" t="s">
        <v>130</v>
      </c>
      <c r="I388" s="47" t="s">
        <v>1791</v>
      </c>
      <c r="J388" s="46" t="s">
        <v>1900</v>
      </c>
      <c r="K388" s="47" t="s">
        <v>1865</v>
      </c>
      <c r="L388" s="48" t="s">
        <v>125</v>
      </c>
      <c r="M388" s="46" t="s">
        <v>1866</v>
      </c>
      <c r="N388" s="48" t="s">
        <v>95</v>
      </c>
      <c r="O388" s="49">
        <v>6</v>
      </c>
      <c r="P388" s="48" t="s">
        <v>46</v>
      </c>
      <c r="Q388" s="41" t="s">
        <v>66</v>
      </c>
      <c r="R388" s="41" t="s">
        <v>234</v>
      </c>
      <c r="S388" s="41" t="s">
        <v>234</v>
      </c>
      <c r="T388" s="41" t="s">
        <v>234</v>
      </c>
      <c r="U388" s="41" t="s">
        <v>234</v>
      </c>
      <c r="V388" s="41" t="s">
        <v>234</v>
      </c>
      <c r="W388" s="41" t="s">
        <v>234</v>
      </c>
      <c r="X388" s="43">
        <v>0</v>
      </c>
      <c r="Y388" s="41" t="s">
        <v>97</v>
      </c>
      <c r="Z388" s="41" t="s">
        <v>97</v>
      </c>
      <c r="AA388" s="41" t="s">
        <v>113</v>
      </c>
      <c r="AB388" s="39" t="s">
        <v>46</v>
      </c>
      <c r="AC388" s="44" t="s">
        <v>46</v>
      </c>
    </row>
    <row r="389" spans="1:29" x14ac:dyDescent="0.25">
      <c r="A389" s="38" t="s">
        <v>1901</v>
      </c>
      <c r="B389" s="39" t="s">
        <v>179</v>
      </c>
      <c r="C389" s="39" t="s">
        <v>180</v>
      </c>
      <c r="D389" s="40" t="s">
        <v>1861</v>
      </c>
      <c r="E389" s="40" t="s">
        <v>133</v>
      </c>
      <c r="F389" s="39" t="s">
        <v>1902</v>
      </c>
      <c r="G389" s="39" t="s">
        <v>1903</v>
      </c>
      <c r="H389" s="40" t="s">
        <v>130</v>
      </c>
      <c r="I389" s="40" t="s">
        <v>1791</v>
      </c>
      <c r="J389" s="39" t="s">
        <v>1904</v>
      </c>
      <c r="K389" s="40" t="s">
        <v>1865</v>
      </c>
      <c r="L389" s="41" t="s">
        <v>125</v>
      </c>
      <c r="M389" s="39" t="s">
        <v>1866</v>
      </c>
      <c r="N389" s="41" t="s">
        <v>95</v>
      </c>
      <c r="O389" s="42">
        <v>5</v>
      </c>
      <c r="P389" s="41" t="s">
        <v>46</v>
      </c>
      <c r="Q389" s="41" t="s">
        <v>66</v>
      </c>
      <c r="R389" s="41" t="s">
        <v>234</v>
      </c>
      <c r="S389" s="41" t="s">
        <v>234</v>
      </c>
      <c r="T389" s="41" t="s">
        <v>234</v>
      </c>
      <c r="U389" s="41" t="s">
        <v>234</v>
      </c>
      <c r="V389" s="41" t="s">
        <v>234</v>
      </c>
      <c r="W389" s="41" t="s">
        <v>234</v>
      </c>
      <c r="X389" s="43">
        <v>0</v>
      </c>
      <c r="Y389" s="41" t="s">
        <v>97</v>
      </c>
      <c r="Z389" s="41" t="s">
        <v>97</v>
      </c>
      <c r="AA389" s="41" t="s">
        <v>113</v>
      </c>
      <c r="AB389" s="39" t="s">
        <v>46</v>
      </c>
      <c r="AC389" s="44" t="s">
        <v>46</v>
      </c>
    </row>
    <row r="390" spans="1:29" x14ac:dyDescent="0.25">
      <c r="A390" s="45" t="s">
        <v>1905</v>
      </c>
      <c r="B390" s="46" t="s">
        <v>179</v>
      </c>
      <c r="C390" s="46" t="s">
        <v>180</v>
      </c>
      <c r="D390" s="47" t="s">
        <v>1861</v>
      </c>
      <c r="E390" s="47" t="s">
        <v>133</v>
      </c>
      <c r="F390" s="46" t="s">
        <v>1906</v>
      </c>
      <c r="G390" s="46" t="s">
        <v>1907</v>
      </c>
      <c r="H390" s="47" t="s">
        <v>130</v>
      </c>
      <c r="I390" s="47" t="s">
        <v>1791</v>
      </c>
      <c r="J390" s="46" t="s">
        <v>1908</v>
      </c>
      <c r="K390" s="47" t="s">
        <v>1865</v>
      </c>
      <c r="L390" s="48" t="s">
        <v>125</v>
      </c>
      <c r="M390" s="46" t="s">
        <v>1866</v>
      </c>
      <c r="N390" s="48" t="s">
        <v>95</v>
      </c>
      <c r="O390" s="49">
        <v>5</v>
      </c>
      <c r="P390" s="48" t="s">
        <v>46</v>
      </c>
      <c r="Q390" s="41" t="s">
        <v>66</v>
      </c>
      <c r="R390" s="41" t="s">
        <v>234</v>
      </c>
      <c r="S390" s="41" t="s">
        <v>234</v>
      </c>
      <c r="T390" s="41" t="s">
        <v>234</v>
      </c>
      <c r="U390" s="41" t="s">
        <v>234</v>
      </c>
      <c r="V390" s="41" t="s">
        <v>234</v>
      </c>
      <c r="W390" s="41" t="s">
        <v>234</v>
      </c>
      <c r="X390" s="43">
        <v>0</v>
      </c>
      <c r="Y390" s="41" t="s">
        <v>97</v>
      </c>
      <c r="Z390" s="41" t="s">
        <v>97</v>
      </c>
      <c r="AA390" s="41" t="s">
        <v>113</v>
      </c>
      <c r="AB390" s="39" t="s">
        <v>46</v>
      </c>
      <c r="AC390" s="44" t="s">
        <v>46</v>
      </c>
    </row>
    <row r="391" spans="1:29" x14ac:dyDescent="0.25">
      <c r="A391" s="38" t="s">
        <v>1909</v>
      </c>
      <c r="B391" s="39" t="s">
        <v>179</v>
      </c>
      <c r="C391" s="39" t="s">
        <v>180</v>
      </c>
      <c r="D391" s="40" t="s">
        <v>1861</v>
      </c>
      <c r="E391" s="40" t="s">
        <v>133</v>
      </c>
      <c r="F391" s="39" t="s">
        <v>1910</v>
      </c>
      <c r="G391" s="39" t="s">
        <v>1911</v>
      </c>
      <c r="H391" s="40" t="s">
        <v>130</v>
      </c>
      <c r="I391" s="40" t="s">
        <v>1791</v>
      </c>
      <c r="J391" s="39" t="s">
        <v>1912</v>
      </c>
      <c r="K391" s="40" t="s">
        <v>1865</v>
      </c>
      <c r="L391" s="41" t="s">
        <v>125</v>
      </c>
      <c r="M391" s="39" t="s">
        <v>1866</v>
      </c>
      <c r="N391" s="41" t="s">
        <v>95</v>
      </c>
      <c r="O391" s="42">
        <v>5</v>
      </c>
      <c r="P391" s="41" t="s">
        <v>46</v>
      </c>
      <c r="Q391" s="41" t="s">
        <v>66</v>
      </c>
      <c r="R391" s="41" t="s">
        <v>234</v>
      </c>
      <c r="S391" s="41" t="s">
        <v>234</v>
      </c>
      <c r="T391" s="41" t="s">
        <v>234</v>
      </c>
      <c r="U391" s="41" t="s">
        <v>234</v>
      </c>
      <c r="V391" s="41" t="s">
        <v>234</v>
      </c>
      <c r="W391" s="41" t="s">
        <v>234</v>
      </c>
      <c r="X391" s="43">
        <v>0</v>
      </c>
      <c r="Y391" s="41" t="s">
        <v>97</v>
      </c>
      <c r="Z391" s="41" t="s">
        <v>97</v>
      </c>
      <c r="AA391" s="41" t="s">
        <v>113</v>
      </c>
      <c r="AB391" s="39" t="s">
        <v>46</v>
      </c>
      <c r="AC391" s="44" t="s">
        <v>46</v>
      </c>
    </row>
    <row r="392" spans="1:29" x14ac:dyDescent="0.25">
      <c r="A392" s="45" t="s">
        <v>1913</v>
      </c>
      <c r="B392" s="46" t="s">
        <v>179</v>
      </c>
      <c r="C392" s="46" t="s">
        <v>180</v>
      </c>
      <c r="D392" s="47" t="s">
        <v>1861</v>
      </c>
      <c r="E392" s="47" t="s">
        <v>56</v>
      </c>
      <c r="F392" s="46" t="s">
        <v>1914</v>
      </c>
      <c r="G392" s="46" t="s">
        <v>1915</v>
      </c>
      <c r="H392" s="47" t="s">
        <v>132</v>
      </c>
      <c r="I392" s="47" t="s">
        <v>522</v>
      </c>
      <c r="J392" s="46" t="s">
        <v>1916</v>
      </c>
      <c r="K392" s="47" t="s">
        <v>1865</v>
      </c>
      <c r="L392" s="48" t="s">
        <v>125</v>
      </c>
      <c r="M392" s="46" t="s">
        <v>1866</v>
      </c>
      <c r="N392" s="48" t="s">
        <v>95</v>
      </c>
      <c r="O392" s="49">
        <v>10</v>
      </c>
      <c r="P392" s="48" t="s">
        <v>46</v>
      </c>
      <c r="Q392" s="41" t="s">
        <v>66</v>
      </c>
      <c r="R392" s="41" t="s">
        <v>234</v>
      </c>
      <c r="S392" s="41" t="s">
        <v>234</v>
      </c>
      <c r="T392" s="41" t="s">
        <v>234</v>
      </c>
      <c r="U392" s="41" t="s">
        <v>234</v>
      </c>
      <c r="V392" s="41" t="s">
        <v>234</v>
      </c>
      <c r="W392" s="41" t="s">
        <v>234</v>
      </c>
      <c r="X392" s="43">
        <v>0</v>
      </c>
      <c r="Y392" s="41" t="s">
        <v>97</v>
      </c>
      <c r="Z392" s="41" t="s">
        <v>97</v>
      </c>
      <c r="AA392" s="41" t="s">
        <v>113</v>
      </c>
      <c r="AB392" s="39" t="s">
        <v>46</v>
      </c>
      <c r="AC392" s="44" t="s">
        <v>46</v>
      </c>
    </row>
    <row r="393" spans="1:29" x14ac:dyDescent="0.25">
      <c r="A393" s="38" t="s">
        <v>1917</v>
      </c>
      <c r="B393" s="39" t="s">
        <v>179</v>
      </c>
      <c r="C393" s="39" t="s">
        <v>181</v>
      </c>
      <c r="D393" s="40" t="s">
        <v>1918</v>
      </c>
      <c r="E393" s="40" t="s">
        <v>133</v>
      </c>
      <c r="F393" s="39" t="s">
        <v>1919</v>
      </c>
      <c r="G393" s="39" t="s">
        <v>1920</v>
      </c>
      <c r="H393" s="40" t="s">
        <v>130</v>
      </c>
      <c r="I393" s="40" t="s">
        <v>1791</v>
      </c>
      <c r="J393" s="39" t="s">
        <v>1921</v>
      </c>
      <c r="K393" s="40" t="s">
        <v>1922</v>
      </c>
      <c r="L393" s="41" t="s">
        <v>122</v>
      </c>
      <c r="M393" s="39" t="s">
        <v>1923</v>
      </c>
      <c r="N393" s="41" t="s">
        <v>95</v>
      </c>
      <c r="O393" s="42">
        <v>8</v>
      </c>
      <c r="P393" s="41" t="s">
        <v>46</v>
      </c>
      <c r="Q393" s="41" t="s">
        <v>66</v>
      </c>
      <c r="R393" s="41" t="s">
        <v>234</v>
      </c>
      <c r="S393" s="41" t="s">
        <v>234</v>
      </c>
      <c r="T393" s="41" t="s">
        <v>234</v>
      </c>
      <c r="U393" s="41" t="s">
        <v>234</v>
      </c>
      <c r="V393" s="41" t="s">
        <v>234</v>
      </c>
      <c r="W393" s="41" t="s">
        <v>234</v>
      </c>
      <c r="X393" s="43">
        <v>0</v>
      </c>
      <c r="Y393" s="41" t="s">
        <v>97</v>
      </c>
      <c r="Z393" s="41" t="s">
        <v>97</v>
      </c>
      <c r="AA393" s="41" t="s">
        <v>113</v>
      </c>
      <c r="AB393" s="39" t="s">
        <v>46</v>
      </c>
      <c r="AC393" s="44" t="s">
        <v>46</v>
      </c>
    </row>
    <row r="394" spans="1:29" x14ac:dyDescent="0.25">
      <c r="A394" s="45" t="s">
        <v>1924</v>
      </c>
      <c r="B394" s="46" t="s">
        <v>179</v>
      </c>
      <c r="C394" s="46" t="s">
        <v>181</v>
      </c>
      <c r="D394" s="47" t="s">
        <v>1918</v>
      </c>
      <c r="E394" s="47" t="s">
        <v>133</v>
      </c>
      <c r="F394" s="46" t="s">
        <v>1925</v>
      </c>
      <c r="G394" s="46" t="s">
        <v>1926</v>
      </c>
      <c r="H394" s="47" t="s">
        <v>130</v>
      </c>
      <c r="I394" s="47" t="s">
        <v>1791</v>
      </c>
      <c r="J394" s="46" t="s">
        <v>1927</v>
      </c>
      <c r="K394" s="47" t="s">
        <v>1922</v>
      </c>
      <c r="L394" s="48" t="s">
        <v>122</v>
      </c>
      <c r="M394" s="46" t="s">
        <v>1923</v>
      </c>
      <c r="N394" s="48" t="s">
        <v>95</v>
      </c>
      <c r="O394" s="49">
        <v>10</v>
      </c>
      <c r="P394" s="48" t="s">
        <v>46</v>
      </c>
      <c r="Q394" s="41" t="s">
        <v>66</v>
      </c>
      <c r="R394" s="41" t="s">
        <v>234</v>
      </c>
      <c r="S394" s="41" t="s">
        <v>234</v>
      </c>
      <c r="T394" s="41" t="s">
        <v>234</v>
      </c>
      <c r="U394" s="41" t="s">
        <v>234</v>
      </c>
      <c r="V394" s="41" t="s">
        <v>234</v>
      </c>
      <c r="W394" s="41" t="s">
        <v>234</v>
      </c>
      <c r="X394" s="43">
        <v>0</v>
      </c>
      <c r="Y394" s="41" t="s">
        <v>97</v>
      </c>
      <c r="Z394" s="41" t="s">
        <v>97</v>
      </c>
      <c r="AA394" s="41" t="s">
        <v>113</v>
      </c>
      <c r="AB394" s="39" t="s">
        <v>46</v>
      </c>
      <c r="AC394" s="44" t="s">
        <v>46</v>
      </c>
    </row>
    <row r="395" spans="1:29" x14ac:dyDescent="0.25">
      <c r="A395" s="38" t="s">
        <v>1928</v>
      </c>
      <c r="B395" s="39" t="s">
        <v>179</v>
      </c>
      <c r="C395" s="39" t="s">
        <v>181</v>
      </c>
      <c r="D395" s="40" t="s">
        <v>1918</v>
      </c>
      <c r="E395" s="40" t="s">
        <v>133</v>
      </c>
      <c r="F395" s="39" t="s">
        <v>1929</v>
      </c>
      <c r="G395" s="39" t="s">
        <v>1930</v>
      </c>
      <c r="H395" s="40" t="s">
        <v>130</v>
      </c>
      <c r="I395" s="40" t="s">
        <v>1791</v>
      </c>
      <c r="J395" s="39" t="s">
        <v>1931</v>
      </c>
      <c r="K395" s="40" t="s">
        <v>1922</v>
      </c>
      <c r="L395" s="41" t="s">
        <v>122</v>
      </c>
      <c r="M395" s="39" t="s">
        <v>1923</v>
      </c>
      <c r="N395" s="41" t="s">
        <v>95</v>
      </c>
      <c r="O395" s="42">
        <v>6</v>
      </c>
      <c r="P395" s="41" t="s">
        <v>46</v>
      </c>
      <c r="Q395" s="41" t="s">
        <v>66</v>
      </c>
      <c r="R395" s="41" t="s">
        <v>234</v>
      </c>
      <c r="S395" s="41" t="s">
        <v>234</v>
      </c>
      <c r="T395" s="41" t="s">
        <v>234</v>
      </c>
      <c r="U395" s="41" t="s">
        <v>234</v>
      </c>
      <c r="V395" s="41" t="s">
        <v>234</v>
      </c>
      <c r="W395" s="41" t="s">
        <v>234</v>
      </c>
      <c r="X395" s="43">
        <v>0</v>
      </c>
      <c r="Y395" s="41" t="s">
        <v>97</v>
      </c>
      <c r="Z395" s="41" t="s">
        <v>97</v>
      </c>
      <c r="AA395" s="41" t="s">
        <v>113</v>
      </c>
      <c r="AB395" s="39" t="s">
        <v>46</v>
      </c>
      <c r="AC395" s="44" t="s">
        <v>46</v>
      </c>
    </row>
    <row r="396" spans="1:29" x14ac:dyDescent="0.25">
      <c r="A396" s="45" t="s">
        <v>1932</v>
      </c>
      <c r="B396" s="46" t="s">
        <v>179</v>
      </c>
      <c r="C396" s="46" t="s">
        <v>181</v>
      </c>
      <c r="D396" s="47" t="s">
        <v>1918</v>
      </c>
      <c r="E396" s="47" t="s">
        <v>133</v>
      </c>
      <c r="F396" s="46" t="s">
        <v>1933</v>
      </c>
      <c r="G396" s="46" t="s">
        <v>1934</v>
      </c>
      <c r="H396" s="47" t="s">
        <v>130</v>
      </c>
      <c r="I396" s="47" t="s">
        <v>1791</v>
      </c>
      <c r="J396" s="46" t="s">
        <v>1935</v>
      </c>
      <c r="K396" s="47" t="s">
        <v>1922</v>
      </c>
      <c r="L396" s="48" t="s">
        <v>122</v>
      </c>
      <c r="M396" s="46" t="s">
        <v>1923</v>
      </c>
      <c r="N396" s="48" t="s">
        <v>95</v>
      </c>
      <c r="O396" s="49">
        <v>6</v>
      </c>
      <c r="P396" s="48" t="s">
        <v>46</v>
      </c>
      <c r="Q396" s="41" t="s">
        <v>66</v>
      </c>
      <c r="R396" s="41" t="s">
        <v>234</v>
      </c>
      <c r="S396" s="41" t="s">
        <v>234</v>
      </c>
      <c r="T396" s="41" t="s">
        <v>234</v>
      </c>
      <c r="U396" s="41" t="s">
        <v>234</v>
      </c>
      <c r="V396" s="41" t="s">
        <v>234</v>
      </c>
      <c r="W396" s="41" t="s">
        <v>234</v>
      </c>
      <c r="X396" s="43">
        <v>0</v>
      </c>
      <c r="Y396" s="41" t="s">
        <v>97</v>
      </c>
      <c r="Z396" s="41" t="s">
        <v>97</v>
      </c>
      <c r="AA396" s="41" t="s">
        <v>113</v>
      </c>
      <c r="AB396" s="39" t="s">
        <v>1936</v>
      </c>
      <c r="AC396" s="44" t="s">
        <v>46</v>
      </c>
    </row>
    <row r="397" spans="1:29" x14ac:dyDescent="0.25">
      <c r="A397" s="38" t="s">
        <v>1937</v>
      </c>
      <c r="B397" s="39" t="s">
        <v>179</v>
      </c>
      <c r="C397" s="39" t="s">
        <v>181</v>
      </c>
      <c r="D397" s="40" t="s">
        <v>1918</v>
      </c>
      <c r="E397" s="40" t="s">
        <v>133</v>
      </c>
      <c r="F397" s="39" t="s">
        <v>1938</v>
      </c>
      <c r="G397" s="39" t="s">
        <v>1939</v>
      </c>
      <c r="H397" s="40" t="s">
        <v>130</v>
      </c>
      <c r="I397" s="40" t="s">
        <v>1870</v>
      </c>
      <c r="J397" s="39" t="s">
        <v>1940</v>
      </c>
      <c r="K397" s="40" t="s">
        <v>1922</v>
      </c>
      <c r="L397" s="41" t="s">
        <v>122</v>
      </c>
      <c r="M397" s="39" t="s">
        <v>1923</v>
      </c>
      <c r="N397" s="41" t="s">
        <v>95</v>
      </c>
      <c r="O397" s="42">
        <v>8</v>
      </c>
      <c r="P397" s="41" t="s">
        <v>46</v>
      </c>
      <c r="Q397" s="41" t="s">
        <v>66</v>
      </c>
      <c r="R397" s="41" t="s">
        <v>234</v>
      </c>
      <c r="S397" s="41" t="s">
        <v>234</v>
      </c>
      <c r="T397" s="41" t="s">
        <v>234</v>
      </c>
      <c r="U397" s="41" t="s">
        <v>234</v>
      </c>
      <c r="V397" s="41" t="s">
        <v>234</v>
      </c>
      <c r="W397" s="41" t="s">
        <v>234</v>
      </c>
      <c r="X397" s="43">
        <v>0</v>
      </c>
      <c r="Y397" s="41" t="s">
        <v>97</v>
      </c>
      <c r="Z397" s="41" t="s">
        <v>97</v>
      </c>
      <c r="AA397" s="41" t="s">
        <v>113</v>
      </c>
      <c r="AB397" s="39" t="s">
        <v>46</v>
      </c>
      <c r="AC397" s="44" t="s">
        <v>46</v>
      </c>
    </row>
    <row r="398" spans="1:29" x14ac:dyDescent="0.25">
      <c r="A398" s="45" t="s">
        <v>1941</v>
      </c>
      <c r="B398" s="46" t="s">
        <v>179</v>
      </c>
      <c r="C398" s="46" t="s">
        <v>181</v>
      </c>
      <c r="D398" s="47" t="s">
        <v>1918</v>
      </c>
      <c r="E398" s="47" t="s">
        <v>133</v>
      </c>
      <c r="F398" s="46" t="s">
        <v>1942</v>
      </c>
      <c r="G398" s="46" t="s">
        <v>1943</v>
      </c>
      <c r="H398" s="47" t="s">
        <v>130</v>
      </c>
      <c r="I398" s="47" t="s">
        <v>1791</v>
      </c>
      <c r="J398" s="46" t="s">
        <v>1329</v>
      </c>
      <c r="K398" s="47" t="s">
        <v>1922</v>
      </c>
      <c r="L398" s="48" t="s">
        <v>122</v>
      </c>
      <c r="M398" s="46" t="s">
        <v>1923</v>
      </c>
      <c r="N398" s="48" t="s">
        <v>95</v>
      </c>
      <c r="O398" s="49">
        <v>8</v>
      </c>
      <c r="P398" s="48" t="s">
        <v>46</v>
      </c>
      <c r="Q398" s="41" t="s">
        <v>66</v>
      </c>
      <c r="R398" s="41" t="s">
        <v>234</v>
      </c>
      <c r="S398" s="41" t="s">
        <v>234</v>
      </c>
      <c r="T398" s="41" t="s">
        <v>234</v>
      </c>
      <c r="U398" s="41" t="s">
        <v>234</v>
      </c>
      <c r="V398" s="41" t="s">
        <v>234</v>
      </c>
      <c r="W398" s="41" t="s">
        <v>234</v>
      </c>
      <c r="X398" s="43">
        <v>0</v>
      </c>
      <c r="Y398" s="41" t="s">
        <v>97</v>
      </c>
      <c r="Z398" s="41" t="s">
        <v>97</v>
      </c>
      <c r="AA398" s="41" t="s">
        <v>113</v>
      </c>
      <c r="AB398" s="39" t="s">
        <v>46</v>
      </c>
      <c r="AC398" s="44" t="s">
        <v>46</v>
      </c>
    </row>
    <row r="399" spans="1:29" x14ac:dyDescent="0.25">
      <c r="A399" s="38" t="s">
        <v>1944</v>
      </c>
      <c r="B399" s="39" t="s">
        <v>179</v>
      </c>
      <c r="C399" s="39" t="s">
        <v>181</v>
      </c>
      <c r="D399" s="40" t="s">
        <v>1918</v>
      </c>
      <c r="E399" s="40" t="s">
        <v>56</v>
      </c>
      <c r="F399" s="39" t="s">
        <v>1945</v>
      </c>
      <c r="G399" s="39" t="s">
        <v>1946</v>
      </c>
      <c r="H399" s="40" t="s">
        <v>132</v>
      </c>
      <c r="I399" s="40" t="s">
        <v>522</v>
      </c>
      <c r="J399" s="39" t="s">
        <v>598</v>
      </c>
      <c r="K399" s="40" t="s">
        <v>1922</v>
      </c>
      <c r="L399" s="41" t="s">
        <v>122</v>
      </c>
      <c r="M399" s="39" t="s">
        <v>1923</v>
      </c>
      <c r="N399" s="41" t="s">
        <v>95</v>
      </c>
      <c r="O399" s="42">
        <v>8</v>
      </c>
      <c r="P399" s="41" t="s">
        <v>46</v>
      </c>
      <c r="Q399" s="41" t="s">
        <v>66</v>
      </c>
      <c r="R399" s="41" t="s">
        <v>234</v>
      </c>
      <c r="S399" s="41" t="s">
        <v>234</v>
      </c>
      <c r="T399" s="41" t="s">
        <v>234</v>
      </c>
      <c r="U399" s="41" t="s">
        <v>234</v>
      </c>
      <c r="V399" s="41" t="s">
        <v>234</v>
      </c>
      <c r="W399" s="41" t="s">
        <v>234</v>
      </c>
      <c r="X399" s="43">
        <v>0</v>
      </c>
      <c r="Y399" s="41" t="s">
        <v>97</v>
      </c>
      <c r="Z399" s="41" t="s">
        <v>97</v>
      </c>
      <c r="AA399" s="41" t="s">
        <v>113</v>
      </c>
      <c r="AB399" s="39" t="s">
        <v>46</v>
      </c>
      <c r="AC399" s="44" t="s">
        <v>46</v>
      </c>
    </row>
    <row r="400" spans="1:29" x14ac:dyDescent="0.25">
      <c r="A400" s="45" t="s">
        <v>1947</v>
      </c>
      <c r="B400" s="46" t="s">
        <v>179</v>
      </c>
      <c r="C400" s="46" t="s">
        <v>182</v>
      </c>
      <c r="D400" s="47" t="s">
        <v>1948</v>
      </c>
      <c r="E400" s="47" t="s">
        <v>133</v>
      </c>
      <c r="F400" s="46" t="s">
        <v>1949</v>
      </c>
      <c r="G400" s="46" t="s">
        <v>1950</v>
      </c>
      <c r="H400" s="47" t="s">
        <v>130</v>
      </c>
      <c r="I400" s="47" t="s">
        <v>1791</v>
      </c>
      <c r="J400" s="46" t="s">
        <v>1951</v>
      </c>
      <c r="K400" s="47" t="s">
        <v>1952</v>
      </c>
      <c r="L400" s="48" t="s">
        <v>122</v>
      </c>
      <c r="M400" s="46" t="s">
        <v>1953</v>
      </c>
      <c r="N400" s="48" t="s">
        <v>95</v>
      </c>
      <c r="O400" s="49">
        <v>8</v>
      </c>
      <c r="P400" s="48" t="s">
        <v>46</v>
      </c>
      <c r="Q400" s="41" t="s">
        <v>66</v>
      </c>
      <c r="R400" s="41" t="s">
        <v>234</v>
      </c>
      <c r="S400" s="41" t="s">
        <v>234</v>
      </c>
      <c r="T400" s="41" t="s">
        <v>234</v>
      </c>
      <c r="U400" s="41" t="s">
        <v>234</v>
      </c>
      <c r="V400" s="41" t="s">
        <v>234</v>
      </c>
      <c r="W400" s="41" t="s">
        <v>234</v>
      </c>
      <c r="X400" s="43">
        <v>0</v>
      </c>
      <c r="Y400" s="41" t="s">
        <v>97</v>
      </c>
      <c r="Z400" s="41" t="s">
        <v>97</v>
      </c>
      <c r="AA400" s="41" t="s">
        <v>113</v>
      </c>
      <c r="AB400" s="39" t="s">
        <v>46</v>
      </c>
      <c r="AC400" s="44" t="s">
        <v>46</v>
      </c>
    </row>
    <row r="401" spans="1:29" x14ac:dyDescent="0.25">
      <c r="A401" s="38" t="s">
        <v>1954</v>
      </c>
      <c r="B401" s="39" t="s">
        <v>179</v>
      </c>
      <c r="C401" s="39" t="s">
        <v>182</v>
      </c>
      <c r="D401" s="40" t="s">
        <v>1948</v>
      </c>
      <c r="E401" s="40" t="s">
        <v>133</v>
      </c>
      <c r="F401" s="39" t="s">
        <v>1955</v>
      </c>
      <c r="G401" s="39" t="s">
        <v>1956</v>
      </c>
      <c r="H401" s="40" t="s">
        <v>130</v>
      </c>
      <c r="I401" s="40" t="s">
        <v>1870</v>
      </c>
      <c r="J401" s="39" t="s">
        <v>1957</v>
      </c>
      <c r="K401" s="40" t="s">
        <v>1952</v>
      </c>
      <c r="L401" s="41" t="s">
        <v>122</v>
      </c>
      <c r="M401" s="39" t="s">
        <v>1953</v>
      </c>
      <c r="N401" s="41" t="s">
        <v>95</v>
      </c>
      <c r="O401" s="42">
        <v>10</v>
      </c>
      <c r="P401" s="41" t="s">
        <v>46</v>
      </c>
      <c r="Q401" s="41" t="s">
        <v>66</v>
      </c>
      <c r="R401" s="41" t="s">
        <v>234</v>
      </c>
      <c r="S401" s="41" t="s">
        <v>234</v>
      </c>
      <c r="T401" s="41" t="s">
        <v>234</v>
      </c>
      <c r="U401" s="41" t="s">
        <v>234</v>
      </c>
      <c r="V401" s="41" t="s">
        <v>234</v>
      </c>
      <c r="W401" s="41" t="s">
        <v>234</v>
      </c>
      <c r="X401" s="43">
        <v>0</v>
      </c>
      <c r="Y401" s="41" t="s">
        <v>97</v>
      </c>
      <c r="Z401" s="41" t="s">
        <v>97</v>
      </c>
      <c r="AA401" s="41" t="s">
        <v>113</v>
      </c>
      <c r="AB401" s="39" t="s">
        <v>46</v>
      </c>
      <c r="AC401" s="44" t="s">
        <v>46</v>
      </c>
    </row>
    <row r="402" spans="1:29" x14ac:dyDescent="0.25">
      <c r="A402" s="45" t="s">
        <v>1958</v>
      </c>
      <c r="B402" s="46" t="s">
        <v>179</v>
      </c>
      <c r="C402" s="46" t="s">
        <v>182</v>
      </c>
      <c r="D402" s="47" t="s">
        <v>1948</v>
      </c>
      <c r="E402" s="47" t="s">
        <v>133</v>
      </c>
      <c r="F402" s="46" t="s">
        <v>1959</v>
      </c>
      <c r="G402" s="46" t="s">
        <v>1960</v>
      </c>
      <c r="H402" s="47" t="s">
        <v>130</v>
      </c>
      <c r="I402" s="47" t="s">
        <v>1791</v>
      </c>
      <c r="J402" s="46" t="s">
        <v>1961</v>
      </c>
      <c r="K402" s="47" t="s">
        <v>1952</v>
      </c>
      <c r="L402" s="48" t="s">
        <v>122</v>
      </c>
      <c r="M402" s="46" t="s">
        <v>1953</v>
      </c>
      <c r="N402" s="48" t="s">
        <v>95</v>
      </c>
      <c r="O402" s="49">
        <v>8</v>
      </c>
      <c r="P402" s="48" t="s">
        <v>46</v>
      </c>
      <c r="Q402" s="41" t="s">
        <v>66</v>
      </c>
      <c r="R402" s="41" t="s">
        <v>234</v>
      </c>
      <c r="S402" s="41" t="s">
        <v>234</v>
      </c>
      <c r="T402" s="41" t="s">
        <v>234</v>
      </c>
      <c r="U402" s="41" t="s">
        <v>234</v>
      </c>
      <c r="V402" s="41" t="s">
        <v>234</v>
      </c>
      <c r="W402" s="41" t="s">
        <v>234</v>
      </c>
      <c r="X402" s="43">
        <v>0</v>
      </c>
      <c r="Y402" s="41" t="s">
        <v>97</v>
      </c>
      <c r="Z402" s="41" t="s">
        <v>97</v>
      </c>
      <c r="AA402" s="41" t="s">
        <v>113</v>
      </c>
      <c r="AB402" s="39" t="s">
        <v>46</v>
      </c>
      <c r="AC402" s="44" t="s">
        <v>46</v>
      </c>
    </row>
    <row r="403" spans="1:29" x14ac:dyDescent="0.25">
      <c r="A403" s="38" t="s">
        <v>1962</v>
      </c>
      <c r="B403" s="39" t="s">
        <v>179</v>
      </c>
      <c r="C403" s="39" t="s">
        <v>182</v>
      </c>
      <c r="D403" s="40" t="s">
        <v>1948</v>
      </c>
      <c r="E403" s="40" t="s">
        <v>133</v>
      </c>
      <c r="F403" s="39" t="s">
        <v>1963</v>
      </c>
      <c r="G403" s="39" t="s">
        <v>1964</v>
      </c>
      <c r="H403" s="40" t="s">
        <v>130</v>
      </c>
      <c r="I403" s="40" t="s">
        <v>1791</v>
      </c>
      <c r="J403" s="39" t="s">
        <v>1965</v>
      </c>
      <c r="K403" s="40" t="s">
        <v>1952</v>
      </c>
      <c r="L403" s="41" t="s">
        <v>122</v>
      </c>
      <c r="M403" s="39" t="s">
        <v>1953</v>
      </c>
      <c r="N403" s="41" t="s">
        <v>95</v>
      </c>
      <c r="O403" s="42">
        <v>5</v>
      </c>
      <c r="P403" s="41" t="s">
        <v>46</v>
      </c>
      <c r="Q403" s="41" t="s">
        <v>66</v>
      </c>
      <c r="R403" s="41" t="s">
        <v>234</v>
      </c>
      <c r="S403" s="41" t="s">
        <v>234</v>
      </c>
      <c r="T403" s="41" t="s">
        <v>234</v>
      </c>
      <c r="U403" s="41" t="s">
        <v>234</v>
      </c>
      <c r="V403" s="41" t="s">
        <v>234</v>
      </c>
      <c r="W403" s="41" t="s">
        <v>234</v>
      </c>
      <c r="X403" s="43">
        <v>0</v>
      </c>
      <c r="Y403" s="41" t="s">
        <v>97</v>
      </c>
      <c r="Z403" s="41" t="s">
        <v>97</v>
      </c>
      <c r="AA403" s="41" t="s">
        <v>113</v>
      </c>
      <c r="AB403" s="39" t="s">
        <v>46</v>
      </c>
      <c r="AC403" s="44" t="s">
        <v>46</v>
      </c>
    </row>
    <row r="404" spans="1:29" x14ac:dyDescent="0.25">
      <c r="A404" s="45" t="s">
        <v>1966</v>
      </c>
      <c r="B404" s="46" t="s">
        <v>179</v>
      </c>
      <c r="C404" s="46" t="s">
        <v>182</v>
      </c>
      <c r="D404" s="47" t="s">
        <v>1948</v>
      </c>
      <c r="E404" s="47" t="s">
        <v>133</v>
      </c>
      <c r="F404" s="46" t="s">
        <v>1967</v>
      </c>
      <c r="G404" s="46" t="s">
        <v>1968</v>
      </c>
      <c r="H404" s="47" t="s">
        <v>130</v>
      </c>
      <c r="I404" s="47" t="s">
        <v>1791</v>
      </c>
      <c r="J404" s="46" t="s">
        <v>1969</v>
      </c>
      <c r="K404" s="47" t="s">
        <v>1952</v>
      </c>
      <c r="L404" s="48" t="s">
        <v>122</v>
      </c>
      <c r="M404" s="46" t="s">
        <v>1953</v>
      </c>
      <c r="N404" s="48" t="s">
        <v>95</v>
      </c>
      <c r="O404" s="49">
        <v>4</v>
      </c>
      <c r="P404" s="48" t="s">
        <v>46</v>
      </c>
      <c r="Q404" s="41" t="s">
        <v>66</v>
      </c>
      <c r="R404" s="41" t="s">
        <v>234</v>
      </c>
      <c r="S404" s="41" t="s">
        <v>234</v>
      </c>
      <c r="T404" s="41" t="s">
        <v>234</v>
      </c>
      <c r="U404" s="41" t="s">
        <v>234</v>
      </c>
      <c r="V404" s="41" t="s">
        <v>234</v>
      </c>
      <c r="W404" s="41" t="s">
        <v>234</v>
      </c>
      <c r="X404" s="43">
        <v>0</v>
      </c>
      <c r="Y404" s="41" t="s">
        <v>97</v>
      </c>
      <c r="Z404" s="41" t="s">
        <v>97</v>
      </c>
      <c r="AA404" s="41" t="s">
        <v>113</v>
      </c>
      <c r="AB404" s="39" t="s">
        <v>46</v>
      </c>
      <c r="AC404" s="44" t="s">
        <v>46</v>
      </c>
    </row>
    <row r="405" spans="1:29" x14ac:dyDescent="0.25">
      <c r="A405" s="38" t="s">
        <v>1970</v>
      </c>
      <c r="B405" s="39" t="s">
        <v>179</v>
      </c>
      <c r="C405" s="39" t="s">
        <v>182</v>
      </c>
      <c r="D405" s="40" t="s">
        <v>1948</v>
      </c>
      <c r="E405" s="40" t="s">
        <v>133</v>
      </c>
      <c r="F405" s="39" t="s">
        <v>1971</v>
      </c>
      <c r="G405" s="39" t="s">
        <v>1972</v>
      </c>
      <c r="H405" s="40" t="s">
        <v>130</v>
      </c>
      <c r="I405" s="40" t="s">
        <v>1791</v>
      </c>
      <c r="J405" s="39" t="s">
        <v>1973</v>
      </c>
      <c r="K405" s="40" t="s">
        <v>1952</v>
      </c>
      <c r="L405" s="41" t="s">
        <v>122</v>
      </c>
      <c r="M405" s="39" t="s">
        <v>1953</v>
      </c>
      <c r="N405" s="41" t="s">
        <v>95</v>
      </c>
      <c r="O405" s="42">
        <v>4</v>
      </c>
      <c r="P405" s="41" t="s">
        <v>46</v>
      </c>
      <c r="Q405" s="41" t="s">
        <v>66</v>
      </c>
      <c r="R405" s="41" t="s">
        <v>234</v>
      </c>
      <c r="S405" s="41" t="s">
        <v>234</v>
      </c>
      <c r="T405" s="41" t="s">
        <v>234</v>
      </c>
      <c r="U405" s="41" t="s">
        <v>234</v>
      </c>
      <c r="V405" s="41" t="s">
        <v>234</v>
      </c>
      <c r="W405" s="41" t="s">
        <v>234</v>
      </c>
      <c r="X405" s="43">
        <v>0</v>
      </c>
      <c r="Y405" s="41" t="s">
        <v>97</v>
      </c>
      <c r="Z405" s="41" t="s">
        <v>97</v>
      </c>
      <c r="AA405" s="41" t="s">
        <v>113</v>
      </c>
      <c r="AB405" s="39" t="s">
        <v>46</v>
      </c>
      <c r="AC405" s="44" t="s">
        <v>46</v>
      </c>
    </row>
    <row r="406" spans="1:29" x14ac:dyDescent="0.25">
      <c r="A406" s="45" t="s">
        <v>1974</v>
      </c>
      <c r="B406" s="46" t="s">
        <v>179</v>
      </c>
      <c r="C406" s="46" t="s">
        <v>182</v>
      </c>
      <c r="D406" s="47" t="s">
        <v>1948</v>
      </c>
      <c r="E406" s="47" t="s">
        <v>398</v>
      </c>
      <c r="F406" s="46" t="s">
        <v>1975</v>
      </c>
      <c r="G406" s="46" t="s">
        <v>1976</v>
      </c>
      <c r="H406" s="47" t="s">
        <v>128</v>
      </c>
      <c r="I406" s="47" t="s">
        <v>401</v>
      </c>
      <c r="J406" s="46" t="s">
        <v>1977</v>
      </c>
      <c r="K406" s="47" t="s">
        <v>1952</v>
      </c>
      <c r="L406" s="48" t="s">
        <v>122</v>
      </c>
      <c r="M406" s="46" t="s">
        <v>1953</v>
      </c>
      <c r="N406" s="48" t="s">
        <v>95</v>
      </c>
      <c r="O406" s="49">
        <v>5</v>
      </c>
      <c r="P406" s="48" t="s">
        <v>46</v>
      </c>
      <c r="Q406" s="41" t="s">
        <v>66</v>
      </c>
      <c r="R406" s="41" t="s">
        <v>234</v>
      </c>
      <c r="S406" s="41" t="s">
        <v>234</v>
      </c>
      <c r="T406" s="41" t="s">
        <v>234</v>
      </c>
      <c r="U406" s="41" t="s">
        <v>234</v>
      </c>
      <c r="V406" s="41" t="s">
        <v>234</v>
      </c>
      <c r="W406" s="41" t="s">
        <v>234</v>
      </c>
      <c r="X406" s="43">
        <v>0</v>
      </c>
      <c r="Y406" s="41" t="s">
        <v>97</v>
      </c>
      <c r="Z406" s="41" t="s">
        <v>97</v>
      </c>
      <c r="AA406" s="41" t="s">
        <v>113</v>
      </c>
      <c r="AB406" s="39" t="s">
        <v>46</v>
      </c>
      <c r="AC406" s="44" t="s">
        <v>46</v>
      </c>
    </row>
    <row r="407" spans="1:29" x14ac:dyDescent="0.25">
      <c r="A407" s="38" t="s">
        <v>1978</v>
      </c>
      <c r="B407" s="39" t="s">
        <v>179</v>
      </c>
      <c r="C407" s="39" t="s">
        <v>182</v>
      </c>
      <c r="D407" s="40" t="s">
        <v>1948</v>
      </c>
      <c r="E407" s="40" t="s">
        <v>133</v>
      </c>
      <c r="F407" s="39" t="s">
        <v>1979</v>
      </c>
      <c r="G407" s="39" t="s">
        <v>1980</v>
      </c>
      <c r="H407" s="40" t="s">
        <v>126</v>
      </c>
      <c r="I407" s="40" t="s">
        <v>246</v>
      </c>
      <c r="J407" s="39" t="s">
        <v>1981</v>
      </c>
      <c r="K407" s="40" t="s">
        <v>1952</v>
      </c>
      <c r="L407" s="41" t="s">
        <v>122</v>
      </c>
      <c r="M407" s="39" t="s">
        <v>1953</v>
      </c>
      <c r="N407" s="41" t="s">
        <v>95</v>
      </c>
      <c r="O407" s="42">
        <v>6</v>
      </c>
      <c r="P407" s="41" t="s">
        <v>46</v>
      </c>
      <c r="Q407" s="41" t="s">
        <v>66</v>
      </c>
      <c r="R407" s="41" t="s">
        <v>234</v>
      </c>
      <c r="S407" s="41" t="s">
        <v>234</v>
      </c>
      <c r="T407" s="41" t="s">
        <v>234</v>
      </c>
      <c r="U407" s="41" t="s">
        <v>234</v>
      </c>
      <c r="V407" s="41" t="s">
        <v>234</v>
      </c>
      <c r="W407" s="41" t="s">
        <v>234</v>
      </c>
      <c r="X407" s="43">
        <v>0</v>
      </c>
      <c r="Y407" s="41" t="s">
        <v>97</v>
      </c>
      <c r="Z407" s="41" t="s">
        <v>97</v>
      </c>
      <c r="AA407" s="41" t="s">
        <v>113</v>
      </c>
      <c r="AB407" s="39" t="s">
        <v>46</v>
      </c>
      <c r="AC407" s="44" t="s">
        <v>46</v>
      </c>
    </row>
    <row r="408" spans="1:29" x14ac:dyDescent="0.25">
      <c r="A408" s="45" t="s">
        <v>1982</v>
      </c>
      <c r="B408" s="46" t="s">
        <v>179</v>
      </c>
      <c r="C408" s="46" t="s">
        <v>182</v>
      </c>
      <c r="D408" s="47" t="s">
        <v>1948</v>
      </c>
      <c r="E408" s="47" t="s">
        <v>133</v>
      </c>
      <c r="F408" s="46" t="s">
        <v>1983</v>
      </c>
      <c r="G408" s="46" t="s">
        <v>1984</v>
      </c>
      <c r="H408" s="47" t="s">
        <v>130</v>
      </c>
      <c r="I408" s="47" t="s">
        <v>1791</v>
      </c>
      <c r="J408" s="46" t="s">
        <v>1985</v>
      </c>
      <c r="K408" s="47" t="s">
        <v>1952</v>
      </c>
      <c r="L408" s="48" t="s">
        <v>122</v>
      </c>
      <c r="M408" s="46" t="s">
        <v>1953</v>
      </c>
      <c r="N408" s="48" t="s">
        <v>95</v>
      </c>
      <c r="O408" s="49">
        <v>6</v>
      </c>
      <c r="P408" s="48" t="s">
        <v>46</v>
      </c>
      <c r="Q408" s="41" t="s">
        <v>66</v>
      </c>
      <c r="R408" s="41" t="s">
        <v>234</v>
      </c>
      <c r="S408" s="41" t="s">
        <v>234</v>
      </c>
      <c r="T408" s="41" t="s">
        <v>234</v>
      </c>
      <c r="U408" s="41" t="s">
        <v>234</v>
      </c>
      <c r="V408" s="41" t="s">
        <v>234</v>
      </c>
      <c r="W408" s="41" t="s">
        <v>234</v>
      </c>
      <c r="X408" s="43">
        <v>0</v>
      </c>
      <c r="Y408" s="41" t="s">
        <v>97</v>
      </c>
      <c r="Z408" s="41" t="s">
        <v>97</v>
      </c>
      <c r="AA408" s="41" t="s">
        <v>113</v>
      </c>
      <c r="AB408" s="39" t="s">
        <v>46</v>
      </c>
      <c r="AC408" s="44" t="s">
        <v>46</v>
      </c>
    </row>
    <row r="409" spans="1:29" x14ac:dyDescent="0.25">
      <c r="A409" s="38" t="s">
        <v>1986</v>
      </c>
      <c r="B409" s="39" t="s">
        <v>179</v>
      </c>
      <c r="C409" s="39" t="s">
        <v>182</v>
      </c>
      <c r="D409" s="40" t="s">
        <v>1948</v>
      </c>
      <c r="E409" s="40" t="s">
        <v>133</v>
      </c>
      <c r="F409" s="39" t="s">
        <v>1987</v>
      </c>
      <c r="G409" s="39" t="s">
        <v>1988</v>
      </c>
      <c r="H409" s="40" t="s">
        <v>130</v>
      </c>
      <c r="I409" s="40" t="s">
        <v>1791</v>
      </c>
      <c r="J409" s="39" t="s">
        <v>1989</v>
      </c>
      <c r="K409" s="40" t="s">
        <v>1952</v>
      </c>
      <c r="L409" s="41" t="s">
        <v>122</v>
      </c>
      <c r="M409" s="39" t="s">
        <v>1953</v>
      </c>
      <c r="N409" s="41" t="s">
        <v>95</v>
      </c>
      <c r="O409" s="42">
        <v>8</v>
      </c>
      <c r="P409" s="41" t="s">
        <v>46</v>
      </c>
      <c r="Q409" s="41" t="s">
        <v>66</v>
      </c>
      <c r="R409" s="41" t="s">
        <v>234</v>
      </c>
      <c r="S409" s="41" t="s">
        <v>234</v>
      </c>
      <c r="T409" s="41" t="s">
        <v>234</v>
      </c>
      <c r="U409" s="41" t="s">
        <v>234</v>
      </c>
      <c r="V409" s="41" t="s">
        <v>234</v>
      </c>
      <c r="W409" s="41" t="s">
        <v>234</v>
      </c>
      <c r="X409" s="43">
        <v>0</v>
      </c>
      <c r="Y409" s="41" t="s">
        <v>97</v>
      </c>
      <c r="Z409" s="41" t="s">
        <v>97</v>
      </c>
      <c r="AA409" s="41" t="s">
        <v>113</v>
      </c>
      <c r="AB409" s="39" t="s">
        <v>1990</v>
      </c>
      <c r="AC409" s="44" t="s">
        <v>46</v>
      </c>
    </row>
    <row r="410" spans="1:29" x14ac:dyDescent="0.25">
      <c r="A410" s="45" t="s">
        <v>1991</v>
      </c>
      <c r="B410" s="46" t="s">
        <v>179</v>
      </c>
      <c r="C410" s="46" t="s">
        <v>182</v>
      </c>
      <c r="D410" s="47" t="s">
        <v>1948</v>
      </c>
      <c r="E410" s="47" t="s">
        <v>133</v>
      </c>
      <c r="F410" s="46" t="s">
        <v>1992</v>
      </c>
      <c r="G410" s="46" t="s">
        <v>1993</v>
      </c>
      <c r="H410" s="47" t="s">
        <v>130</v>
      </c>
      <c r="I410" s="47" t="s">
        <v>1791</v>
      </c>
      <c r="J410" s="46" t="s">
        <v>1994</v>
      </c>
      <c r="K410" s="47" t="s">
        <v>1952</v>
      </c>
      <c r="L410" s="48" t="s">
        <v>122</v>
      </c>
      <c r="M410" s="46" t="s">
        <v>1953</v>
      </c>
      <c r="N410" s="48" t="s">
        <v>95</v>
      </c>
      <c r="O410" s="49">
        <v>5</v>
      </c>
      <c r="P410" s="48" t="s">
        <v>46</v>
      </c>
      <c r="Q410" s="41" t="s">
        <v>66</v>
      </c>
      <c r="R410" s="41" t="s">
        <v>234</v>
      </c>
      <c r="S410" s="41" t="s">
        <v>234</v>
      </c>
      <c r="T410" s="41" t="s">
        <v>234</v>
      </c>
      <c r="U410" s="41" t="s">
        <v>234</v>
      </c>
      <c r="V410" s="41" t="s">
        <v>234</v>
      </c>
      <c r="W410" s="41" t="s">
        <v>234</v>
      </c>
      <c r="X410" s="43">
        <v>0</v>
      </c>
      <c r="Y410" s="41" t="s">
        <v>97</v>
      </c>
      <c r="Z410" s="41" t="s">
        <v>97</v>
      </c>
      <c r="AA410" s="41" t="s">
        <v>113</v>
      </c>
      <c r="AB410" s="39" t="s">
        <v>46</v>
      </c>
      <c r="AC410" s="44" t="s">
        <v>46</v>
      </c>
    </row>
    <row r="411" spans="1:29" x14ac:dyDescent="0.25">
      <c r="A411" s="38" t="s">
        <v>1995</v>
      </c>
      <c r="B411" s="39" t="s">
        <v>179</v>
      </c>
      <c r="C411" s="39" t="s">
        <v>182</v>
      </c>
      <c r="D411" s="40" t="s">
        <v>1948</v>
      </c>
      <c r="E411" s="40" t="s">
        <v>133</v>
      </c>
      <c r="F411" s="39" t="s">
        <v>1996</v>
      </c>
      <c r="G411" s="39" t="s">
        <v>1997</v>
      </c>
      <c r="H411" s="40" t="s">
        <v>130</v>
      </c>
      <c r="I411" s="40" t="s">
        <v>1791</v>
      </c>
      <c r="J411" s="39" t="s">
        <v>1998</v>
      </c>
      <c r="K411" s="40" t="s">
        <v>1952</v>
      </c>
      <c r="L411" s="41" t="s">
        <v>122</v>
      </c>
      <c r="M411" s="39" t="s">
        <v>1953</v>
      </c>
      <c r="N411" s="41" t="s">
        <v>95</v>
      </c>
      <c r="O411" s="42">
        <v>5</v>
      </c>
      <c r="P411" s="41" t="s">
        <v>46</v>
      </c>
      <c r="Q411" s="41" t="s">
        <v>66</v>
      </c>
      <c r="R411" s="41" t="s">
        <v>234</v>
      </c>
      <c r="S411" s="41" t="s">
        <v>234</v>
      </c>
      <c r="T411" s="41" t="s">
        <v>234</v>
      </c>
      <c r="U411" s="41" t="s">
        <v>234</v>
      </c>
      <c r="V411" s="41" t="s">
        <v>234</v>
      </c>
      <c r="W411" s="41" t="s">
        <v>234</v>
      </c>
      <c r="X411" s="43">
        <v>0</v>
      </c>
      <c r="Y411" s="41" t="s">
        <v>97</v>
      </c>
      <c r="Z411" s="41" t="s">
        <v>97</v>
      </c>
      <c r="AA411" s="41" t="s">
        <v>113</v>
      </c>
      <c r="AB411" s="39" t="s">
        <v>46</v>
      </c>
      <c r="AC411" s="44" t="s">
        <v>46</v>
      </c>
    </row>
    <row r="412" spans="1:29" x14ac:dyDescent="0.25">
      <c r="A412" s="45" t="s">
        <v>1999</v>
      </c>
      <c r="B412" s="46" t="s">
        <v>179</v>
      </c>
      <c r="C412" s="46" t="s">
        <v>182</v>
      </c>
      <c r="D412" s="47" t="s">
        <v>1948</v>
      </c>
      <c r="E412" s="47" t="s">
        <v>56</v>
      </c>
      <c r="F412" s="46" t="s">
        <v>2000</v>
      </c>
      <c r="G412" s="46" t="s">
        <v>2001</v>
      </c>
      <c r="H412" s="47" t="s">
        <v>132</v>
      </c>
      <c r="I412" s="47" t="s">
        <v>522</v>
      </c>
      <c r="J412" s="46" t="s">
        <v>1742</v>
      </c>
      <c r="K412" s="47" t="s">
        <v>1952</v>
      </c>
      <c r="L412" s="48" t="s">
        <v>122</v>
      </c>
      <c r="M412" s="46" t="s">
        <v>1953</v>
      </c>
      <c r="N412" s="48" t="s">
        <v>95</v>
      </c>
      <c r="O412" s="49">
        <v>10</v>
      </c>
      <c r="P412" s="48" t="s">
        <v>46</v>
      </c>
      <c r="Q412" s="41" t="s">
        <v>66</v>
      </c>
      <c r="R412" s="41" t="s">
        <v>234</v>
      </c>
      <c r="S412" s="41" t="s">
        <v>234</v>
      </c>
      <c r="T412" s="41" t="s">
        <v>234</v>
      </c>
      <c r="U412" s="41" t="s">
        <v>234</v>
      </c>
      <c r="V412" s="41" t="s">
        <v>234</v>
      </c>
      <c r="W412" s="41" t="s">
        <v>234</v>
      </c>
      <c r="X412" s="43">
        <v>0</v>
      </c>
      <c r="Y412" s="41" t="s">
        <v>97</v>
      </c>
      <c r="Z412" s="41" t="s">
        <v>97</v>
      </c>
      <c r="AA412" s="41" t="s">
        <v>113</v>
      </c>
      <c r="AB412" s="39" t="s">
        <v>46</v>
      </c>
      <c r="AC412" s="44" t="s">
        <v>46</v>
      </c>
    </row>
    <row r="413" spans="1:29" x14ac:dyDescent="0.25">
      <c r="A413" s="38" t="s">
        <v>2002</v>
      </c>
      <c r="B413" s="39" t="s">
        <v>179</v>
      </c>
      <c r="C413" s="39" t="s">
        <v>183</v>
      </c>
      <c r="D413" s="40" t="s">
        <v>2003</v>
      </c>
      <c r="E413" s="40" t="s">
        <v>133</v>
      </c>
      <c r="F413" s="39" t="s">
        <v>2004</v>
      </c>
      <c r="G413" s="39" t="s">
        <v>2005</v>
      </c>
      <c r="H413" s="40" t="s">
        <v>130</v>
      </c>
      <c r="I413" s="40" t="s">
        <v>2006</v>
      </c>
      <c r="J413" s="39" t="s">
        <v>2007</v>
      </c>
      <c r="K413" s="40" t="s">
        <v>2008</v>
      </c>
      <c r="L413" s="41" t="s">
        <v>125</v>
      </c>
      <c r="M413" s="39" t="s">
        <v>1866</v>
      </c>
      <c r="N413" s="41" t="s">
        <v>95</v>
      </c>
      <c r="O413" s="42">
        <v>8</v>
      </c>
      <c r="P413" s="41" t="s">
        <v>46</v>
      </c>
      <c r="Q413" s="41" t="s">
        <v>66</v>
      </c>
      <c r="R413" s="41" t="s">
        <v>234</v>
      </c>
      <c r="S413" s="41" t="s">
        <v>234</v>
      </c>
      <c r="T413" s="41" t="s">
        <v>234</v>
      </c>
      <c r="U413" s="41" t="s">
        <v>234</v>
      </c>
      <c r="V413" s="41" t="s">
        <v>234</v>
      </c>
      <c r="W413" s="41" t="s">
        <v>234</v>
      </c>
      <c r="X413" s="43">
        <v>0</v>
      </c>
      <c r="Y413" s="41" t="s">
        <v>97</v>
      </c>
      <c r="Z413" s="41" t="s">
        <v>97</v>
      </c>
      <c r="AA413" s="41" t="s">
        <v>113</v>
      </c>
      <c r="AB413" s="39" t="s">
        <v>46</v>
      </c>
      <c r="AC413" s="44" t="s">
        <v>46</v>
      </c>
    </row>
    <row r="414" spans="1:29" x14ac:dyDescent="0.25">
      <c r="A414" s="45" t="s">
        <v>2009</v>
      </c>
      <c r="B414" s="46" t="s">
        <v>179</v>
      </c>
      <c r="C414" s="46" t="s">
        <v>183</v>
      </c>
      <c r="D414" s="47" t="s">
        <v>2003</v>
      </c>
      <c r="E414" s="47" t="s">
        <v>133</v>
      </c>
      <c r="F414" s="46" t="s">
        <v>2010</v>
      </c>
      <c r="G414" s="46" t="s">
        <v>2011</v>
      </c>
      <c r="H414" s="47" t="s">
        <v>130</v>
      </c>
      <c r="I414" s="47" t="s">
        <v>2006</v>
      </c>
      <c r="J414" s="46" t="s">
        <v>2012</v>
      </c>
      <c r="K414" s="47" t="s">
        <v>2008</v>
      </c>
      <c r="L414" s="48" t="s">
        <v>125</v>
      </c>
      <c r="M414" s="46" t="s">
        <v>1866</v>
      </c>
      <c r="N414" s="48" t="s">
        <v>95</v>
      </c>
      <c r="O414" s="49">
        <v>8</v>
      </c>
      <c r="P414" s="48" t="s">
        <v>46</v>
      </c>
      <c r="Q414" s="41" t="s">
        <v>66</v>
      </c>
      <c r="R414" s="41" t="s">
        <v>234</v>
      </c>
      <c r="S414" s="41" t="s">
        <v>234</v>
      </c>
      <c r="T414" s="41" t="s">
        <v>234</v>
      </c>
      <c r="U414" s="41" t="s">
        <v>234</v>
      </c>
      <c r="V414" s="41" t="s">
        <v>234</v>
      </c>
      <c r="W414" s="41" t="s">
        <v>234</v>
      </c>
      <c r="X414" s="43">
        <v>0</v>
      </c>
      <c r="Y414" s="41" t="s">
        <v>97</v>
      </c>
      <c r="Z414" s="41" t="s">
        <v>97</v>
      </c>
      <c r="AA414" s="41" t="s">
        <v>113</v>
      </c>
      <c r="AB414" s="39" t="s">
        <v>46</v>
      </c>
      <c r="AC414" s="44" t="s">
        <v>46</v>
      </c>
    </row>
    <row r="415" spans="1:29" x14ac:dyDescent="0.25">
      <c r="A415" s="38" t="s">
        <v>2013</v>
      </c>
      <c r="B415" s="39" t="s">
        <v>179</v>
      </c>
      <c r="C415" s="39" t="s">
        <v>183</v>
      </c>
      <c r="D415" s="40" t="s">
        <v>2003</v>
      </c>
      <c r="E415" s="40" t="s">
        <v>133</v>
      </c>
      <c r="F415" s="39" t="s">
        <v>2014</v>
      </c>
      <c r="G415" s="39" t="s">
        <v>2015</v>
      </c>
      <c r="H415" s="40" t="s">
        <v>130</v>
      </c>
      <c r="I415" s="40" t="s">
        <v>2006</v>
      </c>
      <c r="J415" s="39" t="s">
        <v>2016</v>
      </c>
      <c r="K415" s="40" t="s">
        <v>2008</v>
      </c>
      <c r="L415" s="41" t="s">
        <v>125</v>
      </c>
      <c r="M415" s="39" t="s">
        <v>1866</v>
      </c>
      <c r="N415" s="41" t="s">
        <v>95</v>
      </c>
      <c r="O415" s="42">
        <v>6</v>
      </c>
      <c r="P415" s="41" t="s">
        <v>46</v>
      </c>
      <c r="Q415" s="41" t="s">
        <v>66</v>
      </c>
      <c r="R415" s="41" t="s">
        <v>234</v>
      </c>
      <c r="S415" s="41" t="s">
        <v>234</v>
      </c>
      <c r="T415" s="41" t="s">
        <v>234</v>
      </c>
      <c r="U415" s="41" t="s">
        <v>234</v>
      </c>
      <c r="V415" s="41" t="s">
        <v>234</v>
      </c>
      <c r="W415" s="41" t="s">
        <v>234</v>
      </c>
      <c r="X415" s="43">
        <v>0</v>
      </c>
      <c r="Y415" s="41" t="s">
        <v>97</v>
      </c>
      <c r="Z415" s="41" t="s">
        <v>97</v>
      </c>
      <c r="AA415" s="41" t="s">
        <v>113</v>
      </c>
      <c r="AB415" s="39" t="s">
        <v>2017</v>
      </c>
      <c r="AC415" s="44" t="s">
        <v>46</v>
      </c>
    </row>
    <row r="416" spans="1:29" x14ac:dyDescent="0.25">
      <c r="A416" s="45" t="s">
        <v>2018</v>
      </c>
      <c r="B416" s="46" t="s">
        <v>179</v>
      </c>
      <c r="C416" s="46" t="s">
        <v>183</v>
      </c>
      <c r="D416" s="47" t="s">
        <v>2003</v>
      </c>
      <c r="E416" s="47" t="s">
        <v>133</v>
      </c>
      <c r="F416" s="46" t="s">
        <v>2019</v>
      </c>
      <c r="G416" s="46" t="s">
        <v>2020</v>
      </c>
      <c r="H416" s="47" t="s">
        <v>130</v>
      </c>
      <c r="I416" s="47" t="s">
        <v>2006</v>
      </c>
      <c r="J416" s="46" t="s">
        <v>2021</v>
      </c>
      <c r="K416" s="47" t="s">
        <v>2008</v>
      </c>
      <c r="L416" s="48" t="s">
        <v>125</v>
      </c>
      <c r="M416" s="46" t="s">
        <v>1866</v>
      </c>
      <c r="N416" s="48" t="s">
        <v>95</v>
      </c>
      <c r="O416" s="49">
        <v>5</v>
      </c>
      <c r="P416" s="48" t="s">
        <v>46</v>
      </c>
      <c r="Q416" s="41" t="s">
        <v>66</v>
      </c>
      <c r="R416" s="41" t="s">
        <v>234</v>
      </c>
      <c r="S416" s="41" t="s">
        <v>234</v>
      </c>
      <c r="T416" s="41" t="s">
        <v>234</v>
      </c>
      <c r="U416" s="41" t="s">
        <v>234</v>
      </c>
      <c r="V416" s="41" t="s">
        <v>234</v>
      </c>
      <c r="W416" s="41" t="s">
        <v>234</v>
      </c>
      <c r="X416" s="43">
        <v>0</v>
      </c>
      <c r="Y416" s="41" t="s">
        <v>97</v>
      </c>
      <c r="Z416" s="41" t="s">
        <v>97</v>
      </c>
      <c r="AA416" s="41" t="s">
        <v>113</v>
      </c>
      <c r="AB416" s="39" t="s">
        <v>46</v>
      </c>
      <c r="AC416" s="44" t="s">
        <v>46</v>
      </c>
    </row>
    <row r="417" spans="1:29" x14ac:dyDescent="0.25">
      <c r="A417" s="38" t="s">
        <v>2022</v>
      </c>
      <c r="B417" s="39" t="s">
        <v>179</v>
      </c>
      <c r="C417" s="39" t="s">
        <v>183</v>
      </c>
      <c r="D417" s="40" t="s">
        <v>2003</v>
      </c>
      <c r="E417" s="40" t="s">
        <v>56</v>
      </c>
      <c r="F417" s="39" t="s">
        <v>2023</v>
      </c>
      <c r="G417" s="39" t="s">
        <v>2024</v>
      </c>
      <c r="H417" s="40" t="s">
        <v>132</v>
      </c>
      <c r="I417" s="40" t="s">
        <v>522</v>
      </c>
      <c r="J417" s="39" t="s">
        <v>879</v>
      </c>
      <c r="K417" s="40" t="s">
        <v>2008</v>
      </c>
      <c r="L417" s="41" t="s">
        <v>125</v>
      </c>
      <c r="M417" s="39" t="s">
        <v>1866</v>
      </c>
      <c r="N417" s="41" t="s">
        <v>95</v>
      </c>
      <c r="O417" s="42">
        <v>6</v>
      </c>
      <c r="P417" s="41" t="s">
        <v>46</v>
      </c>
      <c r="Q417" s="41" t="s">
        <v>66</v>
      </c>
      <c r="R417" s="41" t="s">
        <v>234</v>
      </c>
      <c r="S417" s="41" t="s">
        <v>234</v>
      </c>
      <c r="T417" s="41" t="s">
        <v>234</v>
      </c>
      <c r="U417" s="41" t="s">
        <v>234</v>
      </c>
      <c r="V417" s="41" t="s">
        <v>234</v>
      </c>
      <c r="W417" s="41" t="s">
        <v>234</v>
      </c>
      <c r="X417" s="43">
        <v>0</v>
      </c>
      <c r="Y417" s="41" t="s">
        <v>97</v>
      </c>
      <c r="Z417" s="41" t="s">
        <v>97</v>
      </c>
      <c r="AA417" s="41" t="s">
        <v>113</v>
      </c>
      <c r="AB417" s="39" t="s">
        <v>46</v>
      </c>
      <c r="AC417" s="44" t="s">
        <v>46</v>
      </c>
    </row>
    <row r="418" spans="1:29" x14ac:dyDescent="0.25">
      <c r="A418" s="45" t="s">
        <v>2025</v>
      </c>
      <c r="B418" s="46" t="s">
        <v>185</v>
      </c>
      <c r="C418" s="46" t="s">
        <v>184</v>
      </c>
      <c r="D418" s="47" t="s">
        <v>2026</v>
      </c>
      <c r="E418" s="47" t="s">
        <v>124</v>
      </c>
      <c r="F418" s="46" t="s">
        <v>2027</v>
      </c>
      <c r="G418" s="46" t="s">
        <v>2028</v>
      </c>
      <c r="H418" s="47" t="s">
        <v>126</v>
      </c>
      <c r="I418" s="47" t="s">
        <v>325</v>
      </c>
      <c r="J418" s="46" t="s">
        <v>2029</v>
      </c>
      <c r="K418" s="47" t="s">
        <v>2030</v>
      </c>
      <c r="L418" s="48" t="s">
        <v>122</v>
      </c>
      <c r="M418" s="46" t="s">
        <v>1589</v>
      </c>
      <c r="N418" s="48" t="s">
        <v>84</v>
      </c>
      <c r="O418" s="49">
        <v>8</v>
      </c>
      <c r="P418" s="48" t="s">
        <v>46</v>
      </c>
      <c r="Q418" s="41" t="s">
        <v>66</v>
      </c>
      <c r="R418" s="41" t="s">
        <v>234</v>
      </c>
      <c r="S418" s="41" t="s">
        <v>234</v>
      </c>
      <c r="T418" s="41" t="s">
        <v>234</v>
      </c>
      <c r="U418" s="41" t="s">
        <v>234</v>
      </c>
      <c r="V418" s="41" t="s">
        <v>234</v>
      </c>
      <c r="W418" s="41" t="s">
        <v>234</v>
      </c>
      <c r="X418" s="43">
        <v>0</v>
      </c>
      <c r="Y418" s="41" t="s">
        <v>97</v>
      </c>
      <c r="Z418" s="41" t="s">
        <v>97</v>
      </c>
      <c r="AA418" s="41" t="s">
        <v>113</v>
      </c>
      <c r="AB418" s="39" t="s">
        <v>46</v>
      </c>
      <c r="AC418" s="44" t="s">
        <v>46</v>
      </c>
    </row>
    <row r="419" spans="1:29" x14ac:dyDescent="0.25">
      <c r="A419" s="38" t="s">
        <v>2031</v>
      </c>
      <c r="B419" s="39" t="s">
        <v>185</v>
      </c>
      <c r="C419" s="39" t="s">
        <v>184</v>
      </c>
      <c r="D419" s="40" t="s">
        <v>2026</v>
      </c>
      <c r="E419" s="40" t="s">
        <v>129</v>
      </c>
      <c r="F419" s="39" t="s">
        <v>2032</v>
      </c>
      <c r="G419" s="39" t="s">
        <v>2033</v>
      </c>
      <c r="H419" s="40" t="s">
        <v>126</v>
      </c>
      <c r="I419" s="40" t="s">
        <v>325</v>
      </c>
      <c r="J419" s="39" t="s">
        <v>2034</v>
      </c>
      <c r="K419" s="40" t="s">
        <v>2030</v>
      </c>
      <c r="L419" s="41" t="s">
        <v>122</v>
      </c>
      <c r="M419" s="39" t="s">
        <v>1589</v>
      </c>
      <c r="N419" s="41" t="s">
        <v>84</v>
      </c>
      <c r="O419" s="42">
        <v>10</v>
      </c>
      <c r="P419" s="41" t="s">
        <v>46</v>
      </c>
      <c r="Q419" s="41" t="s">
        <v>66</v>
      </c>
      <c r="R419" s="41" t="s">
        <v>234</v>
      </c>
      <c r="S419" s="41" t="s">
        <v>234</v>
      </c>
      <c r="T419" s="41" t="s">
        <v>234</v>
      </c>
      <c r="U419" s="41" t="s">
        <v>234</v>
      </c>
      <c r="V419" s="41" t="s">
        <v>234</v>
      </c>
      <c r="W419" s="41" t="s">
        <v>234</v>
      </c>
      <c r="X419" s="43">
        <v>0</v>
      </c>
      <c r="Y419" s="41" t="s">
        <v>97</v>
      </c>
      <c r="Z419" s="41" t="s">
        <v>97</v>
      </c>
      <c r="AA419" s="41" t="s">
        <v>113</v>
      </c>
      <c r="AB419" s="39" t="s">
        <v>46</v>
      </c>
      <c r="AC419" s="44" t="s">
        <v>46</v>
      </c>
    </row>
    <row r="420" spans="1:29" x14ac:dyDescent="0.25">
      <c r="A420" s="45" t="s">
        <v>2035</v>
      </c>
      <c r="B420" s="46" t="s">
        <v>185</v>
      </c>
      <c r="C420" s="46" t="s">
        <v>184</v>
      </c>
      <c r="D420" s="47" t="s">
        <v>2026</v>
      </c>
      <c r="E420" s="47" t="s">
        <v>129</v>
      </c>
      <c r="F420" s="46" t="s">
        <v>2036</v>
      </c>
      <c r="G420" s="46" t="s">
        <v>2037</v>
      </c>
      <c r="H420" s="47" t="s">
        <v>126</v>
      </c>
      <c r="I420" s="47" t="s">
        <v>325</v>
      </c>
      <c r="J420" s="46" t="s">
        <v>2038</v>
      </c>
      <c r="K420" s="47" t="s">
        <v>2030</v>
      </c>
      <c r="L420" s="48" t="s">
        <v>122</v>
      </c>
      <c r="M420" s="46" t="s">
        <v>1589</v>
      </c>
      <c r="N420" s="48" t="s">
        <v>85</v>
      </c>
      <c r="O420" s="49">
        <v>6</v>
      </c>
      <c r="P420" s="48" t="s">
        <v>46</v>
      </c>
      <c r="Q420" s="41" t="s">
        <v>66</v>
      </c>
      <c r="R420" s="41" t="s">
        <v>234</v>
      </c>
      <c r="S420" s="41" t="s">
        <v>234</v>
      </c>
      <c r="T420" s="41" t="s">
        <v>234</v>
      </c>
      <c r="U420" s="41" t="s">
        <v>234</v>
      </c>
      <c r="V420" s="41" t="s">
        <v>234</v>
      </c>
      <c r="W420" s="41" t="s">
        <v>234</v>
      </c>
      <c r="X420" s="43">
        <v>0</v>
      </c>
      <c r="Y420" s="41" t="s">
        <v>97</v>
      </c>
      <c r="Z420" s="41" t="s">
        <v>97</v>
      </c>
      <c r="AA420" s="41" t="s">
        <v>113</v>
      </c>
      <c r="AB420" s="39" t="s">
        <v>46</v>
      </c>
      <c r="AC420" s="44" t="s">
        <v>46</v>
      </c>
    </row>
    <row r="421" spans="1:29" x14ac:dyDescent="0.25">
      <c r="A421" s="38" t="s">
        <v>2039</v>
      </c>
      <c r="B421" s="39" t="s">
        <v>185</v>
      </c>
      <c r="C421" s="39" t="s">
        <v>184</v>
      </c>
      <c r="D421" s="40" t="s">
        <v>2026</v>
      </c>
      <c r="E421" s="40" t="s">
        <v>129</v>
      </c>
      <c r="F421" s="39" t="s">
        <v>2040</v>
      </c>
      <c r="G421" s="39" t="s">
        <v>2041</v>
      </c>
      <c r="H421" s="40" t="s">
        <v>126</v>
      </c>
      <c r="I421" s="40" t="s">
        <v>325</v>
      </c>
      <c r="J421" s="39" t="s">
        <v>2042</v>
      </c>
      <c r="K421" s="40" t="s">
        <v>2030</v>
      </c>
      <c r="L421" s="41" t="s">
        <v>122</v>
      </c>
      <c r="M421" s="39" t="s">
        <v>1589</v>
      </c>
      <c r="N421" s="41" t="s">
        <v>85</v>
      </c>
      <c r="O421" s="42">
        <v>6</v>
      </c>
      <c r="P421" s="41" t="s">
        <v>46</v>
      </c>
      <c r="Q421" s="41" t="s">
        <v>66</v>
      </c>
      <c r="R421" s="41" t="s">
        <v>234</v>
      </c>
      <c r="S421" s="41" t="s">
        <v>234</v>
      </c>
      <c r="T421" s="41" t="s">
        <v>234</v>
      </c>
      <c r="U421" s="41" t="s">
        <v>234</v>
      </c>
      <c r="V421" s="41" t="s">
        <v>234</v>
      </c>
      <c r="W421" s="41" t="s">
        <v>234</v>
      </c>
      <c r="X421" s="43">
        <v>0</v>
      </c>
      <c r="Y421" s="41" t="s">
        <v>97</v>
      </c>
      <c r="Z421" s="41" t="s">
        <v>97</v>
      </c>
      <c r="AA421" s="41" t="s">
        <v>113</v>
      </c>
      <c r="AB421" s="39" t="s">
        <v>46</v>
      </c>
      <c r="AC421" s="44" t="s">
        <v>46</v>
      </c>
    </row>
    <row r="422" spans="1:29" x14ac:dyDescent="0.25">
      <c r="A422" s="45" t="s">
        <v>2043</v>
      </c>
      <c r="B422" s="46" t="s">
        <v>185</v>
      </c>
      <c r="C422" s="46" t="s">
        <v>184</v>
      </c>
      <c r="D422" s="47" t="s">
        <v>2026</v>
      </c>
      <c r="E422" s="47" t="s">
        <v>124</v>
      </c>
      <c r="F422" s="46" t="s">
        <v>2044</v>
      </c>
      <c r="G422" s="46" t="s">
        <v>2045</v>
      </c>
      <c r="H422" s="47" t="s">
        <v>126</v>
      </c>
      <c r="I422" s="47" t="s">
        <v>325</v>
      </c>
      <c r="J422" s="46" t="s">
        <v>2046</v>
      </c>
      <c r="K422" s="47" t="s">
        <v>2030</v>
      </c>
      <c r="L422" s="48" t="s">
        <v>122</v>
      </c>
      <c r="M422" s="46" t="s">
        <v>1589</v>
      </c>
      <c r="N422" s="48" t="s">
        <v>85</v>
      </c>
      <c r="O422" s="49">
        <v>5</v>
      </c>
      <c r="P422" s="48" t="s">
        <v>46</v>
      </c>
      <c r="Q422" s="41" t="s">
        <v>66</v>
      </c>
      <c r="R422" s="41" t="s">
        <v>234</v>
      </c>
      <c r="S422" s="41" t="s">
        <v>234</v>
      </c>
      <c r="T422" s="41" t="s">
        <v>234</v>
      </c>
      <c r="U422" s="41" t="s">
        <v>234</v>
      </c>
      <c r="V422" s="41" t="s">
        <v>234</v>
      </c>
      <c r="W422" s="41" t="s">
        <v>234</v>
      </c>
      <c r="X422" s="43">
        <v>0</v>
      </c>
      <c r="Y422" s="41" t="s">
        <v>97</v>
      </c>
      <c r="Z422" s="41" t="s">
        <v>97</v>
      </c>
      <c r="AA422" s="41" t="s">
        <v>113</v>
      </c>
      <c r="AB422" s="39" t="s">
        <v>46</v>
      </c>
      <c r="AC422" s="44" t="s">
        <v>46</v>
      </c>
    </row>
    <row r="423" spans="1:29" x14ac:dyDescent="0.25">
      <c r="A423" s="38" t="s">
        <v>2047</v>
      </c>
      <c r="B423" s="39" t="s">
        <v>185</v>
      </c>
      <c r="C423" s="39" t="s">
        <v>184</v>
      </c>
      <c r="D423" s="40" t="s">
        <v>2026</v>
      </c>
      <c r="E423" s="40" t="s">
        <v>124</v>
      </c>
      <c r="F423" s="39" t="s">
        <v>2048</v>
      </c>
      <c r="G423" s="39" t="s">
        <v>2049</v>
      </c>
      <c r="H423" s="40" t="s">
        <v>132</v>
      </c>
      <c r="I423" s="40" t="s">
        <v>495</v>
      </c>
      <c r="J423" s="39" t="s">
        <v>2050</v>
      </c>
      <c r="K423" s="40" t="s">
        <v>2030</v>
      </c>
      <c r="L423" s="41" t="s">
        <v>122</v>
      </c>
      <c r="M423" s="39" t="s">
        <v>1589</v>
      </c>
      <c r="N423" s="41" t="s">
        <v>85</v>
      </c>
      <c r="O423" s="42">
        <v>5</v>
      </c>
      <c r="P423" s="41" t="s">
        <v>46</v>
      </c>
      <c r="Q423" s="41" t="s">
        <v>66</v>
      </c>
      <c r="R423" s="41" t="s">
        <v>234</v>
      </c>
      <c r="S423" s="41" t="s">
        <v>234</v>
      </c>
      <c r="T423" s="41" t="s">
        <v>234</v>
      </c>
      <c r="U423" s="41" t="s">
        <v>234</v>
      </c>
      <c r="V423" s="41" t="s">
        <v>234</v>
      </c>
      <c r="W423" s="41" t="s">
        <v>234</v>
      </c>
      <c r="X423" s="43">
        <v>0</v>
      </c>
      <c r="Y423" s="41" t="s">
        <v>97</v>
      </c>
      <c r="Z423" s="41" t="s">
        <v>97</v>
      </c>
      <c r="AA423" s="41" t="s">
        <v>113</v>
      </c>
      <c r="AB423" s="39" t="s">
        <v>46</v>
      </c>
      <c r="AC423" s="44" t="s">
        <v>46</v>
      </c>
    </row>
    <row r="424" spans="1:29" x14ac:dyDescent="0.25">
      <c r="A424" s="45" t="s">
        <v>2051</v>
      </c>
      <c r="B424" s="46" t="s">
        <v>185</v>
      </c>
      <c r="C424" s="46" t="s">
        <v>184</v>
      </c>
      <c r="D424" s="47" t="s">
        <v>2026</v>
      </c>
      <c r="E424" s="47" t="s">
        <v>124</v>
      </c>
      <c r="F424" s="46" t="s">
        <v>2052</v>
      </c>
      <c r="G424" s="46" t="s">
        <v>2053</v>
      </c>
      <c r="H424" s="47" t="s">
        <v>132</v>
      </c>
      <c r="I424" s="47" t="s">
        <v>495</v>
      </c>
      <c r="J424" s="46" t="s">
        <v>2054</v>
      </c>
      <c r="K424" s="47" t="s">
        <v>2030</v>
      </c>
      <c r="L424" s="48" t="s">
        <v>122</v>
      </c>
      <c r="M424" s="46" t="s">
        <v>1589</v>
      </c>
      <c r="N424" s="48" t="s">
        <v>86</v>
      </c>
      <c r="O424" s="49">
        <v>8</v>
      </c>
      <c r="P424" s="48" t="s">
        <v>46</v>
      </c>
      <c r="Q424" s="41" t="s">
        <v>66</v>
      </c>
      <c r="R424" s="41" t="s">
        <v>234</v>
      </c>
      <c r="S424" s="41" t="s">
        <v>234</v>
      </c>
      <c r="T424" s="41" t="s">
        <v>234</v>
      </c>
      <c r="U424" s="41" t="s">
        <v>234</v>
      </c>
      <c r="V424" s="41" t="s">
        <v>234</v>
      </c>
      <c r="W424" s="41" t="s">
        <v>234</v>
      </c>
      <c r="X424" s="43">
        <v>0</v>
      </c>
      <c r="Y424" s="41" t="s">
        <v>97</v>
      </c>
      <c r="Z424" s="41" t="s">
        <v>97</v>
      </c>
      <c r="AA424" s="41" t="s">
        <v>113</v>
      </c>
      <c r="AB424" s="39" t="s">
        <v>2055</v>
      </c>
      <c r="AC424" s="44" t="s">
        <v>46</v>
      </c>
    </row>
    <row r="425" spans="1:29" x14ac:dyDescent="0.25">
      <c r="A425" s="38" t="s">
        <v>2056</v>
      </c>
      <c r="B425" s="39" t="s">
        <v>185</v>
      </c>
      <c r="C425" s="39" t="s">
        <v>184</v>
      </c>
      <c r="D425" s="40" t="s">
        <v>2026</v>
      </c>
      <c r="E425" s="40" t="s">
        <v>131</v>
      </c>
      <c r="F425" s="39" t="s">
        <v>2057</v>
      </c>
      <c r="G425" s="39" t="s">
        <v>2058</v>
      </c>
      <c r="H425" s="40" t="s">
        <v>126</v>
      </c>
      <c r="I425" s="40" t="s">
        <v>469</v>
      </c>
      <c r="J425" s="39" t="s">
        <v>2059</v>
      </c>
      <c r="K425" s="40" t="s">
        <v>2030</v>
      </c>
      <c r="L425" s="41" t="s">
        <v>122</v>
      </c>
      <c r="M425" s="39" t="s">
        <v>1589</v>
      </c>
      <c r="N425" s="41" t="s">
        <v>86</v>
      </c>
      <c r="O425" s="42">
        <v>8</v>
      </c>
      <c r="P425" s="41" t="s">
        <v>46</v>
      </c>
      <c r="Q425" s="41" t="s">
        <v>66</v>
      </c>
      <c r="R425" s="41" t="s">
        <v>234</v>
      </c>
      <c r="S425" s="41" t="s">
        <v>234</v>
      </c>
      <c r="T425" s="41" t="s">
        <v>234</v>
      </c>
      <c r="U425" s="41" t="s">
        <v>234</v>
      </c>
      <c r="V425" s="41" t="s">
        <v>234</v>
      </c>
      <c r="W425" s="41" t="s">
        <v>234</v>
      </c>
      <c r="X425" s="43">
        <v>0</v>
      </c>
      <c r="Y425" s="41" t="s">
        <v>97</v>
      </c>
      <c r="Z425" s="41" t="s">
        <v>97</v>
      </c>
      <c r="AA425" s="41" t="s">
        <v>113</v>
      </c>
      <c r="AB425" s="39" t="s">
        <v>46</v>
      </c>
      <c r="AC425" s="44" t="s">
        <v>46</v>
      </c>
    </row>
    <row r="426" spans="1:29" x14ac:dyDescent="0.25">
      <c r="A426" s="45" t="s">
        <v>2060</v>
      </c>
      <c r="B426" s="46" t="s">
        <v>185</v>
      </c>
      <c r="C426" s="46" t="s">
        <v>184</v>
      </c>
      <c r="D426" s="47" t="s">
        <v>2026</v>
      </c>
      <c r="E426" s="47" t="s">
        <v>56</v>
      </c>
      <c r="F426" s="46" t="s">
        <v>2061</v>
      </c>
      <c r="G426" s="46" t="s">
        <v>2062</v>
      </c>
      <c r="H426" s="47" t="s">
        <v>132</v>
      </c>
      <c r="I426" s="47" t="s">
        <v>522</v>
      </c>
      <c r="J426" s="46" t="s">
        <v>1233</v>
      </c>
      <c r="K426" s="47" t="s">
        <v>2030</v>
      </c>
      <c r="L426" s="48" t="s">
        <v>122</v>
      </c>
      <c r="M426" s="46" t="s">
        <v>1589</v>
      </c>
      <c r="N426" s="48" t="s">
        <v>87</v>
      </c>
      <c r="O426" s="49">
        <v>10</v>
      </c>
      <c r="P426" s="48" t="s">
        <v>46</v>
      </c>
      <c r="Q426" s="41" t="s">
        <v>66</v>
      </c>
      <c r="R426" s="41" t="s">
        <v>234</v>
      </c>
      <c r="S426" s="41" t="s">
        <v>234</v>
      </c>
      <c r="T426" s="41" t="s">
        <v>234</v>
      </c>
      <c r="U426" s="41" t="s">
        <v>234</v>
      </c>
      <c r="V426" s="41" t="s">
        <v>234</v>
      </c>
      <c r="W426" s="41" t="s">
        <v>234</v>
      </c>
      <c r="X426" s="43">
        <v>0</v>
      </c>
      <c r="Y426" s="41" t="s">
        <v>97</v>
      </c>
      <c r="Z426" s="41" t="s">
        <v>97</v>
      </c>
      <c r="AA426" s="41" t="s">
        <v>113</v>
      </c>
      <c r="AB426" s="39" t="s">
        <v>46</v>
      </c>
      <c r="AC426" s="44" t="s">
        <v>46</v>
      </c>
    </row>
    <row r="427" spans="1:29" x14ac:dyDescent="0.25">
      <c r="A427" s="38" t="s">
        <v>2063</v>
      </c>
      <c r="B427" s="39" t="s">
        <v>185</v>
      </c>
      <c r="C427" s="39" t="s">
        <v>186</v>
      </c>
      <c r="D427" s="40" t="s">
        <v>2064</v>
      </c>
      <c r="E427" s="40" t="s">
        <v>398</v>
      </c>
      <c r="F427" s="39" t="s">
        <v>2065</v>
      </c>
      <c r="G427" s="39" t="s">
        <v>2066</v>
      </c>
      <c r="H427" s="40" t="s">
        <v>128</v>
      </c>
      <c r="I427" s="40" t="s">
        <v>401</v>
      </c>
      <c r="J427" s="39" t="s">
        <v>2067</v>
      </c>
      <c r="K427" s="40" t="s">
        <v>2068</v>
      </c>
      <c r="L427" s="41" t="s">
        <v>122</v>
      </c>
      <c r="M427" s="39" t="s">
        <v>460</v>
      </c>
      <c r="N427" s="41" t="s">
        <v>85</v>
      </c>
      <c r="O427" s="42">
        <v>8</v>
      </c>
      <c r="P427" s="41" t="s">
        <v>46</v>
      </c>
      <c r="Q427" s="41" t="s">
        <v>66</v>
      </c>
      <c r="R427" s="41" t="s">
        <v>234</v>
      </c>
      <c r="S427" s="41" t="s">
        <v>234</v>
      </c>
      <c r="T427" s="41" t="s">
        <v>234</v>
      </c>
      <c r="U427" s="41" t="s">
        <v>234</v>
      </c>
      <c r="V427" s="41" t="s">
        <v>234</v>
      </c>
      <c r="W427" s="41" t="s">
        <v>234</v>
      </c>
      <c r="X427" s="43">
        <v>0</v>
      </c>
      <c r="Y427" s="41" t="s">
        <v>97</v>
      </c>
      <c r="Z427" s="41" t="s">
        <v>97</v>
      </c>
      <c r="AA427" s="41" t="s">
        <v>113</v>
      </c>
      <c r="AB427" s="39" t="s">
        <v>46</v>
      </c>
      <c r="AC427" s="44" t="s">
        <v>46</v>
      </c>
    </row>
    <row r="428" spans="1:29" x14ac:dyDescent="0.25">
      <c r="A428" s="45" t="s">
        <v>2069</v>
      </c>
      <c r="B428" s="46" t="s">
        <v>185</v>
      </c>
      <c r="C428" s="46" t="s">
        <v>186</v>
      </c>
      <c r="D428" s="47" t="s">
        <v>2064</v>
      </c>
      <c r="E428" s="47" t="s">
        <v>124</v>
      </c>
      <c r="F428" s="46" t="s">
        <v>2070</v>
      </c>
      <c r="G428" s="46" t="s">
        <v>2071</v>
      </c>
      <c r="H428" s="47" t="s">
        <v>126</v>
      </c>
      <c r="I428" s="47" t="s">
        <v>342</v>
      </c>
      <c r="J428" s="46" t="s">
        <v>2072</v>
      </c>
      <c r="K428" s="47" t="s">
        <v>2068</v>
      </c>
      <c r="L428" s="48" t="s">
        <v>122</v>
      </c>
      <c r="M428" s="46" t="s">
        <v>460</v>
      </c>
      <c r="N428" s="48" t="s">
        <v>87</v>
      </c>
      <c r="O428" s="49">
        <v>10</v>
      </c>
      <c r="P428" s="48" t="s">
        <v>46</v>
      </c>
      <c r="Q428" s="41" t="s">
        <v>66</v>
      </c>
      <c r="R428" s="41" t="s">
        <v>234</v>
      </c>
      <c r="S428" s="41" t="s">
        <v>234</v>
      </c>
      <c r="T428" s="41" t="s">
        <v>234</v>
      </c>
      <c r="U428" s="41" t="s">
        <v>234</v>
      </c>
      <c r="V428" s="41" t="s">
        <v>234</v>
      </c>
      <c r="W428" s="41" t="s">
        <v>234</v>
      </c>
      <c r="X428" s="43">
        <v>0</v>
      </c>
      <c r="Y428" s="41" t="s">
        <v>97</v>
      </c>
      <c r="Z428" s="41" t="s">
        <v>97</v>
      </c>
      <c r="AA428" s="41" t="s">
        <v>113</v>
      </c>
      <c r="AB428" s="39" t="s">
        <v>46</v>
      </c>
      <c r="AC428" s="44" t="s">
        <v>46</v>
      </c>
    </row>
    <row r="429" spans="1:29" x14ac:dyDescent="0.25">
      <c r="A429" s="38" t="s">
        <v>2073</v>
      </c>
      <c r="B429" s="39" t="s">
        <v>185</v>
      </c>
      <c r="C429" s="39" t="s">
        <v>186</v>
      </c>
      <c r="D429" s="40" t="s">
        <v>2064</v>
      </c>
      <c r="E429" s="40" t="s">
        <v>398</v>
      </c>
      <c r="F429" s="39" t="s">
        <v>2074</v>
      </c>
      <c r="G429" s="39" t="s">
        <v>2075</v>
      </c>
      <c r="H429" s="40" t="s">
        <v>128</v>
      </c>
      <c r="I429" s="40" t="s">
        <v>401</v>
      </c>
      <c r="J429" s="39" t="s">
        <v>2076</v>
      </c>
      <c r="K429" s="40" t="s">
        <v>2068</v>
      </c>
      <c r="L429" s="41" t="s">
        <v>122</v>
      </c>
      <c r="M429" s="39" t="s">
        <v>460</v>
      </c>
      <c r="N429" s="41" t="s">
        <v>87</v>
      </c>
      <c r="O429" s="42">
        <v>8</v>
      </c>
      <c r="P429" s="41" t="s">
        <v>46</v>
      </c>
      <c r="Q429" s="41" t="s">
        <v>66</v>
      </c>
      <c r="R429" s="41" t="s">
        <v>234</v>
      </c>
      <c r="S429" s="41" t="s">
        <v>234</v>
      </c>
      <c r="T429" s="41" t="s">
        <v>234</v>
      </c>
      <c r="U429" s="41" t="s">
        <v>234</v>
      </c>
      <c r="V429" s="41" t="s">
        <v>234</v>
      </c>
      <c r="W429" s="41" t="s">
        <v>234</v>
      </c>
      <c r="X429" s="43">
        <v>0</v>
      </c>
      <c r="Y429" s="41" t="s">
        <v>97</v>
      </c>
      <c r="Z429" s="41" t="s">
        <v>97</v>
      </c>
      <c r="AA429" s="41" t="s">
        <v>113</v>
      </c>
      <c r="AB429" s="39" t="s">
        <v>46</v>
      </c>
      <c r="AC429" s="44" t="s">
        <v>46</v>
      </c>
    </row>
    <row r="430" spans="1:29" x14ac:dyDescent="0.25">
      <c r="A430" s="45" t="s">
        <v>2077</v>
      </c>
      <c r="B430" s="46" t="s">
        <v>185</v>
      </c>
      <c r="C430" s="46" t="s">
        <v>186</v>
      </c>
      <c r="D430" s="47" t="s">
        <v>2064</v>
      </c>
      <c r="E430" s="47" t="s">
        <v>129</v>
      </c>
      <c r="F430" s="46" t="s">
        <v>2078</v>
      </c>
      <c r="G430" s="46" t="s">
        <v>2079</v>
      </c>
      <c r="H430" s="47" t="s">
        <v>126</v>
      </c>
      <c r="I430" s="47" t="s">
        <v>342</v>
      </c>
      <c r="J430" s="46" t="s">
        <v>2080</v>
      </c>
      <c r="K430" s="47" t="s">
        <v>2068</v>
      </c>
      <c r="L430" s="48" t="s">
        <v>122</v>
      </c>
      <c r="M430" s="46" t="s">
        <v>460</v>
      </c>
      <c r="N430" s="48" t="s">
        <v>88</v>
      </c>
      <c r="O430" s="49">
        <v>12</v>
      </c>
      <c r="P430" s="48" t="s">
        <v>46</v>
      </c>
      <c r="Q430" s="41" t="s">
        <v>66</v>
      </c>
      <c r="R430" s="41" t="s">
        <v>234</v>
      </c>
      <c r="S430" s="41" t="s">
        <v>234</v>
      </c>
      <c r="T430" s="41" t="s">
        <v>234</v>
      </c>
      <c r="U430" s="41" t="s">
        <v>234</v>
      </c>
      <c r="V430" s="41" t="s">
        <v>234</v>
      </c>
      <c r="W430" s="41" t="s">
        <v>234</v>
      </c>
      <c r="X430" s="43">
        <v>0</v>
      </c>
      <c r="Y430" s="41" t="s">
        <v>97</v>
      </c>
      <c r="Z430" s="41" t="s">
        <v>97</v>
      </c>
      <c r="AA430" s="41" t="s">
        <v>113</v>
      </c>
      <c r="AB430" s="39" t="s">
        <v>46</v>
      </c>
      <c r="AC430" s="44" t="s">
        <v>46</v>
      </c>
    </row>
    <row r="431" spans="1:29" x14ac:dyDescent="0.25">
      <c r="A431" s="38" t="s">
        <v>2081</v>
      </c>
      <c r="B431" s="39" t="s">
        <v>185</v>
      </c>
      <c r="C431" s="39" t="s">
        <v>186</v>
      </c>
      <c r="D431" s="40" t="s">
        <v>2064</v>
      </c>
      <c r="E431" s="40" t="s">
        <v>124</v>
      </c>
      <c r="F431" s="39" t="s">
        <v>2082</v>
      </c>
      <c r="G431" s="39" t="s">
        <v>2083</v>
      </c>
      <c r="H431" s="40" t="s">
        <v>126</v>
      </c>
      <c r="I431" s="40" t="s">
        <v>342</v>
      </c>
      <c r="J431" s="39" t="s">
        <v>2084</v>
      </c>
      <c r="K431" s="40" t="s">
        <v>2068</v>
      </c>
      <c r="L431" s="41" t="s">
        <v>122</v>
      </c>
      <c r="M431" s="39" t="s">
        <v>460</v>
      </c>
      <c r="N431" s="41" t="s">
        <v>88</v>
      </c>
      <c r="O431" s="42">
        <v>10</v>
      </c>
      <c r="P431" s="41" t="s">
        <v>46</v>
      </c>
      <c r="Q431" s="41" t="s">
        <v>66</v>
      </c>
      <c r="R431" s="41" t="s">
        <v>234</v>
      </c>
      <c r="S431" s="41" t="s">
        <v>234</v>
      </c>
      <c r="T431" s="41" t="s">
        <v>234</v>
      </c>
      <c r="U431" s="41" t="s">
        <v>234</v>
      </c>
      <c r="V431" s="41" t="s">
        <v>234</v>
      </c>
      <c r="W431" s="41" t="s">
        <v>234</v>
      </c>
      <c r="X431" s="43">
        <v>0</v>
      </c>
      <c r="Y431" s="41" t="s">
        <v>97</v>
      </c>
      <c r="Z431" s="41" t="s">
        <v>97</v>
      </c>
      <c r="AA431" s="41" t="s">
        <v>113</v>
      </c>
      <c r="AB431" s="39" t="s">
        <v>46</v>
      </c>
      <c r="AC431" s="44" t="s">
        <v>46</v>
      </c>
    </row>
    <row r="432" spans="1:29" x14ac:dyDescent="0.25">
      <c r="A432" s="45" t="s">
        <v>2085</v>
      </c>
      <c r="B432" s="46" t="s">
        <v>185</v>
      </c>
      <c r="C432" s="46" t="s">
        <v>186</v>
      </c>
      <c r="D432" s="47" t="s">
        <v>2064</v>
      </c>
      <c r="E432" s="47" t="s">
        <v>124</v>
      </c>
      <c r="F432" s="46" t="s">
        <v>2086</v>
      </c>
      <c r="G432" s="46" t="s">
        <v>2087</v>
      </c>
      <c r="H432" s="47" t="s">
        <v>126</v>
      </c>
      <c r="I432" s="47" t="s">
        <v>342</v>
      </c>
      <c r="J432" s="46" t="s">
        <v>2088</v>
      </c>
      <c r="K432" s="47" t="s">
        <v>2068</v>
      </c>
      <c r="L432" s="48" t="s">
        <v>122</v>
      </c>
      <c r="M432" s="46" t="s">
        <v>460</v>
      </c>
      <c r="N432" s="48" t="s">
        <v>88</v>
      </c>
      <c r="O432" s="49">
        <v>6</v>
      </c>
      <c r="P432" s="48" t="s">
        <v>46</v>
      </c>
      <c r="Q432" s="41" t="s">
        <v>66</v>
      </c>
      <c r="R432" s="41" t="s">
        <v>234</v>
      </c>
      <c r="S432" s="41" t="s">
        <v>234</v>
      </c>
      <c r="T432" s="41" t="s">
        <v>234</v>
      </c>
      <c r="U432" s="41" t="s">
        <v>234</v>
      </c>
      <c r="V432" s="41" t="s">
        <v>234</v>
      </c>
      <c r="W432" s="41" t="s">
        <v>234</v>
      </c>
      <c r="X432" s="43">
        <v>0</v>
      </c>
      <c r="Y432" s="41" t="s">
        <v>97</v>
      </c>
      <c r="Z432" s="41" t="s">
        <v>97</v>
      </c>
      <c r="AA432" s="41" t="s">
        <v>113</v>
      </c>
      <c r="AB432" s="39" t="s">
        <v>46</v>
      </c>
      <c r="AC432" s="44" t="s">
        <v>46</v>
      </c>
    </row>
    <row r="433" spans="1:29" x14ac:dyDescent="0.25">
      <c r="A433" s="38" t="s">
        <v>2089</v>
      </c>
      <c r="B433" s="39" t="s">
        <v>185</v>
      </c>
      <c r="C433" s="39" t="s">
        <v>186</v>
      </c>
      <c r="D433" s="40" t="s">
        <v>2064</v>
      </c>
      <c r="E433" s="40" t="s">
        <v>124</v>
      </c>
      <c r="F433" s="39" t="s">
        <v>2090</v>
      </c>
      <c r="G433" s="39" t="s">
        <v>2091</v>
      </c>
      <c r="H433" s="40" t="s">
        <v>126</v>
      </c>
      <c r="I433" s="40" t="s">
        <v>342</v>
      </c>
      <c r="J433" s="39" t="s">
        <v>2092</v>
      </c>
      <c r="K433" s="40" t="s">
        <v>2068</v>
      </c>
      <c r="L433" s="41" t="s">
        <v>122</v>
      </c>
      <c r="M433" s="39" t="s">
        <v>460</v>
      </c>
      <c r="N433" s="41" t="s">
        <v>89</v>
      </c>
      <c r="O433" s="42">
        <v>8</v>
      </c>
      <c r="P433" s="41" t="s">
        <v>46</v>
      </c>
      <c r="Q433" s="41" t="s">
        <v>66</v>
      </c>
      <c r="R433" s="41" t="s">
        <v>234</v>
      </c>
      <c r="S433" s="41" t="s">
        <v>234</v>
      </c>
      <c r="T433" s="41" t="s">
        <v>234</v>
      </c>
      <c r="U433" s="41" t="s">
        <v>234</v>
      </c>
      <c r="V433" s="41" t="s">
        <v>234</v>
      </c>
      <c r="W433" s="41" t="s">
        <v>234</v>
      </c>
      <c r="X433" s="43">
        <v>0</v>
      </c>
      <c r="Y433" s="41" t="s">
        <v>97</v>
      </c>
      <c r="Z433" s="41" t="s">
        <v>97</v>
      </c>
      <c r="AA433" s="41" t="s">
        <v>113</v>
      </c>
      <c r="AB433" s="39" t="s">
        <v>46</v>
      </c>
      <c r="AC433" s="44" t="s">
        <v>46</v>
      </c>
    </row>
    <row r="434" spans="1:29" x14ac:dyDescent="0.25">
      <c r="A434" s="45" t="s">
        <v>2093</v>
      </c>
      <c r="B434" s="46" t="s">
        <v>185</v>
      </c>
      <c r="C434" s="46" t="s">
        <v>186</v>
      </c>
      <c r="D434" s="47" t="s">
        <v>2064</v>
      </c>
      <c r="E434" s="47" t="s">
        <v>124</v>
      </c>
      <c r="F434" s="46" t="s">
        <v>2094</v>
      </c>
      <c r="G434" s="46" t="s">
        <v>2095</v>
      </c>
      <c r="H434" s="47" t="s">
        <v>126</v>
      </c>
      <c r="I434" s="47" t="s">
        <v>342</v>
      </c>
      <c r="J434" s="46" t="s">
        <v>2096</v>
      </c>
      <c r="K434" s="47" t="s">
        <v>2068</v>
      </c>
      <c r="L434" s="48" t="s">
        <v>122</v>
      </c>
      <c r="M434" s="46" t="s">
        <v>460</v>
      </c>
      <c r="N434" s="48" t="s">
        <v>89</v>
      </c>
      <c r="O434" s="49">
        <v>8</v>
      </c>
      <c r="P434" s="48" t="s">
        <v>46</v>
      </c>
      <c r="Q434" s="41" t="s">
        <v>66</v>
      </c>
      <c r="R434" s="41" t="s">
        <v>234</v>
      </c>
      <c r="S434" s="41" t="s">
        <v>234</v>
      </c>
      <c r="T434" s="41" t="s">
        <v>234</v>
      </c>
      <c r="U434" s="41" t="s">
        <v>234</v>
      </c>
      <c r="V434" s="41" t="s">
        <v>234</v>
      </c>
      <c r="W434" s="41" t="s">
        <v>234</v>
      </c>
      <c r="X434" s="43">
        <v>0</v>
      </c>
      <c r="Y434" s="41" t="s">
        <v>97</v>
      </c>
      <c r="Z434" s="41" t="s">
        <v>97</v>
      </c>
      <c r="AA434" s="41" t="s">
        <v>113</v>
      </c>
      <c r="AB434" s="39" t="s">
        <v>46</v>
      </c>
      <c r="AC434" s="44" t="s">
        <v>46</v>
      </c>
    </row>
    <row r="435" spans="1:29" x14ac:dyDescent="0.25">
      <c r="A435" s="38" t="s">
        <v>2097</v>
      </c>
      <c r="B435" s="39" t="s">
        <v>185</v>
      </c>
      <c r="C435" s="39" t="s">
        <v>186</v>
      </c>
      <c r="D435" s="40" t="s">
        <v>2064</v>
      </c>
      <c r="E435" s="40" t="s">
        <v>124</v>
      </c>
      <c r="F435" s="39" t="s">
        <v>2098</v>
      </c>
      <c r="G435" s="39" t="s">
        <v>2099</v>
      </c>
      <c r="H435" s="40" t="s">
        <v>126</v>
      </c>
      <c r="I435" s="40" t="s">
        <v>351</v>
      </c>
      <c r="J435" s="39" t="s">
        <v>2100</v>
      </c>
      <c r="K435" s="40" t="s">
        <v>2068</v>
      </c>
      <c r="L435" s="41" t="s">
        <v>122</v>
      </c>
      <c r="M435" s="39" t="s">
        <v>460</v>
      </c>
      <c r="N435" s="41" t="s">
        <v>89</v>
      </c>
      <c r="O435" s="42">
        <v>6</v>
      </c>
      <c r="P435" s="41" t="s">
        <v>46</v>
      </c>
      <c r="Q435" s="41" t="s">
        <v>66</v>
      </c>
      <c r="R435" s="41" t="s">
        <v>234</v>
      </c>
      <c r="S435" s="41" t="s">
        <v>234</v>
      </c>
      <c r="T435" s="41" t="s">
        <v>234</v>
      </c>
      <c r="U435" s="41" t="s">
        <v>234</v>
      </c>
      <c r="V435" s="41" t="s">
        <v>234</v>
      </c>
      <c r="W435" s="41" t="s">
        <v>234</v>
      </c>
      <c r="X435" s="43">
        <v>0</v>
      </c>
      <c r="Y435" s="41" t="s">
        <v>97</v>
      </c>
      <c r="Z435" s="41" t="s">
        <v>97</v>
      </c>
      <c r="AA435" s="41" t="s">
        <v>113</v>
      </c>
      <c r="AB435" s="39" t="s">
        <v>46</v>
      </c>
      <c r="AC435" s="44" t="s">
        <v>46</v>
      </c>
    </row>
    <row r="436" spans="1:29" x14ac:dyDescent="0.25">
      <c r="A436" s="45" t="s">
        <v>2101</v>
      </c>
      <c r="B436" s="46" t="s">
        <v>185</v>
      </c>
      <c r="C436" s="46" t="s">
        <v>186</v>
      </c>
      <c r="D436" s="47" t="s">
        <v>2064</v>
      </c>
      <c r="E436" s="47" t="s">
        <v>133</v>
      </c>
      <c r="F436" s="46" t="s">
        <v>2102</v>
      </c>
      <c r="G436" s="46" t="s">
        <v>2103</v>
      </c>
      <c r="H436" s="47" t="s">
        <v>130</v>
      </c>
      <c r="I436" s="47" t="s">
        <v>1870</v>
      </c>
      <c r="J436" s="46" t="s">
        <v>2104</v>
      </c>
      <c r="K436" s="47" t="s">
        <v>2068</v>
      </c>
      <c r="L436" s="48" t="s">
        <v>125</v>
      </c>
      <c r="M436" s="46" t="s">
        <v>460</v>
      </c>
      <c r="N436" s="48" t="s">
        <v>95</v>
      </c>
      <c r="O436" s="49">
        <v>8</v>
      </c>
      <c r="P436" s="48" t="s">
        <v>46</v>
      </c>
      <c r="Q436" s="41" t="s">
        <v>66</v>
      </c>
      <c r="R436" s="41" t="s">
        <v>234</v>
      </c>
      <c r="S436" s="41" t="s">
        <v>234</v>
      </c>
      <c r="T436" s="41" t="s">
        <v>234</v>
      </c>
      <c r="U436" s="41" t="s">
        <v>234</v>
      </c>
      <c r="V436" s="41" t="s">
        <v>234</v>
      </c>
      <c r="W436" s="41" t="s">
        <v>234</v>
      </c>
      <c r="X436" s="43">
        <v>0</v>
      </c>
      <c r="Y436" s="41" t="s">
        <v>97</v>
      </c>
      <c r="Z436" s="41" t="s">
        <v>97</v>
      </c>
      <c r="AA436" s="41" t="s">
        <v>113</v>
      </c>
      <c r="AB436" s="39" t="s">
        <v>46</v>
      </c>
      <c r="AC436" s="44" t="s">
        <v>46</v>
      </c>
    </row>
    <row r="437" spans="1:29" x14ac:dyDescent="0.25">
      <c r="A437" s="38" t="s">
        <v>2105</v>
      </c>
      <c r="B437" s="39" t="s">
        <v>185</v>
      </c>
      <c r="C437" s="39" t="s">
        <v>186</v>
      </c>
      <c r="D437" s="40" t="s">
        <v>2064</v>
      </c>
      <c r="E437" s="40" t="s">
        <v>124</v>
      </c>
      <c r="F437" s="39" t="s">
        <v>2106</v>
      </c>
      <c r="G437" s="39" t="s">
        <v>2107</v>
      </c>
      <c r="H437" s="40" t="s">
        <v>126</v>
      </c>
      <c r="I437" s="40" t="s">
        <v>351</v>
      </c>
      <c r="J437" s="39" t="s">
        <v>2108</v>
      </c>
      <c r="K437" s="40" t="s">
        <v>2068</v>
      </c>
      <c r="L437" s="41" t="s">
        <v>122</v>
      </c>
      <c r="M437" s="39" t="s">
        <v>460</v>
      </c>
      <c r="N437" s="41" t="s">
        <v>89</v>
      </c>
      <c r="O437" s="42">
        <v>6</v>
      </c>
      <c r="P437" s="41" t="s">
        <v>46</v>
      </c>
      <c r="Q437" s="41" t="s">
        <v>66</v>
      </c>
      <c r="R437" s="41" t="s">
        <v>234</v>
      </c>
      <c r="S437" s="41" t="s">
        <v>234</v>
      </c>
      <c r="T437" s="41" t="s">
        <v>234</v>
      </c>
      <c r="U437" s="41" t="s">
        <v>234</v>
      </c>
      <c r="V437" s="41" t="s">
        <v>234</v>
      </c>
      <c r="W437" s="41" t="s">
        <v>234</v>
      </c>
      <c r="X437" s="43">
        <v>0</v>
      </c>
      <c r="Y437" s="41" t="s">
        <v>97</v>
      </c>
      <c r="Z437" s="41" t="s">
        <v>97</v>
      </c>
      <c r="AA437" s="41" t="s">
        <v>113</v>
      </c>
      <c r="AB437" s="39" t="s">
        <v>46</v>
      </c>
      <c r="AC437" s="44" t="s">
        <v>46</v>
      </c>
    </row>
    <row r="438" spans="1:29" x14ac:dyDescent="0.25">
      <c r="A438" s="45" t="s">
        <v>2109</v>
      </c>
      <c r="B438" s="46" t="s">
        <v>185</v>
      </c>
      <c r="C438" s="46" t="s">
        <v>186</v>
      </c>
      <c r="D438" s="47" t="s">
        <v>2064</v>
      </c>
      <c r="E438" s="47" t="s">
        <v>56</v>
      </c>
      <c r="F438" s="46" t="s">
        <v>2110</v>
      </c>
      <c r="G438" s="46" t="s">
        <v>2111</v>
      </c>
      <c r="H438" s="47" t="s">
        <v>132</v>
      </c>
      <c r="I438" s="47" t="s">
        <v>522</v>
      </c>
      <c r="J438" s="46" t="s">
        <v>598</v>
      </c>
      <c r="K438" s="47" t="s">
        <v>2068</v>
      </c>
      <c r="L438" s="48" t="s">
        <v>122</v>
      </c>
      <c r="M438" s="46" t="s">
        <v>460</v>
      </c>
      <c r="N438" s="48" t="s">
        <v>89</v>
      </c>
      <c r="O438" s="49">
        <v>12</v>
      </c>
      <c r="P438" s="48" t="s">
        <v>46</v>
      </c>
      <c r="Q438" s="41" t="s">
        <v>66</v>
      </c>
      <c r="R438" s="41" t="s">
        <v>234</v>
      </c>
      <c r="S438" s="41" t="s">
        <v>234</v>
      </c>
      <c r="T438" s="41" t="s">
        <v>234</v>
      </c>
      <c r="U438" s="41" t="s">
        <v>234</v>
      </c>
      <c r="V438" s="41" t="s">
        <v>234</v>
      </c>
      <c r="W438" s="41" t="s">
        <v>234</v>
      </c>
      <c r="X438" s="43">
        <v>0</v>
      </c>
      <c r="Y438" s="41" t="s">
        <v>97</v>
      </c>
      <c r="Z438" s="41" t="s">
        <v>97</v>
      </c>
      <c r="AA438" s="41" t="s">
        <v>113</v>
      </c>
      <c r="AB438" s="39" t="s">
        <v>46</v>
      </c>
      <c r="AC438" s="44" t="s">
        <v>46</v>
      </c>
    </row>
    <row r="439" spans="1:29" x14ac:dyDescent="0.25">
      <c r="A439" s="38" t="s">
        <v>2112</v>
      </c>
      <c r="B439" s="39" t="s">
        <v>185</v>
      </c>
      <c r="C439" s="39" t="s">
        <v>187</v>
      </c>
      <c r="D439" s="40" t="s">
        <v>2113</v>
      </c>
      <c r="E439" s="40" t="s">
        <v>124</v>
      </c>
      <c r="F439" s="39" t="s">
        <v>2114</v>
      </c>
      <c r="G439" s="39" t="s">
        <v>2115</v>
      </c>
      <c r="H439" s="40" t="s">
        <v>126</v>
      </c>
      <c r="I439" s="40" t="s">
        <v>325</v>
      </c>
      <c r="J439" s="39" t="s">
        <v>2116</v>
      </c>
      <c r="K439" s="40" t="s">
        <v>2117</v>
      </c>
      <c r="L439" s="41" t="s">
        <v>122</v>
      </c>
      <c r="M439" s="39" t="s">
        <v>2118</v>
      </c>
      <c r="N439" s="41" t="s">
        <v>90</v>
      </c>
      <c r="O439" s="42">
        <v>10</v>
      </c>
      <c r="P439" s="41" t="s">
        <v>46</v>
      </c>
      <c r="Q439" s="41" t="s">
        <v>66</v>
      </c>
      <c r="R439" s="41" t="s">
        <v>234</v>
      </c>
      <c r="S439" s="41" t="s">
        <v>234</v>
      </c>
      <c r="T439" s="41" t="s">
        <v>234</v>
      </c>
      <c r="U439" s="41" t="s">
        <v>234</v>
      </c>
      <c r="V439" s="41" t="s">
        <v>234</v>
      </c>
      <c r="W439" s="41" t="s">
        <v>234</v>
      </c>
      <c r="X439" s="43">
        <v>0</v>
      </c>
      <c r="Y439" s="41" t="s">
        <v>97</v>
      </c>
      <c r="Z439" s="41" t="s">
        <v>97</v>
      </c>
      <c r="AA439" s="41" t="s">
        <v>113</v>
      </c>
      <c r="AB439" s="39" t="s">
        <v>46</v>
      </c>
      <c r="AC439" s="44" t="s">
        <v>46</v>
      </c>
    </row>
    <row r="440" spans="1:29" x14ac:dyDescent="0.25">
      <c r="A440" s="45" t="s">
        <v>2119</v>
      </c>
      <c r="B440" s="46" t="s">
        <v>185</v>
      </c>
      <c r="C440" s="46" t="s">
        <v>187</v>
      </c>
      <c r="D440" s="47" t="s">
        <v>2113</v>
      </c>
      <c r="E440" s="47" t="s">
        <v>124</v>
      </c>
      <c r="F440" s="46" t="s">
        <v>2120</v>
      </c>
      <c r="G440" s="46" t="s">
        <v>2121</v>
      </c>
      <c r="H440" s="47" t="s">
        <v>132</v>
      </c>
      <c r="I440" s="47" t="s">
        <v>325</v>
      </c>
      <c r="J440" s="46" t="s">
        <v>2122</v>
      </c>
      <c r="K440" s="47" t="s">
        <v>2117</v>
      </c>
      <c r="L440" s="48" t="s">
        <v>122</v>
      </c>
      <c r="M440" s="46" t="s">
        <v>2118</v>
      </c>
      <c r="N440" s="48" t="s">
        <v>90</v>
      </c>
      <c r="O440" s="49">
        <v>8</v>
      </c>
      <c r="P440" s="48" t="s">
        <v>46</v>
      </c>
      <c r="Q440" s="41" t="s">
        <v>66</v>
      </c>
      <c r="R440" s="41" t="s">
        <v>234</v>
      </c>
      <c r="S440" s="41" t="s">
        <v>234</v>
      </c>
      <c r="T440" s="41" t="s">
        <v>234</v>
      </c>
      <c r="U440" s="41" t="s">
        <v>234</v>
      </c>
      <c r="V440" s="41" t="s">
        <v>234</v>
      </c>
      <c r="W440" s="41" t="s">
        <v>234</v>
      </c>
      <c r="X440" s="43">
        <v>0</v>
      </c>
      <c r="Y440" s="41" t="s">
        <v>97</v>
      </c>
      <c r="Z440" s="41" t="s">
        <v>97</v>
      </c>
      <c r="AA440" s="41" t="s">
        <v>113</v>
      </c>
      <c r="AB440" s="39" t="s">
        <v>46</v>
      </c>
      <c r="AC440" s="44" t="s">
        <v>46</v>
      </c>
    </row>
    <row r="441" spans="1:29" x14ac:dyDescent="0.25">
      <c r="A441" s="38" t="s">
        <v>2123</v>
      </c>
      <c r="B441" s="39" t="s">
        <v>185</v>
      </c>
      <c r="C441" s="39" t="s">
        <v>187</v>
      </c>
      <c r="D441" s="40" t="s">
        <v>2113</v>
      </c>
      <c r="E441" s="40" t="s">
        <v>289</v>
      </c>
      <c r="F441" s="39" t="s">
        <v>2124</v>
      </c>
      <c r="G441" s="39" t="s">
        <v>2125</v>
      </c>
      <c r="H441" s="40" t="s">
        <v>123</v>
      </c>
      <c r="I441" s="40" t="s">
        <v>135</v>
      </c>
      <c r="J441" s="39" t="s">
        <v>2126</v>
      </c>
      <c r="K441" s="40" t="s">
        <v>2117</v>
      </c>
      <c r="L441" s="41" t="s">
        <v>122</v>
      </c>
      <c r="M441" s="39" t="s">
        <v>2118</v>
      </c>
      <c r="N441" s="41" t="s">
        <v>91</v>
      </c>
      <c r="O441" s="42">
        <v>6</v>
      </c>
      <c r="P441" s="41" t="s">
        <v>46</v>
      </c>
      <c r="Q441" s="41" t="s">
        <v>66</v>
      </c>
      <c r="R441" s="41" t="s">
        <v>234</v>
      </c>
      <c r="S441" s="41" t="s">
        <v>234</v>
      </c>
      <c r="T441" s="41" t="s">
        <v>234</v>
      </c>
      <c r="U441" s="41" t="s">
        <v>234</v>
      </c>
      <c r="V441" s="41" t="s">
        <v>234</v>
      </c>
      <c r="W441" s="41" t="s">
        <v>234</v>
      </c>
      <c r="X441" s="43">
        <v>0</v>
      </c>
      <c r="Y441" s="41" t="s">
        <v>97</v>
      </c>
      <c r="Z441" s="41" t="s">
        <v>97</v>
      </c>
      <c r="AA441" s="41" t="s">
        <v>113</v>
      </c>
      <c r="AB441" s="39" t="s">
        <v>46</v>
      </c>
      <c r="AC441" s="44" t="s">
        <v>46</v>
      </c>
    </row>
    <row r="442" spans="1:29" x14ac:dyDescent="0.25">
      <c r="A442" s="45" t="s">
        <v>2127</v>
      </c>
      <c r="B442" s="46" t="s">
        <v>185</v>
      </c>
      <c r="C442" s="46" t="s">
        <v>187</v>
      </c>
      <c r="D442" s="47" t="s">
        <v>2113</v>
      </c>
      <c r="E442" s="47" t="s">
        <v>124</v>
      </c>
      <c r="F442" s="46" t="s">
        <v>2128</v>
      </c>
      <c r="G442" s="46" t="s">
        <v>2129</v>
      </c>
      <c r="H442" s="47" t="s">
        <v>126</v>
      </c>
      <c r="I442" s="47" t="s">
        <v>325</v>
      </c>
      <c r="J442" s="46" t="s">
        <v>2130</v>
      </c>
      <c r="K442" s="47" t="s">
        <v>2117</v>
      </c>
      <c r="L442" s="48" t="s">
        <v>122</v>
      </c>
      <c r="M442" s="46" t="s">
        <v>2118</v>
      </c>
      <c r="N442" s="48" t="s">
        <v>91</v>
      </c>
      <c r="O442" s="49">
        <v>6</v>
      </c>
      <c r="P442" s="48" t="s">
        <v>46</v>
      </c>
      <c r="Q442" s="41" t="s">
        <v>66</v>
      </c>
      <c r="R442" s="41" t="s">
        <v>234</v>
      </c>
      <c r="S442" s="41" t="s">
        <v>234</v>
      </c>
      <c r="T442" s="41" t="s">
        <v>234</v>
      </c>
      <c r="U442" s="41" t="s">
        <v>234</v>
      </c>
      <c r="V442" s="41" t="s">
        <v>234</v>
      </c>
      <c r="W442" s="41" t="s">
        <v>234</v>
      </c>
      <c r="X442" s="43">
        <v>0</v>
      </c>
      <c r="Y442" s="41" t="s">
        <v>97</v>
      </c>
      <c r="Z442" s="41" t="s">
        <v>97</v>
      </c>
      <c r="AA442" s="41" t="s">
        <v>113</v>
      </c>
      <c r="AB442" s="39" t="s">
        <v>46</v>
      </c>
      <c r="AC442" s="44" t="s">
        <v>46</v>
      </c>
    </row>
    <row r="443" spans="1:29" x14ac:dyDescent="0.25">
      <c r="A443" s="38" t="s">
        <v>2131</v>
      </c>
      <c r="B443" s="39" t="s">
        <v>185</v>
      </c>
      <c r="C443" s="39" t="s">
        <v>187</v>
      </c>
      <c r="D443" s="40" t="s">
        <v>2113</v>
      </c>
      <c r="E443" s="40" t="s">
        <v>124</v>
      </c>
      <c r="F443" s="39" t="s">
        <v>2132</v>
      </c>
      <c r="G443" s="39" t="s">
        <v>2133</v>
      </c>
      <c r="H443" s="40" t="s">
        <v>126</v>
      </c>
      <c r="I443" s="40" t="s">
        <v>325</v>
      </c>
      <c r="J443" s="39" t="s">
        <v>2134</v>
      </c>
      <c r="K443" s="40" t="s">
        <v>2117</v>
      </c>
      <c r="L443" s="41" t="s">
        <v>122</v>
      </c>
      <c r="M443" s="39" t="s">
        <v>2118</v>
      </c>
      <c r="N443" s="41" t="s">
        <v>91</v>
      </c>
      <c r="O443" s="42">
        <v>8</v>
      </c>
      <c r="P443" s="41" t="s">
        <v>46</v>
      </c>
      <c r="Q443" s="41" t="s">
        <v>66</v>
      </c>
      <c r="R443" s="41" t="s">
        <v>234</v>
      </c>
      <c r="S443" s="41" t="s">
        <v>234</v>
      </c>
      <c r="T443" s="41" t="s">
        <v>234</v>
      </c>
      <c r="U443" s="41" t="s">
        <v>234</v>
      </c>
      <c r="V443" s="41" t="s">
        <v>234</v>
      </c>
      <c r="W443" s="41" t="s">
        <v>234</v>
      </c>
      <c r="X443" s="43">
        <v>0</v>
      </c>
      <c r="Y443" s="41" t="s">
        <v>97</v>
      </c>
      <c r="Z443" s="41" t="s">
        <v>97</v>
      </c>
      <c r="AA443" s="41" t="s">
        <v>113</v>
      </c>
      <c r="AB443" s="39" t="s">
        <v>46</v>
      </c>
      <c r="AC443" s="44" t="s">
        <v>46</v>
      </c>
    </row>
    <row r="444" spans="1:29" x14ac:dyDescent="0.25">
      <c r="A444" s="45" t="s">
        <v>2135</v>
      </c>
      <c r="B444" s="46" t="s">
        <v>185</v>
      </c>
      <c r="C444" s="46" t="s">
        <v>187</v>
      </c>
      <c r="D444" s="47" t="s">
        <v>2113</v>
      </c>
      <c r="E444" s="47" t="s">
        <v>124</v>
      </c>
      <c r="F444" s="46" t="s">
        <v>2136</v>
      </c>
      <c r="G444" s="46" t="s">
        <v>2137</v>
      </c>
      <c r="H444" s="47" t="s">
        <v>126</v>
      </c>
      <c r="I444" s="47" t="s">
        <v>351</v>
      </c>
      <c r="J444" s="46" t="s">
        <v>2138</v>
      </c>
      <c r="K444" s="47" t="s">
        <v>2117</v>
      </c>
      <c r="L444" s="48" t="s">
        <v>122</v>
      </c>
      <c r="M444" s="46" t="s">
        <v>2118</v>
      </c>
      <c r="N444" s="48" t="s">
        <v>91</v>
      </c>
      <c r="O444" s="49">
        <v>8</v>
      </c>
      <c r="P444" s="48" t="s">
        <v>46</v>
      </c>
      <c r="Q444" s="41" t="s">
        <v>66</v>
      </c>
      <c r="R444" s="41" t="s">
        <v>234</v>
      </c>
      <c r="S444" s="41" t="s">
        <v>234</v>
      </c>
      <c r="T444" s="41" t="s">
        <v>234</v>
      </c>
      <c r="U444" s="41" t="s">
        <v>234</v>
      </c>
      <c r="V444" s="41" t="s">
        <v>234</v>
      </c>
      <c r="W444" s="41" t="s">
        <v>234</v>
      </c>
      <c r="X444" s="43">
        <v>0</v>
      </c>
      <c r="Y444" s="41" t="s">
        <v>97</v>
      </c>
      <c r="Z444" s="41" t="s">
        <v>97</v>
      </c>
      <c r="AA444" s="41" t="s">
        <v>113</v>
      </c>
      <c r="AB444" s="39" t="s">
        <v>46</v>
      </c>
      <c r="AC444" s="44" t="s">
        <v>46</v>
      </c>
    </row>
    <row r="445" spans="1:29" x14ac:dyDescent="0.25">
      <c r="A445" s="38" t="s">
        <v>2139</v>
      </c>
      <c r="B445" s="39" t="s">
        <v>185</v>
      </c>
      <c r="C445" s="39" t="s">
        <v>187</v>
      </c>
      <c r="D445" s="40" t="s">
        <v>2113</v>
      </c>
      <c r="E445" s="40" t="s">
        <v>131</v>
      </c>
      <c r="F445" s="39" t="s">
        <v>2140</v>
      </c>
      <c r="G445" s="39" t="s">
        <v>2141</v>
      </c>
      <c r="H445" s="40" t="s">
        <v>126</v>
      </c>
      <c r="I445" s="40" t="s">
        <v>469</v>
      </c>
      <c r="J445" s="39" t="s">
        <v>2142</v>
      </c>
      <c r="K445" s="40" t="s">
        <v>2117</v>
      </c>
      <c r="L445" s="41" t="s">
        <v>122</v>
      </c>
      <c r="M445" s="39" t="s">
        <v>2118</v>
      </c>
      <c r="N445" s="41" t="s">
        <v>91</v>
      </c>
      <c r="O445" s="42">
        <v>8</v>
      </c>
      <c r="P445" s="41" t="s">
        <v>46</v>
      </c>
      <c r="Q445" s="41" t="s">
        <v>66</v>
      </c>
      <c r="R445" s="41" t="s">
        <v>234</v>
      </c>
      <c r="S445" s="41" t="s">
        <v>234</v>
      </c>
      <c r="T445" s="41" t="s">
        <v>234</v>
      </c>
      <c r="U445" s="41" t="s">
        <v>234</v>
      </c>
      <c r="V445" s="41" t="s">
        <v>234</v>
      </c>
      <c r="W445" s="41" t="s">
        <v>234</v>
      </c>
      <c r="X445" s="43">
        <v>0</v>
      </c>
      <c r="Y445" s="41" t="s">
        <v>97</v>
      </c>
      <c r="Z445" s="41" t="s">
        <v>97</v>
      </c>
      <c r="AA445" s="41" t="s">
        <v>113</v>
      </c>
      <c r="AB445" s="39" t="s">
        <v>46</v>
      </c>
      <c r="AC445" s="44" t="s">
        <v>46</v>
      </c>
    </row>
    <row r="446" spans="1:29" x14ac:dyDescent="0.25">
      <c r="A446" s="45" t="s">
        <v>2143</v>
      </c>
      <c r="B446" s="46" t="s">
        <v>185</v>
      </c>
      <c r="C446" s="46" t="s">
        <v>187</v>
      </c>
      <c r="D446" s="47" t="s">
        <v>2113</v>
      </c>
      <c r="E446" s="47" t="s">
        <v>229</v>
      </c>
      <c r="F446" s="46" t="s">
        <v>2144</v>
      </c>
      <c r="G446" s="46" t="s">
        <v>2145</v>
      </c>
      <c r="H446" s="47" t="s">
        <v>123</v>
      </c>
      <c r="I446" s="47" t="s">
        <v>495</v>
      </c>
      <c r="J446" s="46" t="s">
        <v>2146</v>
      </c>
      <c r="K446" s="47" t="s">
        <v>2117</v>
      </c>
      <c r="L446" s="48" t="s">
        <v>122</v>
      </c>
      <c r="M446" s="46" t="s">
        <v>2118</v>
      </c>
      <c r="N446" s="48" t="s">
        <v>91</v>
      </c>
      <c r="O446" s="49">
        <v>8</v>
      </c>
      <c r="P446" s="48" t="s">
        <v>46</v>
      </c>
      <c r="Q446" s="41" t="s">
        <v>66</v>
      </c>
      <c r="R446" s="41" t="s">
        <v>234</v>
      </c>
      <c r="S446" s="41" t="s">
        <v>234</v>
      </c>
      <c r="T446" s="41" t="s">
        <v>234</v>
      </c>
      <c r="U446" s="41" t="s">
        <v>234</v>
      </c>
      <c r="V446" s="41" t="s">
        <v>234</v>
      </c>
      <c r="W446" s="41" t="s">
        <v>234</v>
      </c>
      <c r="X446" s="43">
        <v>0</v>
      </c>
      <c r="Y446" s="41" t="s">
        <v>97</v>
      </c>
      <c r="Z446" s="41" t="s">
        <v>97</v>
      </c>
      <c r="AA446" s="41" t="s">
        <v>113</v>
      </c>
      <c r="AB446" s="39" t="s">
        <v>46</v>
      </c>
      <c r="AC446" s="44" t="s">
        <v>46</v>
      </c>
    </row>
    <row r="447" spans="1:29" x14ac:dyDescent="0.25">
      <c r="A447" s="38" t="s">
        <v>2147</v>
      </c>
      <c r="B447" s="39" t="s">
        <v>185</v>
      </c>
      <c r="C447" s="39" t="s">
        <v>187</v>
      </c>
      <c r="D447" s="40" t="s">
        <v>2113</v>
      </c>
      <c r="E447" s="40" t="s">
        <v>131</v>
      </c>
      <c r="F447" s="39" t="s">
        <v>2148</v>
      </c>
      <c r="G447" s="39" t="s">
        <v>2149</v>
      </c>
      <c r="H447" s="40" t="s">
        <v>126</v>
      </c>
      <c r="I447" s="40" t="s">
        <v>469</v>
      </c>
      <c r="J447" s="39" t="s">
        <v>2150</v>
      </c>
      <c r="K447" s="40" t="s">
        <v>2117</v>
      </c>
      <c r="L447" s="41" t="s">
        <v>122</v>
      </c>
      <c r="M447" s="39" t="s">
        <v>2118</v>
      </c>
      <c r="N447" s="41" t="s">
        <v>91</v>
      </c>
      <c r="O447" s="42">
        <v>5</v>
      </c>
      <c r="P447" s="41" t="s">
        <v>46</v>
      </c>
      <c r="Q447" s="41" t="s">
        <v>66</v>
      </c>
      <c r="R447" s="41" t="s">
        <v>234</v>
      </c>
      <c r="S447" s="41" t="s">
        <v>234</v>
      </c>
      <c r="T447" s="41" t="s">
        <v>234</v>
      </c>
      <c r="U447" s="41" t="s">
        <v>234</v>
      </c>
      <c r="V447" s="41" t="s">
        <v>234</v>
      </c>
      <c r="W447" s="41" t="s">
        <v>234</v>
      </c>
      <c r="X447" s="43">
        <v>0</v>
      </c>
      <c r="Y447" s="41" t="s">
        <v>97</v>
      </c>
      <c r="Z447" s="41" t="s">
        <v>97</v>
      </c>
      <c r="AA447" s="41" t="s">
        <v>113</v>
      </c>
      <c r="AB447" s="39" t="s">
        <v>46</v>
      </c>
      <c r="AC447" s="44" t="s">
        <v>46</v>
      </c>
    </row>
    <row r="448" spans="1:29" x14ac:dyDescent="0.25">
      <c r="A448" s="45" t="s">
        <v>2151</v>
      </c>
      <c r="B448" s="46" t="s">
        <v>185</v>
      </c>
      <c r="C448" s="46" t="s">
        <v>187</v>
      </c>
      <c r="D448" s="47" t="s">
        <v>2113</v>
      </c>
      <c r="E448" s="47" t="s">
        <v>56</v>
      </c>
      <c r="F448" s="46" t="s">
        <v>2152</v>
      </c>
      <c r="G448" s="46" t="s">
        <v>2153</v>
      </c>
      <c r="H448" s="47" t="s">
        <v>132</v>
      </c>
      <c r="I448" s="47" t="s">
        <v>522</v>
      </c>
      <c r="J448" s="46" t="s">
        <v>2154</v>
      </c>
      <c r="K448" s="47" t="s">
        <v>2117</v>
      </c>
      <c r="L448" s="48" t="s">
        <v>122</v>
      </c>
      <c r="M448" s="46" t="s">
        <v>2118</v>
      </c>
      <c r="N448" s="48" t="s">
        <v>92</v>
      </c>
      <c r="O448" s="49">
        <v>12</v>
      </c>
      <c r="P448" s="48" t="s">
        <v>46</v>
      </c>
      <c r="Q448" s="41" t="s">
        <v>66</v>
      </c>
      <c r="R448" s="41" t="s">
        <v>234</v>
      </c>
      <c r="S448" s="41" t="s">
        <v>234</v>
      </c>
      <c r="T448" s="41" t="s">
        <v>234</v>
      </c>
      <c r="U448" s="41" t="s">
        <v>234</v>
      </c>
      <c r="V448" s="41" t="s">
        <v>234</v>
      </c>
      <c r="W448" s="41" t="s">
        <v>234</v>
      </c>
      <c r="X448" s="43">
        <v>0</v>
      </c>
      <c r="Y448" s="41" t="s">
        <v>97</v>
      </c>
      <c r="Z448" s="41" t="s">
        <v>97</v>
      </c>
      <c r="AA448" s="41" t="s">
        <v>113</v>
      </c>
      <c r="AB448" s="39" t="s">
        <v>46</v>
      </c>
      <c r="AC448" s="44" t="s">
        <v>46</v>
      </c>
    </row>
    <row r="449" spans="1:29" x14ac:dyDescent="0.25">
      <c r="A449" s="38" t="s">
        <v>2155</v>
      </c>
      <c r="B449" s="39" t="s">
        <v>185</v>
      </c>
      <c r="C449" s="39" t="s">
        <v>188</v>
      </c>
      <c r="D449" s="40" t="s">
        <v>2156</v>
      </c>
      <c r="E449" s="40" t="s">
        <v>131</v>
      </c>
      <c r="F449" s="39" t="s">
        <v>2157</v>
      </c>
      <c r="G449" s="39" t="s">
        <v>2158</v>
      </c>
      <c r="H449" s="40" t="s">
        <v>126</v>
      </c>
      <c r="I449" s="40" t="s">
        <v>469</v>
      </c>
      <c r="J449" s="39" t="s">
        <v>2159</v>
      </c>
      <c r="K449" s="40" t="s">
        <v>233</v>
      </c>
      <c r="L449" s="41" t="s">
        <v>122</v>
      </c>
      <c r="M449" s="39" t="s">
        <v>1589</v>
      </c>
      <c r="N449" s="41" t="s">
        <v>83</v>
      </c>
      <c r="O449" s="42">
        <v>8</v>
      </c>
      <c r="P449" s="41" t="s">
        <v>46</v>
      </c>
      <c r="Q449" s="41" t="s">
        <v>66</v>
      </c>
      <c r="R449" s="41" t="s">
        <v>234</v>
      </c>
      <c r="S449" s="41" t="s">
        <v>234</v>
      </c>
      <c r="T449" s="41" t="s">
        <v>234</v>
      </c>
      <c r="U449" s="41" t="s">
        <v>234</v>
      </c>
      <c r="V449" s="41" t="s">
        <v>234</v>
      </c>
      <c r="W449" s="41" t="s">
        <v>234</v>
      </c>
      <c r="X449" s="43">
        <v>0</v>
      </c>
      <c r="Y449" s="41" t="s">
        <v>97</v>
      </c>
      <c r="Z449" s="41" t="s">
        <v>97</v>
      </c>
      <c r="AA449" s="41" t="s">
        <v>113</v>
      </c>
      <c r="AB449" s="39" t="s">
        <v>46</v>
      </c>
      <c r="AC449" s="44" t="s">
        <v>46</v>
      </c>
    </row>
    <row r="450" spans="1:29" x14ac:dyDescent="0.25">
      <c r="A450" s="45" t="s">
        <v>2160</v>
      </c>
      <c r="B450" s="46" t="s">
        <v>185</v>
      </c>
      <c r="C450" s="46" t="s">
        <v>188</v>
      </c>
      <c r="D450" s="47" t="s">
        <v>2156</v>
      </c>
      <c r="E450" s="47" t="s">
        <v>131</v>
      </c>
      <c r="F450" s="46" t="s">
        <v>2161</v>
      </c>
      <c r="G450" s="46" t="s">
        <v>2162</v>
      </c>
      <c r="H450" s="47" t="s">
        <v>126</v>
      </c>
      <c r="I450" s="47" t="s">
        <v>469</v>
      </c>
      <c r="J450" s="46" t="s">
        <v>2163</v>
      </c>
      <c r="K450" s="47" t="s">
        <v>233</v>
      </c>
      <c r="L450" s="48" t="s">
        <v>122</v>
      </c>
      <c r="M450" s="46" t="s">
        <v>1589</v>
      </c>
      <c r="N450" s="48" t="s">
        <v>83</v>
      </c>
      <c r="O450" s="49">
        <v>4</v>
      </c>
      <c r="P450" s="48" t="s">
        <v>46</v>
      </c>
      <c r="Q450" s="41" t="s">
        <v>66</v>
      </c>
      <c r="R450" s="41" t="s">
        <v>234</v>
      </c>
      <c r="S450" s="41" t="s">
        <v>234</v>
      </c>
      <c r="T450" s="41" t="s">
        <v>234</v>
      </c>
      <c r="U450" s="41" t="s">
        <v>234</v>
      </c>
      <c r="V450" s="41" t="s">
        <v>234</v>
      </c>
      <c r="W450" s="41" t="s">
        <v>234</v>
      </c>
      <c r="X450" s="43">
        <v>0</v>
      </c>
      <c r="Y450" s="41" t="s">
        <v>97</v>
      </c>
      <c r="Z450" s="41" t="s">
        <v>97</v>
      </c>
      <c r="AA450" s="41" t="s">
        <v>113</v>
      </c>
      <c r="AB450" s="39" t="s">
        <v>46</v>
      </c>
      <c r="AC450" s="44" t="s">
        <v>46</v>
      </c>
    </row>
    <row r="451" spans="1:29" x14ac:dyDescent="0.25">
      <c r="A451" s="38" t="s">
        <v>2164</v>
      </c>
      <c r="B451" s="39" t="s">
        <v>185</v>
      </c>
      <c r="C451" s="39" t="s">
        <v>188</v>
      </c>
      <c r="D451" s="40" t="s">
        <v>2156</v>
      </c>
      <c r="E451" s="40" t="s">
        <v>131</v>
      </c>
      <c r="F451" s="39" t="s">
        <v>2165</v>
      </c>
      <c r="G451" s="39" t="s">
        <v>2166</v>
      </c>
      <c r="H451" s="40" t="s">
        <v>126</v>
      </c>
      <c r="I451" s="40" t="s">
        <v>469</v>
      </c>
      <c r="J451" s="39" t="s">
        <v>2167</v>
      </c>
      <c r="K451" s="40" t="s">
        <v>233</v>
      </c>
      <c r="L451" s="41" t="s">
        <v>122</v>
      </c>
      <c r="M451" s="39" t="s">
        <v>1589</v>
      </c>
      <c r="N451" s="41" t="s">
        <v>83</v>
      </c>
      <c r="O451" s="42">
        <v>10</v>
      </c>
      <c r="P451" s="41" t="s">
        <v>46</v>
      </c>
      <c r="Q451" s="41" t="s">
        <v>66</v>
      </c>
      <c r="R451" s="41" t="s">
        <v>234</v>
      </c>
      <c r="S451" s="41" t="s">
        <v>234</v>
      </c>
      <c r="T451" s="41" t="s">
        <v>234</v>
      </c>
      <c r="U451" s="41" t="s">
        <v>234</v>
      </c>
      <c r="V451" s="41" t="s">
        <v>234</v>
      </c>
      <c r="W451" s="41" t="s">
        <v>234</v>
      </c>
      <c r="X451" s="43">
        <v>0</v>
      </c>
      <c r="Y451" s="41" t="s">
        <v>97</v>
      </c>
      <c r="Z451" s="41" t="s">
        <v>97</v>
      </c>
      <c r="AA451" s="41" t="s">
        <v>113</v>
      </c>
      <c r="AB451" s="39" t="s">
        <v>46</v>
      </c>
      <c r="AC451" s="44" t="s">
        <v>46</v>
      </c>
    </row>
    <row r="452" spans="1:29" x14ac:dyDescent="0.25">
      <c r="A452" s="45" t="s">
        <v>2168</v>
      </c>
      <c r="B452" s="46" t="s">
        <v>185</v>
      </c>
      <c r="C452" s="46" t="s">
        <v>188</v>
      </c>
      <c r="D452" s="47" t="s">
        <v>2156</v>
      </c>
      <c r="E452" s="47" t="s">
        <v>131</v>
      </c>
      <c r="F452" s="46" t="s">
        <v>2169</v>
      </c>
      <c r="G452" s="46" t="s">
        <v>2170</v>
      </c>
      <c r="H452" s="47" t="s">
        <v>126</v>
      </c>
      <c r="I452" s="47" t="s">
        <v>469</v>
      </c>
      <c r="J452" s="46" t="s">
        <v>2171</v>
      </c>
      <c r="K452" s="47" t="s">
        <v>233</v>
      </c>
      <c r="L452" s="48" t="s">
        <v>122</v>
      </c>
      <c r="M452" s="46" t="s">
        <v>1589</v>
      </c>
      <c r="N452" s="48" t="s">
        <v>84</v>
      </c>
      <c r="O452" s="49">
        <v>8</v>
      </c>
      <c r="P452" s="48" t="s">
        <v>46</v>
      </c>
      <c r="Q452" s="41" t="s">
        <v>66</v>
      </c>
      <c r="R452" s="41" t="s">
        <v>234</v>
      </c>
      <c r="S452" s="41" t="s">
        <v>234</v>
      </c>
      <c r="T452" s="41" t="s">
        <v>234</v>
      </c>
      <c r="U452" s="41" t="s">
        <v>234</v>
      </c>
      <c r="V452" s="41" t="s">
        <v>234</v>
      </c>
      <c r="W452" s="41" t="s">
        <v>234</v>
      </c>
      <c r="X452" s="43">
        <v>0</v>
      </c>
      <c r="Y452" s="41" t="s">
        <v>97</v>
      </c>
      <c r="Z452" s="41" t="s">
        <v>97</v>
      </c>
      <c r="AA452" s="41" t="s">
        <v>113</v>
      </c>
      <c r="AB452" s="39" t="s">
        <v>46</v>
      </c>
      <c r="AC452" s="44" t="s">
        <v>46</v>
      </c>
    </row>
    <row r="453" spans="1:29" x14ac:dyDescent="0.25">
      <c r="A453" s="38" t="s">
        <v>2172</v>
      </c>
      <c r="B453" s="39" t="s">
        <v>185</v>
      </c>
      <c r="C453" s="39" t="s">
        <v>188</v>
      </c>
      <c r="D453" s="40" t="s">
        <v>2156</v>
      </c>
      <c r="E453" s="40" t="s">
        <v>131</v>
      </c>
      <c r="F453" s="39" t="s">
        <v>2173</v>
      </c>
      <c r="G453" s="39" t="s">
        <v>2174</v>
      </c>
      <c r="H453" s="40" t="s">
        <v>126</v>
      </c>
      <c r="I453" s="40" t="s">
        <v>469</v>
      </c>
      <c r="J453" s="39" t="s">
        <v>2175</v>
      </c>
      <c r="K453" s="40" t="s">
        <v>233</v>
      </c>
      <c r="L453" s="41" t="s">
        <v>122</v>
      </c>
      <c r="M453" s="39" t="s">
        <v>1589</v>
      </c>
      <c r="N453" s="41" t="s">
        <v>84</v>
      </c>
      <c r="O453" s="42">
        <v>8</v>
      </c>
      <c r="P453" s="41" t="s">
        <v>46</v>
      </c>
      <c r="Q453" s="41" t="s">
        <v>66</v>
      </c>
      <c r="R453" s="41" t="s">
        <v>234</v>
      </c>
      <c r="S453" s="41" t="s">
        <v>234</v>
      </c>
      <c r="T453" s="41" t="s">
        <v>234</v>
      </c>
      <c r="U453" s="41" t="s">
        <v>234</v>
      </c>
      <c r="V453" s="41" t="s">
        <v>234</v>
      </c>
      <c r="W453" s="41" t="s">
        <v>234</v>
      </c>
      <c r="X453" s="43">
        <v>0</v>
      </c>
      <c r="Y453" s="41" t="s">
        <v>97</v>
      </c>
      <c r="Z453" s="41" t="s">
        <v>97</v>
      </c>
      <c r="AA453" s="41" t="s">
        <v>113</v>
      </c>
      <c r="AB453" s="39" t="s">
        <v>46</v>
      </c>
      <c r="AC453" s="44" t="s">
        <v>46</v>
      </c>
    </row>
    <row r="454" spans="1:29" x14ac:dyDescent="0.25">
      <c r="A454" s="45" t="s">
        <v>2176</v>
      </c>
      <c r="B454" s="46" t="s">
        <v>185</v>
      </c>
      <c r="C454" s="46" t="s">
        <v>188</v>
      </c>
      <c r="D454" s="47" t="s">
        <v>2156</v>
      </c>
      <c r="E454" s="47" t="s">
        <v>131</v>
      </c>
      <c r="F454" s="46" t="s">
        <v>2177</v>
      </c>
      <c r="G454" s="46" t="s">
        <v>2178</v>
      </c>
      <c r="H454" s="47" t="s">
        <v>126</v>
      </c>
      <c r="I454" s="47" t="s">
        <v>469</v>
      </c>
      <c r="J454" s="46" t="s">
        <v>2179</v>
      </c>
      <c r="K454" s="47" t="s">
        <v>233</v>
      </c>
      <c r="L454" s="48" t="s">
        <v>122</v>
      </c>
      <c r="M454" s="46" t="s">
        <v>1589</v>
      </c>
      <c r="N454" s="48" t="s">
        <v>84</v>
      </c>
      <c r="O454" s="49">
        <v>10</v>
      </c>
      <c r="P454" s="48" t="s">
        <v>46</v>
      </c>
      <c r="Q454" s="41" t="s">
        <v>66</v>
      </c>
      <c r="R454" s="41" t="s">
        <v>234</v>
      </c>
      <c r="S454" s="41" t="s">
        <v>234</v>
      </c>
      <c r="T454" s="41" t="s">
        <v>234</v>
      </c>
      <c r="U454" s="41" t="s">
        <v>234</v>
      </c>
      <c r="V454" s="41" t="s">
        <v>234</v>
      </c>
      <c r="W454" s="41" t="s">
        <v>234</v>
      </c>
      <c r="X454" s="43">
        <v>0</v>
      </c>
      <c r="Y454" s="41" t="s">
        <v>97</v>
      </c>
      <c r="Z454" s="41" t="s">
        <v>97</v>
      </c>
      <c r="AA454" s="41" t="s">
        <v>113</v>
      </c>
      <c r="AB454" s="39" t="s">
        <v>46</v>
      </c>
      <c r="AC454" s="44" t="s">
        <v>46</v>
      </c>
    </row>
    <row r="455" spans="1:29" x14ac:dyDescent="0.25">
      <c r="A455" s="38" t="s">
        <v>2180</v>
      </c>
      <c r="B455" s="39" t="s">
        <v>185</v>
      </c>
      <c r="C455" s="39" t="s">
        <v>188</v>
      </c>
      <c r="D455" s="40" t="s">
        <v>2156</v>
      </c>
      <c r="E455" s="40" t="s">
        <v>131</v>
      </c>
      <c r="F455" s="39" t="s">
        <v>2181</v>
      </c>
      <c r="G455" s="39" t="s">
        <v>2182</v>
      </c>
      <c r="H455" s="40" t="s">
        <v>126</v>
      </c>
      <c r="I455" s="40" t="s">
        <v>469</v>
      </c>
      <c r="J455" s="39" t="s">
        <v>2183</v>
      </c>
      <c r="K455" s="40" t="s">
        <v>233</v>
      </c>
      <c r="L455" s="41" t="s">
        <v>122</v>
      </c>
      <c r="M455" s="39" t="s">
        <v>1589</v>
      </c>
      <c r="N455" s="41" t="s">
        <v>84</v>
      </c>
      <c r="O455" s="42">
        <v>4</v>
      </c>
      <c r="P455" s="41" t="s">
        <v>46</v>
      </c>
      <c r="Q455" s="41" t="s">
        <v>66</v>
      </c>
      <c r="R455" s="41" t="s">
        <v>234</v>
      </c>
      <c r="S455" s="41" t="s">
        <v>234</v>
      </c>
      <c r="T455" s="41" t="s">
        <v>234</v>
      </c>
      <c r="U455" s="41" t="s">
        <v>234</v>
      </c>
      <c r="V455" s="41" t="s">
        <v>234</v>
      </c>
      <c r="W455" s="41" t="s">
        <v>234</v>
      </c>
      <c r="X455" s="43">
        <v>0</v>
      </c>
      <c r="Y455" s="41" t="s">
        <v>97</v>
      </c>
      <c r="Z455" s="41" t="s">
        <v>97</v>
      </c>
      <c r="AA455" s="41" t="s">
        <v>113</v>
      </c>
      <c r="AB455" s="39" t="s">
        <v>46</v>
      </c>
      <c r="AC455" s="44" t="s">
        <v>46</v>
      </c>
    </row>
    <row r="456" spans="1:29" x14ac:dyDescent="0.25">
      <c r="A456" s="45" t="s">
        <v>2184</v>
      </c>
      <c r="B456" s="46" t="s">
        <v>185</v>
      </c>
      <c r="C456" s="46" t="s">
        <v>188</v>
      </c>
      <c r="D456" s="47" t="s">
        <v>2156</v>
      </c>
      <c r="E456" s="47" t="s">
        <v>129</v>
      </c>
      <c r="F456" s="46" t="s">
        <v>2185</v>
      </c>
      <c r="G456" s="46" t="s">
        <v>2186</v>
      </c>
      <c r="H456" s="47" t="s">
        <v>126</v>
      </c>
      <c r="I456" s="47" t="s">
        <v>469</v>
      </c>
      <c r="J456" s="46" t="s">
        <v>2187</v>
      </c>
      <c r="K456" s="47" t="s">
        <v>233</v>
      </c>
      <c r="L456" s="48" t="s">
        <v>122</v>
      </c>
      <c r="M456" s="46" t="s">
        <v>1589</v>
      </c>
      <c r="N456" s="48" t="s">
        <v>84</v>
      </c>
      <c r="O456" s="49">
        <v>8</v>
      </c>
      <c r="P456" s="48" t="s">
        <v>46</v>
      </c>
      <c r="Q456" s="41" t="s">
        <v>66</v>
      </c>
      <c r="R456" s="41" t="s">
        <v>234</v>
      </c>
      <c r="S456" s="41" t="s">
        <v>234</v>
      </c>
      <c r="T456" s="41" t="s">
        <v>234</v>
      </c>
      <c r="U456" s="41" t="s">
        <v>234</v>
      </c>
      <c r="V456" s="41" t="s">
        <v>234</v>
      </c>
      <c r="W456" s="41" t="s">
        <v>234</v>
      </c>
      <c r="X456" s="43">
        <v>0</v>
      </c>
      <c r="Y456" s="41" t="s">
        <v>97</v>
      </c>
      <c r="Z456" s="41" t="s">
        <v>97</v>
      </c>
      <c r="AA456" s="41" t="s">
        <v>113</v>
      </c>
      <c r="AB456" s="39" t="s">
        <v>46</v>
      </c>
      <c r="AC456" s="44" t="s">
        <v>46</v>
      </c>
    </row>
    <row r="457" spans="1:29" x14ac:dyDescent="0.25">
      <c r="A457" s="38" t="s">
        <v>2188</v>
      </c>
      <c r="B457" s="39" t="s">
        <v>185</v>
      </c>
      <c r="C457" s="39" t="s">
        <v>188</v>
      </c>
      <c r="D457" s="40" t="s">
        <v>2156</v>
      </c>
      <c r="E457" s="40" t="s">
        <v>131</v>
      </c>
      <c r="F457" s="39" t="s">
        <v>2189</v>
      </c>
      <c r="G457" s="39" t="s">
        <v>2190</v>
      </c>
      <c r="H457" s="40" t="s">
        <v>126</v>
      </c>
      <c r="I457" s="40" t="s">
        <v>469</v>
      </c>
      <c r="J457" s="39" t="s">
        <v>2191</v>
      </c>
      <c r="K457" s="40" t="s">
        <v>233</v>
      </c>
      <c r="L457" s="41" t="s">
        <v>122</v>
      </c>
      <c r="M457" s="39" t="s">
        <v>1589</v>
      </c>
      <c r="N457" s="41" t="s">
        <v>85</v>
      </c>
      <c r="O457" s="42">
        <v>6</v>
      </c>
      <c r="P457" s="41" t="s">
        <v>46</v>
      </c>
      <c r="Q457" s="41" t="s">
        <v>66</v>
      </c>
      <c r="R457" s="41" t="s">
        <v>234</v>
      </c>
      <c r="S457" s="41" t="s">
        <v>234</v>
      </c>
      <c r="T457" s="41" t="s">
        <v>234</v>
      </c>
      <c r="U457" s="41" t="s">
        <v>234</v>
      </c>
      <c r="V457" s="41" t="s">
        <v>234</v>
      </c>
      <c r="W457" s="41" t="s">
        <v>234</v>
      </c>
      <c r="X457" s="43">
        <v>0</v>
      </c>
      <c r="Y457" s="41" t="s">
        <v>97</v>
      </c>
      <c r="Z457" s="41" t="s">
        <v>97</v>
      </c>
      <c r="AA457" s="41" t="s">
        <v>113</v>
      </c>
      <c r="AB457" s="39" t="s">
        <v>46</v>
      </c>
      <c r="AC457" s="44" t="s">
        <v>46</v>
      </c>
    </row>
    <row r="458" spans="1:29" x14ac:dyDescent="0.25">
      <c r="A458" s="45" t="s">
        <v>2192</v>
      </c>
      <c r="B458" s="46" t="s">
        <v>185</v>
      </c>
      <c r="C458" s="46" t="s">
        <v>188</v>
      </c>
      <c r="D458" s="47" t="s">
        <v>2156</v>
      </c>
      <c r="E458" s="47" t="s">
        <v>131</v>
      </c>
      <c r="F458" s="46" t="s">
        <v>2193</v>
      </c>
      <c r="G458" s="46" t="s">
        <v>2194</v>
      </c>
      <c r="H458" s="47" t="s">
        <v>126</v>
      </c>
      <c r="I458" s="47" t="s">
        <v>469</v>
      </c>
      <c r="J458" s="46" t="s">
        <v>2195</v>
      </c>
      <c r="K458" s="47" t="s">
        <v>233</v>
      </c>
      <c r="L458" s="48" t="s">
        <v>122</v>
      </c>
      <c r="M458" s="46" t="s">
        <v>1589</v>
      </c>
      <c r="N458" s="48" t="s">
        <v>85</v>
      </c>
      <c r="O458" s="49">
        <v>8</v>
      </c>
      <c r="P458" s="48" t="s">
        <v>46</v>
      </c>
      <c r="Q458" s="41" t="s">
        <v>66</v>
      </c>
      <c r="R458" s="41" t="s">
        <v>234</v>
      </c>
      <c r="S458" s="41" t="s">
        <v>234</v>
      </c>
      <c r="T458" s="41" t="s">
        <v>234</v>
      </c>
      <c r="U458" s="41" t="s">
        <v>234</v>
      </c>
      <c r="V458" s="41" t="s">
        <v>234</v>
      </c>
      <c r="W458" s="41" t="s">
        <v>234</v>
      </c>
      <c r="X458" s="43">
        <v>0</v>
      </c>
      <c r="Y458" s="41" t="s">
        <v>97</v>
      </c>
      <c r="Z458" s="41" t="s">
        <v>97</v>
      </c>
      <c r="AA458" s="41" t="s">
        <v>113</v>
      </c>
      <c r="AB458" s="39" t="s">
        <v>2196</v>
      </c>
      <c r="AC458" s="44" t="s">
        <v>46</v>
      </c>
    </row>
    <row r="459" spans="1:29" x14ac:dyDescent="0.25">
      <c r="A459" s="38" t="s">
        <v>2197</v>
      </c>
      <c r="B459" s="39" t="s">
        <v>185</v>
      </c>
      <c r="C459" s="39" t="s">
        <v>188</v>
      </c>
      <c r="D459" s="40" t="s">
        <v>2156</v>
      </c>
      <c r="E459" s="40" t="s">
        <v>56</v>
      </c>
      <c r="F459" s="39" t="s">
        <v>2198</v>
      </c>
      <c r="G459" s="39" t="s">
        <v>2199</v>
      </c>
      <c r="H459" s="40" t="s">
        <v>132</v>
      </c>
      <c r="I459" s="40" t="s">
        <v>522</v>
      </c>
      <c r="J459" s="39" t="s">
        <v>2200</v>
      </c>
      <c r="K459" s="40" t="s">
        <v>233</v>
      </c>
      <c r="L459" s="41" t="s">
        <v>122</v>
      </c>
      <c r="M459" s="39" t="s">
        <v>1589</v>
      </c>
      <c r="N459" s="41" t="s">
        <v>85</v>
      </c>
      <c r="O459" s="42">
        <v>12</v>
      </c>
      <c r="P459" s="41" t="s">
        <v>46</v>
      </c>
      <c r="Q459" s="41" t="s">
        <v>66</v>
      </c>
      <c r="R459" s="41" t="s">
        <v>234</v>
      </c>
      <c r="S459" s="41" t="s">
        <v>234</v>
      </c>
      <c r="T459" s="41" t="s">
        <v>234</v>
      </c>
      <c r="U459" s="41" t="s">
        <v>234</v>
      </c>
      <c r="V459" s="41" t="s">
        <v>234</v>
      </c>
      <c r="W459" s="41" t="s">
        <v>234</v>
      </c>
      <c r="X459" s="43">
        <v>0</v>
      </c>
      <c r="Y459" s="41" t="s">
        <v>97</v>
      </c>
      <c r="Z459" s="41" t="s">
        <v>97</v>
      </c>
      <c r="AA459" s="41" t="s">
        <v>113</v>
      </c>
      <c r="AB459" s="39" t="s">
        <v>46</v>
      </c>
      <c r="AC459" s="44" t="s">
        <v>46</v>
      </c>
    </row>
    <row r="460" spans="1:29" x14ac:dyDescent="0.25">
      <c r="A460" s="45" t="s">
        <v>2201</v>
      </c>
      <c r="B460" s="46" t="s">
        <v>190</v>
      </c>
      <c r="C460" s="46" t="s">
        <v>189</v>
      </c>
      <c r="D460" s="47" t="s">
        <v>129</v>
      </c>
      <c r="E460" s="47" t="s">
        <v>129</v>
      </c>
      <c r="F460" s="46" t="s">
        <v>2202</v>
      </c>
      <c r="G460" s="46" t="s">
        <v>2203</v>
      </c>
      <c r="H460" s="47" t="s">
        <v>126</v>
      </c>
      <c r="I460" s="47" t="s">
        <v>522</v>
      </c>
      <c r="J460" s="46" t="s">
        <v>2204</v>
      </c>
      <c r="K460" s="47" t="s">
        <v>2205</v>
      </c>
      <c r="L460" s="48" t="s">
        <v>122</v>
      </c>
      <c r="M460" s="46" t="s">
        <v>460</v>
      </c>
      <c r="N460" s="48" t="s">
        <v>88</v>
      </c>
      <c r="O460" s="49">
        <v>12</v>
      </c>
      <c r="P460" s="48" t="s">
        <v>46</v>
      </c>
      <c r="Q460" s="41" t="s">
        <v>66</v>
      </c>
      <c r="R460" s="41" t="s">
        <v>234</v>
      </c>
      <c r="S460" s="41" t="s">
        <v>234</v>
      </c>
      <c r="T460" s="41" t="s">
        <v>234</v>
      </c>
      <c r="U460" s="41" t="s">
        <v>234</v>
      </c>
      <c r="V460" s="41" t="s">
        <v>234</v>
      </c>
      <c r="W460" s="41" t="s">
        <v>234</v>
      </c>
      <c r="X460" s="43">
        <v>0</v>
      </c>
      <c r="Y460" s="41" t="s">
        <v>97</v>
      </c>
      <c r="Z460" s="41" t="s">
        <v>97</v>
      </c>
      <c r="AA460" s="41" t="s">
        <v>113</v>
      </c>
      <c r="AB460" s="39" t="s">
        <v>46</v>
      </c>
      <c r="AC460" s="44" t="s">
        <v>46</v>
      </c>
    </row>
    <row r="461" spans="1:29" x14ac:dyDescent="0.25">
      <c r="A461" s="38" t="s">
        <v>2206</v>
      </c>
      <c r="B461" s="39" t="s">
        <v>190</v>
      </c>
      <c r="C461" s="39" t="s">
        <v>189</v>
      </c>
      <c r="D461" s="40" t="s">
        <v>129</v>
      </c>
      <c r="E461" s="40" t="s">
        <v>129</v>
      </c>
      <c r="F461" s="39" t="s">
        <v>2207</v>
      </c>
      <c r="G461" s="39" t="s">
        <v>2208</v>
      </c>
      <c r="H461" s="40" t="s">
        <v>126</v>
      </c>
      <c r="I461" s="40" t="s">
        <v>455</v>
      </c>
      <c r="J461" s="39" t="s">
        <v>2209</v>
      </c>
      <c r="K461" s="40" t="s">
        <v>2205</v>
      </c>
      <c r="L461" s="41" t="s">
        <v>122</v>
      </c>
      <c r="M461" s="39" t="s">
        <v>460</v>
      </c>
      <c r="N461" s="41" t="s">
        <v>88</v>
      </c>
      <c r="O461" s="42">
        <v>10</v>
      </c>
      <c r="P461" s="41" t="s">
        <v>46</v>
      </c>
      <c r="Q461" s="41" t="s">
        <v>66</v>
      </c>
      <c r="R461" s="41" t="s">
        <v>234</v>
      </c>
      <c r="S461" s="41" t="s">
        <v>234</v>
      </c>
      <c r="T461" s="41" t="s">
        <v>234</v>
      </c>
      <c r="U461" s="41" t="s">
        <v>234</v>
      </c>
      <c r="V461" s="41" t="s">
        <v>234</v>
      </c>
      <c r="W461" s="41" t="s">
        <v>234</v>
      </c>
      <c r="X461" s="43">
        <v>0</v>
      </c>
      <c r="Y461" s="41" t="s">
        <v>97</v>
      </c>
      <c r="Z461" s="41" t="s">
        <v>97</v>
      </c>
      <c r="AA461" s="41" t="s">
        <v>113</v>
      </c>
      <c r="AB461" s="39" t="s">
        <v>2210</v>
      </c>
      <c r="AC461" s="44" t="s">
        <v>46</v>
      </c>
    </row>
    <row r="462" spans="1:29" x14ac:dyDescent="0.25">
      <c r="A462" s="45" t="s">
        <v>2211</v>
      </c>
      <c r="B462" s="46" t="s">
        <v>190</v>
      </c>
      <c r="C462" s="46" t="s">
        <v>189</v>
      </c>
      <c r="D462" s="47" t="s">
        <v>129</v>
      </c>
      <c r="E462" s="47" t="s">
        <v>129</v>
      </c>
      <c r="F462" s="46" t="s">
        <v>2212</v>
      </c>
      <c r="G462" s="46" t="s">
        <v>2213</v>
      </c>
      <c r="H462" s="47" t="s">
        <v>126</v>
      </c>
      <c r="I462" s="47" t="s">
        <v>455</v>
      </c>
      <c r="J462" s="46" t="s">
        <v>2214</v>
      </c>
      <c r="K462" s="47" t="s">
        <v>2205</v>
      </c>
      <c r="L462" s="48" t="s">
        <v>122</v>
      </c>
      <c r="M462" s="46" t="s">
        <v>460</v>
      </c>
      <c r="N462" s="48" t="s">
        <v>88</v>
      </c>
      <c r="O462" s="49">
        <v>8</v>
      </c>
      <c r="P462" s="48" t="s">
        <v>46</v>
      </c>
      <c r="Q462" s="41" t="s">
        <v>66</v>
      </c>
      <c r="R462" s="41" t="s">
        <v>234</v>
      </c>
      <c r="S462" s="41" t="s">
        <v>234</v>
      </c>
      <c r="T462" s="41" t="s">
        <v>234</v>
      </c>
      <c r="U462" s="41" t="s">
        <v>234</v>
      </c>
      <c r="V462" s="41" t="s">
        <v>234</v>
      </c>
      <c r="W462" s="41" t="s">
        <v>234</v>
      </c>
      <c r="X462" s="43">
        <v>0</v>
      </c>
      <c r="Y462" s="41" t="s">
        <v>97</v>
      </c>
      <c r="Z462" s="41" t="s">
        <v>97</v>
      </c>
      <c r="AA462" s="41" t="s">
        <v>113</v>
      </c>
      <c r="AB462" s="39" t="s">
        <v>46</v>
      </c>
      <c r="AC462" s="44" t="s">
        <v>46</v>
      </c>
    </row>
    <row r="463" spans="1:29" x14ac:dyDescent="0.25">
      <c r="A463" s="38" t="s">
        <v>2215</v>
      </c>
      <c r="B463" s="39" t="s">
        <v>190</v>
      </c>
      <c r="C463" s="39" t="s">
        <v>189</v>
      </c>
      <c r="D463" s="40" t="s">
        <v>129</v>
      </c>
      <c r="E463" s="40" t="s">
        <v>129</v>
      </c>
      <c r="F463" s="39" t="s">
        <v>2216</v>
      </c>
      <c r="G463" s="39" t="s">
        <v>2217</v>
      </c>
      <c r="H463" s="40" t="s">
        <v>126</v>
      </c>
      <c r="I463" s="40" t="s">
        <v>455</v>
      </c>
      <c r="J463" s="39" t="s">
        <v>2218</v>
      </c>
      <c r="K463" s="40" t="s">
        <v>2205</v>
      </c>
      <c r="L463" s="41" t="s">
        <v>122</v>
      </c>
      <c r="M463" s="39" t="s">
        <v>460</v>
      </c>
      <c r="N463" s="41" t="s">
        <v>89</v>
      </c>
      <c r="O463" s="42">
        <v>8</v>
      </c>
      <c r="P463" s="41" t="s">
        <v>46</v>
      </c>
      <c r="Q463" s="41" t="s">
        <v>66</v>
      </c>
      <c r="R463" s="41" t="s">
        <v>234</v>
      </c>
      <c r="S463" s="41" t="s">
        <v>234</v>
      </c>
      <c r="T463" s="41" t="s">
        <v>234</v>
      </c>
      <c r="U463" s="41" t="s">
        <v>234</v>
      </c>
      <c r="V463" s="41" t="s">
        <v>234</v>
      </c>
      <c r="W463" s="41" t="s">
        <v>234</v>
      </c>
      <c r="X463" s="43">
        <v>0</v>
      </c>
      <c r="Y463" s="41" t="s">
        <v>97</v>
      </c>
      <c r="Z463" s="41" t="s">
        <v>97</v>
      </c>
      <c r="AA463" s="41" t="s">
        <v>113</v>
      </c>
      <c r="AB463" s="39" t="s">
        <v>2219</v>
      </c>
      <c r="AC463" s="44" t="s">
        <v>46</v>
      </c>
    </row>
    <row r="464" spans="1:29" x14ac:dyDescent="0.25">
      <c r="A464" s="45" t="s">
        <v>2220</v>
      </c>
      <c r="B464" s="46" t="s">
        <v>190</v>
      </c>
      <c r="C464" s="46" t="s">
        <v>189</v>
      </c>
      <c r="D464" s="47" t="s">
        <v>129</v>
      </c>
      <c r="E464" s="47" t="s">
        <v>129</v>
      </c>
      <c r="F464" s="46" t="s">
        <v>2221</v>
      </c>
      <c r="G464" s="46" t="s">
        <v>2222</v>
      </c>
      <c r="H464" s="47" t="s">
        <v>128</v>
      </c>
      <c r="I464" s="47" t="s">
        <v>401</v>
      </c>
      <c r="J464" s="46" t="s">
        <v>2223</v>
      </c>
      <c r="K464" s="47" t="s">
        <v>2205</v>
      </c>
      <c r="L464" s="48" t="s">
        <v>122</v>
      </c>
      <c r="M464" s="46" t="s">
        <v>460</v>
      </c>
      <c r="N464" s="48" t="s">
        <v>89</v>
      </c>
      <c r="O464" s="49">
        <v>12</v>
      </c>
      <c r="P464" s="48" t="s">
        <v>46</v>
      </c>
      <c r="Q464" s="41" t="s">
        <v>66</v>
      </c>
      <c r="R464" s="41" t="s">
        <v>234</v>
      </c>
      <c r="S464" s="41" t="s">
        <v>234</v>
      </c>
      <c r="T464" s="41" t="s">
        <v>234</v>
      </c>
      <c r="U464" s="41" t="s">
        <v>234</v>
      </c>
      <c r="V464" s="41" t="s">
        <v>234</v>
      </c>
      <c r="W464" s="41" t="s">
        <v>234</v>
      </c>
      <c r="X464" s="43">
        <v>0</v>
      </c>
      <c r="Y464" s="41" t="s">
        <v>97</v>
      </c>
      <c r="Z464" s="41" t="s">
        <v>97</v>
      </c>
      <c r="AA464" s="41" t="s">
        <v>113</v>
      </c>
      <c r="AB464" s="39" t="s">
        <v>46</v>
      </c>
      <c r="AC464" s="44" t="s">
        <v>46</v>
      </c>
    </row>
    <row r="465" spans="1:29" x14ac:dyDescent="0.25">
      <c r="A465" s="38" t="s">
        <v>2224</v>
      </c>
      <c r="B465" s="39" t="s">
        <v>190</v>
      </c>
      <c r="C465" s="39" t="s">
        <v>189</v>
      </c>
      <c r="D465" s="40" t="s">
        <v>129</v>
      </c>
      <c r="E465" s="40" t="s">
        <v>136</v>
      </c>
      <c r="F465" s="39" t="s">
        <v>2225</v>
      </c>
      <c r="G465" s="39" t="s">
        <v>2226</v>
      </c>
      <c r="H465" s="40" t="s">
        <v>126</v>
      </c>
      <c r="I465" s="40" t="s">
        <v>298</v>
      </c>
      <c r="J465" s="39" t="s">
        <v>2227</v>
      </c>
      <c r="K465" s="40" t="s">
        <v>2205</v>
      </c>
      <c r="L465" s="41" t="s">
        <v>122</v>
      </c>
      <c r="M465" s="39" t="s">
        <v>460</v>
      </c>
      <c r="N465" s="41" t="s">
        <v>89</v>
      </c>
      <c r="O465" s="42">
        <v>8</v>
      </c>
      <c r="P465" s="41" t="s">
        <v>46</v>
      </c>
      <c r="Q465" s="41" t="s">
        <v>66</v>
      </c>
      <c r="R465" s="41" t="s">
        <v>234</v>
      </c>
      <c r="S465" s="41" t="s">
        <v>234</v>
      </c>
      <c r="T465" s="41" t="s">
        <v>234</v>
      </c>
      <c r="U465" s="41" t="s">
        <v>234</v>
      </c>
      <c r="V465" s="41" t="s">
        <v>234</v>
      </c>
      <c r="W465" s="41" t="s">
        <v>234</v>
      </c>
      <c r="X465" s="43">
        <v>0</v>
      </c>
      <c r="Y465" s="41" t="s">
        <v>97</v>
      </c>
      <c r="Z465" s="41" t="s">
        <v>97</v>
      </c>
      <c r="AA465" s="41" t="s">
        <v>113</v>
      </c>
      <c r="AB465" s="39" t="s">
        <v>2228</v>
      </c>
      <c r="AC465" s="44" t="s">
        <v>46</v>
      </c>
    </row>
    <row r="466" spans="1:29" x14ac:dyDescent="0.25">
      <c r="A466" s="45" t="s">
        <v>2229</v>
      </c>
      <c r="B466" s="46" t="s">
        <v>190</v>
      </c>
      <c r="C466" s="46" t="s">
        <v>189</v>
      </c>
      <c r="D466" s="47" t="s">
        <v>129</v>
      </c>
      <c r="E466" s="47" t="s">
        <v>129</v>
      </c>
      <c r="F466" s="46" t="s">
        <v>2230</v>
      </c>
      <c r="G466" s="46" t="s">
        <v>2231</v>
      </c>
      <c r="H466" s="47" t="s">
        <v>126</v>
      </c>
      <c r="I466" s="47" t="s">
        <v>522</v>
      </c>
      <c r="J466" s="46" t="s">
        <v>2232</v>
      </c>
      <c r="K466" s="47" t="s">
        <v>2205</v>
      </c>
      <c r="L466" s="48" t="s">
        <v>122</v>
      </c>
      <c r="M466" s="46" t="s">
        <v>460</v>
      </c>
      <c r="N466" s="48" t="s">
        <v>89</v>
      </c>
      <c r="O466" s="49">
        <v>10</v>
      </c>
      <c r="P466" s="48" t="s">
        <v>46</v>
      </c>
      <c r="Q466" s="41" t="s">
        <v>66</v>
      </c>
      <c r="R466" s="41" t="s">
        <v>234</v>
      </c>
      <c r="S466" s="41" t="s">
        <v>234</v>
      </c>
      <c r="T466" s="41" t="s">
        <v>234</v>
      </c>
      <c r="U466" s="41" t="s">
        <v>234</v>
      </c>
      <c r="V466" s="41" t="s">
        <v>234</v>
      </c>
      <c r="W466" s="41" t="s">
        <v>234</v>
      </c>
      <c r="X466" s="43">
        <v>0</v>
      </c>
      <c r="Y466" s="41" t="s">
        <v>97</v>
      </c>
      <c r="Z466" s="41" t="s">
        <v>97</v>
      </c>
      <c r="AA466" s="41" t="s">
        <v>113</v>
      </c>
      <c r="AB466" s="39" t="s">
        <v>46</v>
      </c>
      <c r="AC466" s="44" t="s">
        <v>46</v>
      </c>
    </row>
    <row r="467" spans="1:29" x14ac:dyDescent="0.25">
      <c r="A467" s="38" t="s">
        <v>2233</v>
      </c>
      <c r="B467" s="39" t="s">
        <v>190</v>
      </c>
      <c r="C467" s="39" t="s">
        <v>189</v>
      </c>
      <c r="D467" s="40" t="s">
        <v>129</v>
      </c>
      <c r="E467" s="40" t="s">
        <v>129</v>
      </c>
      <c r="F467" s="39" t="s">
        <v>2234</v>
      </c>
      <c r="G467" s="39" t="s">
        <v>2235</v>
      </c>
      <c r="H467" s="40" t="s">
        <v>132</v>
      </c>
      <c r="I467" s="40" t="s">
        <v>522</v>
      </c>
      <c r="J467" s="39" t="s">
        <v>2236</v>
      </c>
      <c r="K467" s="40" t="s">
        <v>2205</v>
      </c>
      <c r="L467" s="41" t="s">
        <v>122</v>
      </c>
      <c r="M467" s="39" t="s">
        <v>460</v>
      </c>
      <c r="N467" s="41" t="s">
        <v>90</v>
      </c>
      <c r="O467" s="42">
        <v>8</v>
      </c>
      <c r="P467" s="41" t="s">
        <v>46</v>
      </c>
      <c r="Q467" s="41" t="s">
        <v>66</v>
      </c>
      <c r="R467" s="41" t="s">
        <v>234</v>
      </c>
      <c r="S467" s="41" t="s">
        <v>234</v>
      </c>
      <c r="T467" s="41" t="s">
        <v>234</v>
      </c>
      <c r="U467" s="41" t="s">
        <v>234</v>
      </c>
      <c r="V467" s="41" t="s">
        <v>234</v>
      </c>
      <c r="W467" s="41" t="s">
        <v>234</v>
      </c>
      <c r="X467" s="43">
        <v>0</v>
      </c>
      <c r="Y467" s="41" t="s">
        <v>97</v>
      </c>
      <c r="Z467" s="41" t="s">
        <v>97</v>
      </c>
      <c r="AA467" s="41" t="s">
        <v>113</v>
      </c>
      <c r="AB467" s="39" t="s">
        <v>46</v>
      </c>
      <c r="AC467" s="44" t="s">
        <v>46</v>
      </c>
    </row>
    <row r="468" spans="1:29" x14ac:dyDescent="0.25">
      <c r="A468" s="45" t="s">
        <v>2237</v>
      </c>
      <c r="B468" s="46" t="s">
        <v>190</v>
      </c>
      <c r="C468" s="46" t="s">
        <v>189</v>
      </c>
      <c r="D468" s="47" t="s">
        <v>129</v>
      </c>
      <c r="E468" s="47" t="s">
        <v>129</v>
      </c>
      <c r="F468" s="46" t="s">
        <v>2238</v>
      </c>
      <c r="G468" s="46" t="s">
        <v>2239</v>
      </c>
      <c r="H468" s="47" t="s">
        <v>123</v>
      </c>
      <c r="I468" s="47" t="s">
        <v>495</v>
      </c>
      <c r="J468" s="46" t="s">
        <v>2240</v>
      </c>
      <c r="K468" s="47" t="s">
        <v>2205</v>
      </c>
      <c r="L468" s="48" t="s">
        <v>122</v>
      </c>
      <c r="M468" s="46" t="s">
        <v>460</v>
      </c>
      <c r="N468" s="48" t="s">
        <v>90</v>
      </c>
      <c r="O468" s="49">
        <v>12</v>
      </c>
      <c r="P468" s="48" t="s">
        <v>46</v>
      </c>
      <c r="Q468" s="41" t="s">
        <v>66</v>
      </c>
      <c r="R468" s="41" t="s">
        <v>234</v>
      </c>
      <c r="S468" s="41" t="s">
        <v>234</v>
      </c>
      <c r="T468" s="41" t="s">
        <v>234</v>
      </c>
      <c r="U468" s="41" t="s">
        <v>234</v>
      </c>
      <c r="V468" s="41" t="s">
        <v>234</v>
      </c>
      <c r="W468" s="41" t="s">
        <v>234</v>
      </c>
      <c r="X468" s="43">
        <v>0</v>
      </c>
      <c r="Y468" s="41" t="s">
        <v>97</v>
      </c>
      <c r="Z468" s="41" t="s">
        <v>97</v>
      </c>
      <c r="AA468" s="41" t="s">
        <v>113</v>
      </c>
      <c r="AB468" s="39" t="s">
        <v>46</v>
      </c>
      <c r="AC468" s="44" t="s">
        <v>46</v>
      </c>
    </row>
    <row r="469" spans="1:29" x14ac:dyDescent="0.25">
      <c r="A469" s="38" t="s">
        <v>2241</v>
      </c>
      <c r="B469" s="39" t="s">
        <v>190</v>
      </c>
      <c r="C469" s="39" t="s">
        <v>189</v>
      </c>
      <c r="D469" s="40" t="s">
        <v>129</v>
      </c>
      <c r="E469" s="40" t="s">
        <v>136</v>
      </c>
      <c r="F469" s="39" t="s">
        <v>2242</v>
      </c>
      <c r="G469" s="39" t="s">
        <v>2243</v>
      </c>
      <c r="H469" s="40" t="s">
        <v>126</v>
      </c>
      <c r="I469" s="40" t="s">
        <v>522</v>
      </c>
      <c r="J469" s="39" t="s">
        <v>2244</v>
      </c>
      <c r="K469" s="40" t="s">
        <v>2205</v>
      </c>
      <c r="L469" s="41" t="s">
        <v>122</v>
      </c>
      <c r="M469" s="39" t="s">
        <v>460</v>
      </c>
      <c r="N469" s="41" t="s">
        <v>90</v>
      </c>
      <c r="O469" s="42">
        <v>10</v>
      </c>
      <c r="P469" s="41" t="s">
        <v>46</v>
      </c>
      <c r="Q469" s="41" t="s">
        <v>66</v>
      </c>
      <c r="R469" s="41" t="s">
        <v>234</v>
      </c>
      <c r="S469" s="41" t="s">
        <v>234</v>
      </c>
      <c r="T469" s="41" t="s">
        <v>234</v>
      </c>
      <c r="U469" s="41" t="s">
        <v>234</v>
      </c>
      <c r="V469" s="41" t="s">
        <v>234</v>
      </c>
      <c r="W469" s="41" t="s">
        <v>234</v>
      </c>
      <c r="X469" s="43">
        <v>0</v>
      </c>
      <c r="Y469" s="41" t="s">
        <v>97</v>
      </c>
      <c r="Z469" s="41" t="s">
        <v>97</v>
      </c>
      <c r="AA469" s="41" t="s">
        <v>113</v>
      </c>
      <c r="AB469" s="39" t="s">
        <v>46</v>
      </c>
      <c r="AC469" s="44" t="s">
        <v>46</v>
      </c>
    </row>
    <row r="470" spans="1:29" x14ac:dyDescent="0.25">
      <c r="A470" s="45" t="s">
        <v>2245</v>
      </c>
      <c r="B470" s="46" t="s">
        <v>190</v>
      </c>
      <c r="C470" s="46" t="s">
        <v>189</v>
      </c>
      <c r="D470" s="47" t="s">
        <v>129</v>
      </c>
      <c r="E470" s="47" t="s">
        <v>129</v>
      </c>
      <c r="F470" s="46" t="s">
        <v>2246</v>
      </c>
      <c r="G470" s="46" t="s">
        <v>2247</v>
      </c>
      <c r="H470" s="47" t="s">
        <v>126</v>
      </c>
      <c r="I470" s="47" t="s">
        <v>522</v>
      </c>
      <c r="J470" s="46" t="s">
        <v>2248</v>
      </c>
      <c r="K470" s="47" t="s">
        <v>2205</v>
      </c>
      <c r="L470" s="48" t="s">
        <v>122</v>
      </c>
      <c r="M470" s="46" t="s">
        <v>460</v>
      </c>
      <c r="N470" s="48" t="s">
        <v>90</v>
      </c>
      <c r="O470" s="49">
        <v>6</v>
      </c>
      <c r="P470" s="48" t="s">
        <v>46</v>
      </c>
      <c r="Q470" s="41" t="s">
        <v>66</v>
      </c>
      <c r="R470" s="41" t="s">
        <v>234</v>
      </c>
      <c r="S470" s="41" t="s">
        <v>234</v>
      </c>
      <c r="T470" s="41" t="s">
        <v>234</v>
      </c>
      <c r="U470" s="41" t="s">
        <v>234</v>
      </c>
      <c r="V470" s="41" t="s">
        <v>234</v>
      </c>
      <c r="W470" s="41" t="s">
        <v>234</v>
      </c>
      <c r="X470" s="43">
        <v>0</v>
      </c>
      <c r="Y470" s="41" t="s">
        <v>97</v>
      </c>
      <c r="Z470" s="41" t="s">
        <v>97</v>
      </c>
      <c r="AA470" s="41" t="s">
        <v>113</v>
      </c>
      <c r="AB470" s="39" t="s">
        <v>46</v>
      </c>
      <c r="AC470" s="44" t="s">
        <v>46</v>
      </c>
    </row>
    <row r="471" spans="1:29" x14ac:dyDescent="0.25">
      <c r="A471" s="38" t="s">
        <v>2249</v>
      </c>
      <c r="B471" s="39" t="s">
        <v>190</v>
      </c>
      <c r="C471" s="39" t="s">
        <v>189</v>
      </c>
      <c r="D471" s="40" t="s">
        <v>129</v>
      </c>
      <c r="E471" s="40" t="s">
        <v>129</v>
      </c>
      <c r="F471" s="39" t="s">
        <v>2250</v>
      </c>
      <c r="G471" s="39" t="s">
        <v>2251</v>
      </c>
      <c r="H471" s="40" t="s">
        <v>126</v>
      </c>
      <c r="I471" s="40" t="s">
        <v>522</v>
      </c>
      <c r="J471" s="39" t="s">
        <v>2252</v>
      </c>
      <c r="K471" s="40" t="s">
        <v>2205</v>
      </c>
      <c r="L471" s="41" t="s">
        <v>122</v>
      </c>
      <c r="M471" s="39" t="s">
        <v>460</v>
      </c>
      <c r="N471" s="41" t="s">
        <v>91</v>
      </c>
      <c r="O471" s="42">
        <v>10</v>
      </c>
      <c r="P471" s="41" t="s">
        <v>46</v>
      </c>
      <c r="Q471" s="41" t="s">
        <v>66</v>
      </c>
      <c r="R471" s="41" t="s">
        <v>234</v>
      </c>
      <c r="S471" s="41" t="s">
        <v>234</v>
      </c>
      <c r="T471" s="41" t="s">
        <v>234</v>
      </c>
      <c r="U471" s="41" t="s">
        <v>234</v>
      </c>
      <c r="V471" s="41" t="s">
        <v>234</v>
      </c>
      <c r="W471" s="41" t="s">
        <v>234</v>
      </c>
      <c r="X471" s="43">
        <v>0</v>
      </c>
      <c r="Y471" s="41" t="s">
        <v>97</v>
      </c>
      <c r="Z471" s="41" t="s">
        <v>97</v>
      </c>
      <c r="AA471" s="41" t="s">
        <v>113</v>
      </c>
      <c r="AB471" s="39" t="s">
        <v>2253</v>
      </c>
      <c r="AC471" s="44" t="s">
        <v>46</v>
      </c>
    </row>
    <row r="472" spans="1:29" x14ac:dyDescent="0.25">
      <c r="A472" s="45" t="s">
        <v>2254</v>
      </c>
      <c r="B472" s="46" t="s">
        <v>190</v>
      </c>
      <c r="C472" s="46" t="s">
        <v>189</v>
      </c>
      <c r="D472" s="47" t="s">
        <v>129</v>
      </c>
      <c r="E472" s="47" t="s">
        <v>56</v>
      </c>
      <c r="F472" s="46" t="s">
        <v>2255</v>
      </c>
      <c r="G472" s="46" t="s">
        <v>2256</v>
      </c>
      <c r="H472" s="47" t="s">
        <v>132</v>
      </c>
      <c r="I472" s="47" t="s">
        <v>522</v>
      </c>
      <c r="J472" s="46" t="s">
        <v>2257</v>
      </c>
      <c r="K472" s="47" t="s">
        <v>2205</v>
      </c>
      <c r="L472" s="48" t="s">
        <v>122</v>
      </c>
      <c r="M472" s="46" t="s">
        <v>460</v>
      </c>
      <c r="N472" s="48" t="s">
        <v>91</v>
      </c>
      <c r="O472" s="49">
        <v>14</v>
      </c>
      <c r="P472" s="48" t="s">
        <v>46</v>
      </c>
      <c r="Q472" s="41" t="s">
        <v>66</v>
      </c>
      <c r="R472" s="41" t="s">
        <v>234</v>
      </c>
      <c r="S472" s="41" t="s">
        <v>234</v>
      </c>
      <c r="T472" s="41" t="s">
        <v>234</v>
      </c>
      <c r="U472" s="41" t="s">
        <v>234</v>
      </c>
      <c r="V472" s="41" t="s">
        <v>234</v>
      </c>
      <c r="W472" s="41" t="s">
        <v>234</v>
      </c>
      <c r="X472" s="43">
        <v>0</v>
      </c>
      <c r="Y472" s="41" t="s">
        <v>97</v>
      </c>
      <c r="Z472" s="41" t="s">
        <v>97</v>
      </c>
      <c r="AA472" s="41" t="s">
        <v>113</v>
      </c>
      <c r="AB472" s="39" t="s">
        <v>46</v>
      </c>
      <c r="AC472" s="44" t="s">
        <v>46</v>
      </c>
    </row>
    <row r="473" spans="1:29" x14ac:dyDescent="0.25">
      <c r="A473" s="38" t="s">
        <v>2258</v>
      </c>
      <c r="B473" s="39" t="s">
        <v>190</v>
      </c>
      <c r="C473" s="39" t="s">
        <v>189</v>
      </c>
      <c r="D473" s="40" t="s">
        <v>129</v>
      </c>
      <c r="E473" s="40" t="s">
        <v>56</v>
      </c>
      <c r="F473" s="39" t="s">
        <v>2259</v>
      </c>
      <c r="G473" s="39" t="s">
        <v>2260</v>
      </c>
      <c r="H473" s="40" t="s">
        <v>132</v>
      </c>
      <c r="I473" s="40" t="s">
        <v>522</v>
      </c>
      <c r="J473" s="39" t="s">
        <v>2261</v>
      </c>
      <c r="K473" s="40" t="s">
        <v>2205</v>
      </c>
      <c r="L473" s="41" t="s">
        <v>122</v>
      </c>
      <c r="M473" s="39" t="s">
        <v>460</v>
      </c>
      <c r="N473" s="41" t="s">
        <v>92</v>
      </c>
      <c r="O473" s="42">
        <v>14</v>
      </c>
      <c r="P473" s="41" t="s">
        <v>46</v>
      </c>
      <c r="Q473" s="41" t="s">
        <v>66</v>
      </c>
      <c r="R473" s="41" t="s">
        <v>234</v>
      </c>
      <c r="S473" s="41" t="s">
        <v>234</v>
      </c>
      <c r="T473" s="41" t="s">
        <v>234</v>
      </c>
      <c r="U473" s="41" t="s">
        <v>234</v>
      </c>
      <c r="V473" s="41" t="s">
        <v>234</v>
      </c>
      <c r="W473" s="41" t="s">
        <v>234</v>
      </c>
      <c r="X473" s="43">
        <v>0</v>
      </c>
      <c r="Y473" s="41" t="s">
        <v>97</v>
      </c>
      <c r="Z473" s="41" t="s">
        <v>97</v>
      </c>
      <c r="AA473" s="41" t="s">
        <v>113</v>
      </c>
      <c r="AB473" s="39" t="s">
        <v>46</v>
      </c>
      <c r="AC473" s="44" t="s">
        <v>46</v>
      </c>
    </row>
    <row r="474" spans="1:29" x14ac:dyDescent="0.25">
      <c r="A474" s="45" t="s">
        <v>2262</v>
      </c>
      <c r="B474" s="46" t="s">
        <v>192</v>
      </c>
      <c r="C474" s="46" t="s">
        <v>191</v>
      </c>
      <c r="D474" s="47" t="s">
        <v>525</v>
      </c>
      <c r="E474" s="47" t="s">
        <v>56</v>
      </c>
      <c r="F474" s="46" t="s">
        <v>2263</v>
      </c>
      <c r="G474" s="46" t="s">
        <v>2264</v>
      </c>
      <c r="H474" s="47" t="s">
        <v>132</v>
      </c>
      <c r="I474" s="47" t="s">
        <v>522</v>
      </c>
      <c r="J474" s="46" t="s">
        <v>2265</v>
      </c>
      <c r="K474" s="47" t="s">
        <v>233</v>
      </c>
      <c r="L474" s="48" t="s">
        <v>122</v>
      </c>
      <c r="M474" s="46" t="s">
        <v>2266</v>
      </c>
      <c r="N474" s="48" t="s">
        <v>82</v>
      </c>
      <c r="O474" s="49">
        <v>10</v>
      </c>
      <c r="P474" s="48" t="s">
        <v>46</v>
      </c>
      <c r="Q474" s="41" t="s">
        <v>66</v>
      </c>
      <c r="R474" s="41" t="s">
        <v>234</v>
      </c>
      <c r="S474" s="41" t="s">
        <v>234</v>
      </c>
      <c r="T474" s="41" t="s">
        <v>234</v>
      </c>
      <c r="U474" s="41" t="s">
        <v>234</v>
      </c>
      <c r="V474" s="41" t="s">
        <v>234</v>
      </c>
      <c r="W474" s="41" t="s">
        <v>234</v>
      </c>
      <c r="X474" s="43">
        <v>0</v>
      </c>
      <c r="Y474" s="41" t="s">
        <v>97</v>
      </c>
      <c r="Z474" s="41" t="s">
        <v>97</v>
      </c>
      <c r="AA474" s="41" t="s">
        <v>113</v>
      </c>
      <c r="AB474" s="39" t="s">
        <v>46</v>
      </c>
      <c r="AC474" s="44" t="s">
        <v>46</v>
      </c>
    </row>
    <row r="475" spans="1:29" x14ac:dyDescent="0.25">
      <c r="A475" s="38" t="s">
        <v>2267</v>
      </c>
      <c r="B475" s="39" t="s">
        <v>192</v>
      </c>
      <c r="C475" s="39" t="s">
        <v>191</v>
      </c>
      <c r="D475" s="40" t="s">
        <v>525</v>
      </c>
      <c r="E475" s="40" t="s">
        <v>134</v>
      </c>
      <c r="F475" s="39" t="s">
        <v>2268</v>
      </c>
      <c r="G475" s="39" t="s">
        <v>2269</v>
      </c>
      <c r="H475" s="40" t="s">
        <v>132</v>
      </c>
      <c r="I475" s="40" t="s">
        <v>522</v>
      </c>
      <c r="J475" s="39" t="s">
        <v>2270</v>
      </c>
      <c r="K475" s="40" t="s">
        <v>233</v>
      </c>
      <c r="L475" s="41" t="s">
        <v>122</v>
      </c>
      <c r="M475" s="39" t="s">
        <v>2266</v>
      </c>
      <c r="N475" s="41" t="s">
        <v>82</v>
      </c>
      <c r="O475" s="42">
        <v>12</v>
      </c>
      <c r="P475" s="41" t="s">
        <v>46</v>
      </c>
      <c r="Q475" s="41" t="s">
        <v>66</v>
      </c>
      <c r="R475" s="41" t="s">
        <v>234</v>
      </c>
      <c r="S475" s="41" t="s">
        <v>234</v>
      </c>
      <c r="T475" s="41" t="s">
        <v>234</v>
      </c>
      <c r="U475" s="41" t="s">
        <v>234</v>
      </c>
      <c r="V475" s="41" t="s">
        <v>234</v>
      </c>
      <c r="W475" s="41" t="s">
        <v>234</v>
      </c>
      <c r="X475" s="43">
        <v>0</v>
      </c>
      <c r="Y475" s="41" t="s">
        <v>97</v>
      </c>
      <c r="Z475" s="41" t="s">
        <v>97</v>
      </c>
      <c r="AA475" s="41" t="s">
        <v>113</v>
      </c>
      <c r="AB475" s="39" t="s">
        <v>46</v>
      </c>
      <c r="AC475" s="44" t="s">
        <v>46</v>
      </c>
    </row>
    <row r="476" spans="1:29" x14ac:dyDescent="0.25">
      <c r="A476" s="45" t="s">
        <v>2271</v>
      </c>
      <c r="B476" s="46" t="s">
        <v>192</v>
      </c>
      <c r="C476" s="46" t="s">
        <v>191</v>
      </c>
      <c r="D476" s="47" t="s">
        <v>525</v>
      </c>
      <c r="E476" s="47" t="s">
        <v>134</v>
      </c>
      <c r="F476" s="46" t="s">
        <v>2272</v>
      </c>
      <c r="G476" s="46" t="s">
        <v>2273</v>
      </c>
      <c r="H476" s="47" t="s">
        <v>132</v>
      </c>
      <c r="I476" s="47" t="s">
        <v>522</v>
      </c>
      <c r="J476" s="46" t="s">
        <v>2274</v>
      </c>
      <c r="K476" s="47" t="s">
        <v>233</v>
      </c>
      <c r="L476" s="48" t="s">
        <v>122</v>
      </c>
      <c r="M476" s="46" t="s">
        <v>2266</v>
      </c>
      <c r="N476" s="48" t="s">
        <v>83</v>
      </c>
      <c r="O476" s="49">
        <v>24</v>
      </c>
      <c r="P476" s="48" t="s">
        <v>46</v>
      </c>
      <c r="Q476" s="41" t="s">
        <v>66</v>
      </c>
      <c r="R476" s="41" t="s">
        <v>234</v>
      </c>
      <c r="S476" s="41" t="s">
        <v>234</v>
      </c>
      <c r="T476" s="41" t="s">
        <v>234</v>
      </c>
      <c r="U476" s="41" t="s">
        <v>234</v>
      </c>
      <c r="V476" s="41" t="s">
        <v>234</v>
      </c>
      <c r="W476" s="41" t="s">
        <v>234</v>
      </c>
      <c r="X476" s="43">
        <v>0</v>
      </c>
      <c r="Y476" s="41" t="s">
        <v>97</v>
      </c>
      <c r="Z476" s="41" t="s">
        <v>97</v>
      </c>
      <c r="AA476" s="41" t="s">
        <v>113</v>
      </c>
      <c r="AB476" s="39" t="s">
        <v>2275</v>
      </c>
      <c r="AC476" s="44" t="s">
        <v>46</v>
      </c>
    </row>
    <row r="477" spans="1:29" x14ac:dyDescent="0.25">
      <c r="A477" s="38" t="s">
        <v>2276</v>
      </c>
      <c r="B477" s="39" t="s">
        <v>192</v>
      </c>
      <c r="C477" s="39" t="s">
        <v>191</v>
      </c>
      <c r="D477" s="40" t="s">
        <v>525</v>
      </c>
      <c r="E477" s="40" t="s">
        <v>136</v>
      </c>
      <c r="F477" s="39" t="s">
        <v>2277</v>
      </c>
      <c r="G477" s="39" t="s">
        <v>2278</v>
      </c>
      <c r="H477" s="40" t="s">
        <v>132</v>
      </c>
      <c r="I477" s="40" t="s">
        <v>522</v>
      </c>
      <c r="J477" s="39" t="s">
        <v>2279</v>
      </c>
      <c r="K477" s="40" t="s">
        <v>233</v>
      </c>
      <c r="L477" s="41" t="s">
        <v>122</v>
      </c>
      <c r="M477" s="39" t="s">
        <v>2266</v>
      </c>
      <c r="N477" s="41" t="s">
        <v>83</v>
      </c>
      <c r="O477" s="42">
        <v>14</v>
      </c>
      <c r="P477" s="41" t="s">
        <v>46</v>
      </c>
      <c r="Q477" s="41" t="s">
        <v>66</v>
      </c>
      <c r="R477" s="41" t="s">
        <v>234</v>
      </c>
      <c r="S477" s="41" t="s">
        <v>234</v>
      </c>
      <c r="T477" s="41" t="s">
        <v>234</v>
      </c>
      <c r="U477" s="41" t="s">
        <v>234</v>
      </c>
      <c r="V477" s="41" t="s">
        <v>234</v>
      </c>
      <c r="W477" s="41" t="s">
        <v>234</v>
      </c>
      <c r="X477" s="43">
        <v>0</v>
      </c>
      <c r="Y477" s="41" t="s">
        <v>97</v>
      </c>
      <c r="Z477" s="41" t="s">
        <v>97</v>
      </c>
      <c r="AA477" s="41" t="s">
        <v>113</v>
      </c>
      <c r="AB477" s="39" t="s">
        <v>46</v>
      </c>
      <c r="AC477" s="44" t="s">
        <v>46</v>
      </c>
    </row>
    <row r="478" spans="1:29" x14ac:dyDescent="0.25">
      <c r="A478" s="45" t="s">
        <v>2280</v>
      </c>
      <c r="B478" s="46" t="s">
        <v>192</v>
      </c>
      <c r="C478" s="46" t="s">
        <v>191</v>
      </c>
      <c r="D478" s="47" t="s">
        <v>525</v>
      </c>
      <c r="E478" s="47" t="s">
        <v>56</v>
      </c>
      <c r="F478" s="46" t="s">
        <v>2281</v>
      </c>
      <c r="G478" s="46" t="s">
        <v>2282</v>
      </c>
      <c r="H478" s="47" t="s">
        <v>132</v>
      </c>
      <c r="I478" s="47" t="s">
        <v>522</v>
      </c>
      <c r="J478" s="46" t="s">
        <v>2283</v>
      </c>
      <c r="K478" s="47" t="s">
        <v>233</v>
      </c>
      <c r="L478" s="48" t="s">
        <v>122</v>
      </c>
      <c r="M478" s="46" t="s">
        <v>2266</v>
      </c>
      <c r="N478" s="48" t="s">
        <v>83</v>
      </c>
      <c r="O478" s="49">
        <v>8</v>
      </c>
      <c r="P478" s="48" t="s">
        <v>46</v>
      </c>
      <c r="Q478" s="41" t="s">
        <v>66</v>
      </c>
      <c r="R478" s="41" t="s">
        <v>234</v>
      </c>
      <c r="S478" s="41" t="s">
        <v>234</v>
      </c>
      <c r="T478" s="41" t="s">
        <v>234</v>
      </c>
      <c r="U478" s="41" t="s">
        <v>234</v>
      </c>
      <c r="V478" s="41" t="s">
        <v>234</v>
      </c>
      <c r="W478" s="41" t="s">
        <v>234</v>
      </c>
      <c r="X478" s="43">
        <v>0</v>
      </c>
      <c r="Y478" s="41" t="s">
        <v>97</v>
      </c>
      <c r="Z478" s="41" t="s">
        <v>97</v>
      </c>
      <c r="AA478" s="41" t="s">
        <v>113</v>
      </c>
      <c r="AB478" s="39" t="s">
        <v>46</v>
      </c>
      <c r="AC478" s="44" t="s">
        <v>46</v>
      </c>
    </row>
    <row r="479" spans="1:29" x14ac:dyDescent="0.25">
      <c r="A479" s="38" t="s">
        <v>2284</v>
      </c>
      <c r="B479" s="39" t="s">
        <v>192</v>
      </c>
      <c r="C479" s="39" t="s">
        <v>191</v>
      </c>
      <c r="D479" s="40" t="s">
        <v>525</v>
      </c>
      <c r="E479" s="40" t="s">
        <v>56</v>
      </c>
      <c r="F479" s="39" t="s">
        <v>2285</v>
      </c>
      <c r="G479" s="39" t="s">
        <v>2286</v>
      </c>
      <c r="H479" s="40" t="s">
        <v>132</v>
      </c>
      <c r="I479" s="40" t="s">
        <v>522</v>
      </c>
      <c r="J479" s="39" t="s">
        <v>2287</v>
      </c>
      <c r="K479" s="40" t="s">
        <v>233</v>
      </c>
      <c r="L479" s="41" t="s">
        <v>122</v>
      </c>
      <c r="M479" s="39" t="s">
        <v>2266</v>
      </c>
      <c r="N479" s="41" t="s">
        <v>84</v>
      </c>
      <c r="O479" s="42">
        <v>10</v>
      </c>
      <c r="P479" s="41" t="s">
        <v>46</v>
      </c>
      <c r="Q479" s="41" t="s">
        <v>66</v>
      </c>
      <c r="R479" s="41" t="s">
        <v>234</v>
      </c>
      <c r="S479" s="41" t="s">
        <v>234</v>
      </c>
      <c r="T479" s="41" t="s">
        <v>234</v>
      </c>
      <c r="U479" s="41" t="s">
        <v>234</v>
      </c>
      <c r="V479" s="41" t="s">
        <v>234</v>
      </c>
      <c r="W479" s="41" t="s">
        <v>234</v>
      </c>
      <c r="X479" s="43">
        <v>0</v>
      </c>
      <c r="Y479" s="41" t="s">
        <v>97</v>
      </c>
      <c r="Z479" s="41" t="s">
        <v>97</v>
      </c>
      <c r="AA479" s="41" t="s">
        <v>113</v>
      </c>
      <c r="AB479" s="39" t="s">
        <v>46</v>
      </c>
      <c r="AC479" s="44" t="s">
        <v>46</v>
      </c>
    </row>
    <row r="480" spans="1:29" x14ac:dyDescent="0.25">
      <c r="A480" s="45" t="s">
        <v>2288</v>
      </c>
      <c r="B480" s="46" t="s">
        <v>192</v>
      </c>
      <c r="C480" s="46" t="s">
        <v>191</v>
      </c>
      <c r="D480" s="47" t="s">
        <v>525</v>
      </c>
      <c r="E480" s="47" t="s">
        <v>56</v>
      </c>
      <c r="F480" s="46" t="s">
        <v>2289</v>
      </c>
      <c r="G480" s="46" t="s">
        <v>2290</v>
      </c>
      <c r="H480" s="47" t="s">
        <v>132</v>
      </c>
      <c r="I480" s="47" t="s">
        <v>522</v>
      </c>
      <c r="J480" s="46" t="s">
        <v>2291</v>
      </c>
      <c r="K480" s="47" t="s">
        <v>233</v>
      </c>
      <c r="L480" s="48" t="s">
        <v>122</v>
      </c>
      <c r="M480" s="46" t="s">
        <v>2266</v>
      </c>
      <c r="N480" s="48" t="s">
        <v>84</v>
      </c>
      <c r="O480" s="49">
        <v>8</v>
      </c>
      <c r="P480" s="48" t="s">
        <v>46</v>
      </c>
      <c r="Q480" s="41" t="s">
        <v>66</v>
      </c>
      <c r="R480" s="41" t="s">
        <v>234</v>
      </c>
      <c r="S480" s="41" t="s">
        <v>234</v>
      </c>
      <c r="T480" s="41" t="s">
        <v>234</v>
      </c>
      <c r="U480" s="41" t="s">
        <v>234</v>
      </c>
      <c r="V480" s="41" t="s">
        <v>234</v>
      </c>
      <c r="W480" s="41" t="s">
        <v>234</v>
      </c>
      <c r="X480" s="43">
        <v>0</v>
      </c>
      <c r="Y480" s="41" t="s">
        <v>97</v>
      </c>
      <c r="Z480" s="41" t="s">
        <v>97</v>
      </c>
      <c r="AA480" s="41" t="s">
        <v>113</v>
      </c>
      <c r="AB480" s="39" t="s">
        <v>46</v>
      </c>
      <c r="AC480" s="44" t="s">
        <v>46</v>
      </c>
    </row>
    <row r="481" spans="1:29" x14ac:dyDescent="0.25">
      <c r="A481" s="38" t="s">
        <v>2292</v>
      </c>
      <c r="B481" s="39" t="s">
        <v>192</v>
      </c>
      <c r="C481" s="39" t="s">
        <v>191</v>
      </c>
      <c r="D481" s="40" t="s">
        <v>525</v>
      </c>
      <c r="E481" s="40" t="s">
        <v>56</v>
      </c>
      <c r="F481" s="39" t="s">
        <v>2293</v>
      </c>
      <c r="G481" s="39" t="s">
        <v>2294</v>
      </c>
      <c r="H481" s="40" t="s">
        <v>132</v>
      </c>
      <c r="I481" s="40" t="s">
        <v>522</v>
      </c>
      <c r="J481" s="39" t="s">
        <v>2295</v>
      </c>
      <c r="K481" s="40" t="s">
        <v>233</v>
      </c>
      <c r="L481" s="41" t="s">
        <v>122</v>
      </c>
      <c r="M481" s="39" t="s">
        <v>2266</v>
      </c>
      <c r="N481" s="41" t="s">
        <v>84</v>
      </c>
      <c r="O481" s="42">
        <v>8</v>
      </c>
      <c r="P481" s="41" t="s">
        <v>46</v>
      </c>
      <c r="Q481" s="41" t="s">
        <v>66</v>
      </c>
      <c r="R481" s="41" t="s">
        <v>234</v>
      </c>
      <c r="S481" s="41" t="s">
        <v>234</v>
      </c>
      <c r="T481" s="41" t="s">
        <v>234</v>
      </c>
      <c r="U481" s="41" t="s">
        <v>234</v>
      </c>
      <c r="V481" s="41" t="s">
        <v>234</v>
      </c>
      <c r="W481" s="41" t="s">
        <v>234</v>
      </c>
      <c r="X481" s="43">
        <v>0</v>
      </c>
      <c r="Y481" s="41" t="s">
        <v>97</v>
      </c>
      <c r="Z481" s="41" t="s">
        <v>97</v>
      </c>
      <c r="AA481" s="41" t="s">
        <v>113</v>
      </c>
      <c r="AB481" s="39" t="s">
        <v>46</v>
      </c>
      <c r="AC481" s="44" t="s">
        <v>46</v>
      </c>
    </row>
    <row r="482" spans="1:29" x14ac:dyDescent="0.25">
      <c r="A482" s="45" t="s">
        <v>2296</v>
      </c>
      <c r="B482" s="46" t="s">
        <v>192</v>
      </c>
      <c r="C482" s="46" t="s">
        <v>191</v>
      </c>
      <c r="D482" s="47" t="s">
        <v>525</v>
      </c>
      <c r="E482" s="47" t="s">
        <v>56</v>
      </c>
      <c r="F482" s="46" t="s">
        <v>2297</v>
      </c>
      <c r="G482" s="46" t="s">
        <v>2298</v>
      </c>
      <c r="H482" s="47" t="s">
        <v>132</v>
      </c>
      <c r="I482" s="47" t="s">
        <v>522</v>
      </c>
      <c r="J482" s="46" t="s">
        <v>2299</v>
      </c>
      <c r="K482" s="47" t="s">
        <v>233</v>
      </c>
      <c r="L482" s="48" t="s">
        <v>122</v>
      </c>
      <c r="M482" s="46" t="s">
        <v>2266</v>
      </c>
      <c r="N482" s="48" t="s">
        <v>85</v>
      </c>
      <c r="O482" s="49">
        <v>12</v>
      </c>
      <c r="P482" s="48" t="s">
        <v>46</v>
      </c>
      <c r="Q482" s="41" t="s">
        <v>66</v>
      </c>
      <c r="R482" s="41" t="s">
        <v>234</v>
      </c>
      <c r="S482" s="41" t="s">
        <v>234</v>
      </c>
      <c r="T482" s="41" t="s">
        <v>234</v>
      </c>
      <c r="U482" s="41" t="s">
        <v>234</v>
      </c>
      <c r="V482" s="41" t="s">
        <v>234</v>
      </c>
      <c r="W482" s="41" t="s">
        <v>234</v>
      </c>
      <c r="X482" s="43">
        <v>0</v>
      </c>
      <c r="Y482" s="41" t="s">
        <v>97</v>
      </c>
      <c r="Z482" s="41" t="s">
        <v>97</v>
      </c>
      <c r="AA482" s="41" t="s">
        <v>113</v>
      </c>
      <c r="AB482" s="39" t="s">
        <v>46</v>
      </c>
      <c r="AC482" s="44" t="s">
        <v>46</v>
      </c>
    </row>
    <row r="483" spans="1:29" x14ac:dyDescent="0.25">
      <c r="A483" s="38" t="s">
        <v>2300</v>
      </c>
      <c r="B483" s="39" t="s">
        <v>192</v>
      </c>
      <c r="C483" s="39" t="s">
        <v>191</v>
      </c>
      <c r="D483" s="40" t="s">
        <v>525</v>
      </c>
      <c r="E483" s="40" t="s">
        <v>56</v>
      </c>
      <c r="F483" s="39" t="s">
        <v>2301</v>
      </c>
      <c r="G483" s="39" t="s">
        <v>2302</v>
      </c>
      <c r="H483" s="40" t="s">
        <v>132</v>
      </c>
      <c r="I483" s="40" t="s">
        <v>522</v>
      </c>
      <c r="J483" s="39" t="s">
        <v>2303</v>
      </c>
      <c r="K483" s="40" t="s">
        <v>233</v>
      </c>
      <c r="L483" s="41" t="s">
        <v>122</v>
      </c>
      <c r="M483" s="39" t="s">
        <v>2266</v>
      </c>
      <c r="N483" s="41" t="s">
        <v>85</v>
      </c>
      <c r="O483" s="42">
        <v>12</v>
      </c>
      <c r="P483" s="41" t="s">
        <v>46</v>
      </c>
      <c r="Q483" s="41" t="s">
        <v>66</v>
      </c>
      <c r="R483" s="41" t="s">
        <v>234</v>
      </c>
      <c r="S483" s="41" t="s">
        <v>234</v>
      </c>
      <c r="T483" s="41" t="s">
        <v>234</v>
      </c>
      <c r="U483" s="41" t="s">
        <v>234</v>
      </c>
      <c r="V483" s="41" t="s">
        <v>234</v>
      </c>
      <c r="W483" s="41" t="s">
        <v>234</v>
      </c>
      <c r="X483" s="43">
        <v>0</v>
      </c>
      <c r="Y483" s="41" t="s">
        <v>97</v>
      </c>
      <c r="Z483" s="41" t="s">
        <v>97</v>
      </c>
      <c r="AA483" s="41" t="s">
        <v>113</v>
      </c>
      <c r="AB483" s="39" t="s">
        <v>46</v>
      </c>
      <c r="AC483" s="44" t="s">
        <v>46</v>
      </c>
    </row>
    <row r="484" spans="1:29" x14ac:dyDescent="0.25">
      <c r="A484" s="45" t="s">
        <v>2304</v>
      </c>
      <c r="B484" s="46" t="s">
        <v>192</v>
      </c>
      <c r="C484" s="46" t="s">
        <v>191</v>
      </c>
      <c r="D484" s="47" t="s">
        <v>525</v>
      </c>
      <c r="E484" s="47" t="s">
        <v>56</v>
      </c>
      <c r="F484" s="46" t="s">
        <v>2305</v>
      </c>
      <c r="G484" s="46" t="s">
        <v>2306</v>
      </c>
      <c r="H484" s="47" t="s">
        <v>123</v>
      </c>
      <c r="I484" s="47" t="s">
        <v>522</v>
      </c>
      <c r="J484" s="46" t="s">
        <v>2307</v>
      </c>
      <c r="K484" s="47" t="s">
        <v>233</v>
      </c>
      <c r="L484" s="48" t="s">
        <v>122</v>
      </c>
      <c r="M484" s="46" t="s">
        <v>2266</v>
      </c>
      <c r="N484" s="48" t="s">
        <v>85</v>
      </c>
      <c r="O484" s="49">
        <v>10</v>
      </c>
      <c r="P484" s="48" t="s">
        <v>46</v>
      </c>
      <c r="Q484" s="41" t="s">
        <v>66</v>
      </c>
      <c r="R484" s="41" t="s">
        <v>234</v>
      </c>
      <c r="S484" s="41" t="s">
        <v>234</v>
      </c>
      <c r="T484" s="41" t="s">
        <v>234</v>
      </c>
      <c r="U484" s="41" t="s">
        <v>234</v>
      </c>
      <c r="V484" s="41" t="s">
        <v>234</v>
      </c>
      <c r="W484" s="41" t="s">
        <v>234</v>
      </c>
      <c r="X484" s="43">
        <v>0</v>
      </c>
      <c r="Y484" s="41" t="s">
        <v>97</v>
      </c>
      <c r="Z484" s="41" t="s">
        <v>97</v>
      </c>
      <c r="AA484" s="41" t="s">
        <v>113</v>
      </c>
      <c r="AB484" s="39" t="s">
        <v>46</v>
      </c>
      <c r="AC484" s="44" t="s">
        <v>46</v>
      </c>
    </row>
    <row r="485" spans="1:29" x14ac:dyDescent="0.25">
      <c r="A485" s="38" t="s">
        <v>2308</v>
      </c>
      <c r="B485" s="39" t="s">
        <v>192</v>
      </c>
      <c r="C485" s="39" t="s">
        <v>191</v>
      </c>
      <c r="D485" s="40" t="s">
        <v>525</v>
      </c>
      <c r="E485" s="40" t="s">
        <v>56</v>
      </c>
      <c r="F485" s="39" t="s">
        <v>2309</v>
      </c>
      <c r="G485" s="39" t="s">
        <v>2310</v>
      </c>
      <c r="H485" s="40" t="s">
        <v>132</v>
      </c>
      <c r="I485" s="40" t="s">
        <v>522</v>
      </c>
      <c r="J485" s="39" t="s">
        <v>2311</v>
      </c>
      <c r="K485" s="40" t="s">
        <v>233</v>
      </c>
      <c r="L485" s="41" t="s">
        <v>122</v>
      </c>
      <c r="M485" s="39" t="s">
        <v>2266</v>
      </c>
      <c r="N485" s="41" t="s">
        <v>86</v>
      </c>
      <c r="O485" s="42">
        <v>16</v>
      </c>
      <c r="P485" s="41" t="s">
        <v>46</v>
      </c>
      <c r="Q485" s="41" t="s">
        <v>66</v>
      </c>
      <c r="R485" s="41" t="s">
        <v>234</v>
      </c>
      <c r="S485" s="41" t="s">
        <v>234</v>
      </c>
      <c r="T485" s="41" t="s">
        <v>234</v>
      </c>
      <c r="U485" s="41" t="s">
        <v>234</v>
      </c>
      <c r="V485" s="41" t="s">
        <v>234</v>
      </c>
      <c r="W485" s="41" t="s">
        <v>234</v>
      </c>
      <c r="X485" s="43">
        <v>0</v>
      </c>
      <c r="Y485" s="41" t="s">
        <v>97</v>
      </c>
      <c r="Z485" s="41" t="s">
        <v>97</v>
      </c>
      <c r="AA485" s="41" t="s">
        <v>113</v>
      </c>
      <c r="AB485" s="39" t="s">
        <v>46</v>
      </c>
      <c r="AC485" s="44" t="s">
        <v>46</v>
      </c>
    </row>
    <row r="486" spans="1:29" x14ac:dyDescent="0.25">
      <c r="A486" s="45" t="s">
        <v>2312</v>
      </c>
      <c r="B486" s="46" t="s">
        <v>192</v>
      </c>
      <c r="C486" s="46" t="s">
        <v>191</v>
      </c>
      <c r="D486" s="47" t="s">
        <v>525</v>
      </c>
      <c r="E486" s="47" t="s">
        <v>289</v>
      </c>
      <c r="F486" s="46" t="s">
        <v>2313</v>
      </c>
      <c r="G486" s="46" t="s">
        <v>2314</v>
      </c>
      <c r="H486" s="47" t="s">
        <v>132</v>
      </c>
      <c r="I486" s="47" t="s">
        <v>522</v>
      </c>
      <c r="J486" s="46" t="s">
        <v>2315</v>
      </c>
      <c r="K486" s="47" t="s">
        <v>233</v>
      </c>
      <c r="L486" s="48" t="s">
        <v>122</v>
      </c>
      <c r="M486" s="46" t="s">
        <v>2316</v>
      </c>
      <c r="N486" s="48" t="s">
        <v>86</v>
      </c>
      <c r="O486" s="49">
        <v>8</v>
      </c>
      <c r="P486" s="48" t="s">
        <v>46</v>
      </c>
      <c r="Q486" s="41" t="s">
        <v>31</v>
      </c>
      <c r="R486" s="41" t="s">
        <v>234</v>
      </c>
      <c r="S486" s="41" t="s">
        <v>234</v>
      </c>
      <c r="T486" s="41" t="s">
        <v>234</v>
      </c>
      <c r="U486" s="41" t="s">
        <v>234</v>
      </c>
      <c r="V486" s="41" t="s">
        <v>234</v>
      </c>
      <c r="W486" s="41" t="s">
        <v>273</v>
      </c>
      <c r="X486" s="43">
        <v>0</v>
      </c>
      <c r="Y486" s="41" t="s">
        <v>97</v>
      </c>
      <c r="Z486" s="41" t="s">
        <v>97</v>
      </c>
      <c r="AA486" s="41" t="s">
        <v>113</v>
      </c>
      <c r="AB486" s="39" t="s">
        <v>2317</v>
      </c>
      <c r="AC486" s="44" t="s">
        <v>46</v>
      </c>
    </row>
    <row r="487" spans="1:29" x14ac:dyDescent="0.25">
      <c r="A487" s="38" t="s">
        <v>2318</v>
      </c>
      <c r="B487" s="39" t="s">
        <v>192</v>
      </c>
      <c r="C487" s="39" t="s">
        <v>191</v>
      </c>
      <c r="D487" s="40" t="s">
        <v>525</v>
      </c>
      <c r="E487" s="40" t="s">
        <v>136</v>
      </c>
      <c r="F487" s="39" t="s">
        <v>2319</v>
      </c>
      <c r="G487" s="39" t="s">
        <v>2320</v>
      </c>
      <c r="H487" s="40" t="s">
        <v>132</v>
      </c>
      <c r="I487" s="40" t="s">
        <v>522</v>
      </c>
      <c r="J487" s="39" t="s">
        <v>2321</v>
      </c>
      <c r="K487" s="40" t="s">
        <v>233</v>
      </c>
      <c r="L487" s="41" t="s">
        <v>122</v>
      </c>
      <c r="M487" s="39" t="s">
        <v>2266</v>
      </c>
      <c r="N487" s="41" t="s">
        <v>86</v>
      </c>
      <c r="O487" s="42">
        <v>8</v>
      </c>
      <c r="P487" s="41" t="s">
        <v>46</v>
      </c>
      <c r="Q487" s="41" t="s">
        <v>66</v>
      </c>
      <c r="R487" s="41" t="s">
        <v>234</v>
      </c>
      <c r="S487" s="41" t="s">
        <v>234</v>
      </c>
      <c r="T487" s="41" t="s">
        <v>234</v>
      </c>
      <c r="U487" s="41" t="s">
        <v>234</v>
      </c>
      <c r="V487" s="41" t="s">
        <v>234</v>
      </c>
      <c r="W487" s="41" t="s">
        <v>234</v>
      </c>
      <c r="X487" s="43">
        <v>0</v>
      </c>
      <c r="Y487" s="41" t="s">
        <v>97</v>
      </c>
      <c r="Z487" s="41" t="s">
        <v>97</v>
      </c>
      <c r="AA487" s="41" t="s">
        <v>113</v>
      </c>
      <c r="AB487" s="39" t="s">
        <v>46</v>
      </c>
      <c r="AC487" s="44" t="s">
        <v>46</v>
      </c>
    </row>
    <row r="488" spans="1:29" x14ac:dyDescent="0.25">
      <c r="A488" s="45" t="s">
        <v>2322</v>
      </c>
      <c r="B488" s="46" t="s">
        <v>192</v>
      </c>
      <c r="C488" s="46" t="s">
        <v>191</v>
      </c>
      <c r="D488" s="47" t="s">
        <v>525</v>
      </c>
      <c r="E488" s="47" t="s">
        <v>134</v>
      </c>
      <c r="F488" s="46" t="s">
        <v>2323</v>
      </c>
      <c r="G488" s="46" t="s">
        <v>2324</v>
      </c>
      <c r="H488" s="47" t="s">
        <v>132</v>
      </c>
      <c r="I488" s="47" t="s">
        <v>522</v>
      </c>
      <c r="J488" s="46" t="s">
        <v>2325</v>
      </c>
      <c r="K488" s="47" t="s">
        <v>233</v>
      </c>
      <c r="L488" s="48" t="s">
        <v>122</v>
      </c>
      <c r="M488" s="46" t="s">
        <v>2266</v>
      </c>
      <c r="N488" s="48" t="s">
        <v>87</v>
      </c>
      <c r="O488" s="49">
        <v>8</v>
      </c>
      <c r="P488" s="48" t="s">
        <v>46</v>
      </c>
      <c r="Q488" s="41" t="s">
        <v>66</v>
      </c>
      <c r="R488" s="41" t="s">
        <v>234</v>
      </c>
      <c r="S488" s="41" t="s">
        <v>234</v>
      </c>
      <c r="T488" s="41" t="s">
        <v>234</v>
      </c>
      <c r="U488" s="41" t="s">
        <v>234</v>
      </c>
      <c r="V488" s="41" t="s">
        <v>234</v>
      </c>
      <c r="W488" s="41" t="s">
        <v>234</v>
      </c>
      <c r="X488" s="43">
        <v>0</v>
      </c>
      <c r="Y488" s="41" t="s">
        <v>97</v>
      </c>
      <c r="Z488" s="41" t="s">
        <v>97</v>
      </c>
      <c r="AA488" s="41" t="s">
        <v>113</v>
      </c>
      <c r="AB488" s="39" t="s">
        <v>46</v>
      </c>
      <c r="AC488" s="44" t="s">
        <v>46</v>
      </c>
    </row>
    <row r="489" spans="1:29" x14ac:dyDescent="0.25">
      <c r="A489" s="38" t="s">
        <v>2326</v>
      </c>
      <c r="B489" s="39" t="s">
        <v>192</v>
      </c>
      <c r="C489" s="39" t="s">
        <v>191</v>
      </c>
      <c r="D489" s="40" t="s">
        <v>525</v>
      </c>
      <c r="E489" s="40" t="s">
        <v>134</v>
      </c>
      <c r="F489" s="39" t="s">
        <v>2327</v>
      </c>
      <c r="G489" s="39" t="s">
        <v>2328</v>
      </c>
      <c r="H489" s="40" t="s">
        <v>132</v>
      </c>
      <c r="I489" s="40" t="s">
        <v>522</v>
      </c>
      <c r="J489" s="39" t="s">
        <v>2329</v>
      </c>
      <c r="K489" s="40" t="s">
        <v>233</v>
      </c>
      <c r="L489" s="41" t="s">
        <v>122</v>
      </c>
      <c r="M489" s="39" t="s">
        <v>2266</v>
      </c>
      <c r="N489" s="41" t="s">
        <v>87</v>
      </c>
      <c r="O489" s="42">
        <v>5</v>
      </c>
      <c r="P489" s="41" t="s">
        <v>46</v>
      </c>
      <c r="Q489" s="41" t="s">
        <v>66</v>
      </c>
      <c r="R489" s="41" t="s">
        <v>234</v>
      </c>
      <c r="S489" s="41" t="s">
        <v>234</v>
      </c>
      <c r="T489" s="41" t="s">
        <v>234</v>
      </c>
      <c r="U489" s="41" t="s">
        <v>234</v>
      </c>
      <c r="V489" s="41" t="s">
        <v>234</v>
      </c>
      <c r="W489" s="41" t="s">
        <v>234</v>
      </c>
      <c r="X489" s="43">
        <v>0</v>
      </c>
      <c r="Y489" s="41" t="s">
        <v>97</v>
      </c>
      <c r="Z489" s="41" t="s">
        <v>97</v>
      </c>
      <c r="AA489" s="41" t="s">
        <v>113</v>
      </c>
      <c r="AB489" s="39" t="s">
        <v>46</v>
      </c>
      <c r="AC489" s="44" t="s">
        <v>46</v>
      </c>
    </row>
    <row r="490" spans="1:29" x14ac:dyDescent="0.25">
      <c r="A490" s="45" t="s">
        <v>2330</v>
      </c>
      <c r="B490" s="46" t="s">
        <v>194</v>
      </c>
      <c r="C490" s="46" t="s">
        <v>193</v>
      </c>
      <c r="D490" s="47" t="s">
        <v>2331</v>
      </c>
      <c r="E490" s="47" t="s">
        <v>136</v>
      </c>
      <c r="F490" s="46" t="s">
        <v>2332</v>
      </c>
      <c r="G490" s="46" t="s">
        <v>2333</v>
      </c>
      <c r="H490" s="47" t="s">
        <v>132</v>
      </c>
      <c r="I490" s="47" t="s">
        <v>436</v>
      </c>
      <c r="J490" s="46" t="s">
        <v>2334</v>
      </c>
      <c r="K490" s="47" t="s">
        <v>233</v>
      </c>
      <c r="L490" s="48" t="s">
        <v>122</v>
      </c>
      <c r="M490" s="46" t="s">
        <v>2335</v>
      </c>
      <c r="N490" s="48" t="s">
        <v>81</v>
      </c>
      <c r="O490" s="49">
        <v>12</v>
      </c>
      <c r="P490" s="48" t="s">
        <v>46</v>
      </c>
      <c r="Q490" s="41" t="s">
        <v>66</v>
      </c>
      <c r="R490" s="41" t="s">
        <v>234</v>
      </c>
      <c r="S490" s="41" t="s">
        <v>234</v>
      </c>
      <c r="T490" s="41" t="s">
        <v>234</v>
      </c>
      <c r="U490" s="41" t="s">
        <v>234</v>
      </c>
      <c r="V490" s="41" t="s">
        <v>234</v>
      </c>
      <c r="W490" s="41" t="s">
        <v>234</v>
      </c>
      <c r="X490" s="43">
        <v>0</v>
      </c>
      <c r="Y490" s="41" t="s">
        <v>97</v>
      </c>
      <c r="Z490" s="41" t="s">
        <v>97</v>
      </c>
      <c r="AA490" s="41" t="s">
        <v>113</v>
      </c>
      <c r="AB490" s="39" t="s">
        <v>2336</v>
      </c>
      <c r="AC490" s="44" t="s">
        <v>46</v>
      </c>
    </row>
    <row r="491" spans="1:29" x14ac:dyDescent="0.25">
      <c r="A491" s="38" t="s">
        <v>2337</v>
      </c>
      <c r="B491" s="39" t="s">
        <v>194</v>
      </c>
      <c r="C491" s="39" t="s">
        <v>193</v>
      </c>
      <c r="D491" s="40" t="s">
        <v>2331</v>
      </c>
      <c r="E491" s="40" t="s">
        <v>136</v>
      </c>
      <c r="F491" s="39" t="s">
        <v>2338</v>
      </c>
      <c r="G491" s="39" t="s">
        <v>2339</v>
      </c>
      <c r="H491" s="40" t="s">
        <v>132</v>
      </c>
      <c r="I491" s="40" t="s">
        <v>436</v>
      </c>
      <c r="J491" s="39" t="s">
        <v>2340</v>
      </c>
      <c r="K491" s="40" t="s">
        <v>233</v>
      </c>
      <c r="L491" s="41" t="s">
        <v>122</v>
      </c>
      <c r="M491" s="39" t="s">
        <v>2335</v>
      </c>
      <c r="N491" s="41" t="s">
        <v>82</v>
      </c>
      <c r="O491" s="42">
        <v>16</v>
      </c>
      <c r="P491" s="41" t="s">
        <v>46</v>
      </c>
      <c r="Q491" s="41" t="s">
        <v>66</v>
      </c>
      <c r="R491" s="41" t="s">
        <v>234</v>
      </c>
      <c r="S491" s="41" t="s">
        <v>234</v>
      </c>
      <c r="T491" s="41" t="s">
        <v>234</v>
      </c>
      <c r="U491" s="41" t="s">
        <v>234</v>
      </c>
      <c r="V491" s="41" t="s">
        <v>234</v>
      </c>
      <c r="W491" s="41" t="s">
        <v>234</v>
      </c>
      <c r="X491" s="43">
        <v>0</v>
      </c>
      <c r="Y491" s="41" t="s">
        <v>97</v>
      </c>
      <c r="Z491" s="41" t="s">
        <v>97</v>
      </c>
      <c r="AA491" s="41" t="s">
        <v>113</v>
      </c>
      <c r="AB491" s="39" t="s">
        <v>46</v>
      </c>
      <c r="AC491" s="44" t="s">
        <v>46</v>
      </c>
    </row>
    <row r="492" spans="1:29" x14ac:dyDescent="0.25">
      <c r="A492" s="45" t="s">
        <v>2341</v>
      </c>
      <c r="B492" s="46" t="s">
        <v>194</v>
      </c>
      <c r="C492" s="46" t="s">
        <v>193</v>
      </c>
      <c r="D492" s="47" t="s">
        <v>2331</v>
      </c>
      <c r="E492" s="47" t="s">
        <v>136</v>
      </c>
      <c r="F492" s="46" t="s">
        <v>2342</v>
      </c>
      <c r="G492" s="46" t="s">
        <v>2343</v>
      </c>
      <c r="H492" s="47" t="s">
        <v>132</v>
      </c>
      <c r="I492" s="47" t="s">
        <v>436</v>
      </c>
      <c r="J492" s="46" t="s">
        <v>2344</v>
      </c>
      <c r="K492" s="47" t="s">
        <v>233</v>
      </c>
      <c r="L492" s="48" t="s">
        <v>122</v>
      </c>
      <c r="M492" s="46" t="s">
        <v>2335</v>
      </c>
      <c r="N492" s="48" t="s">
        <v>83</v>
      </c>
      <c r="O492" s="49">
        <v>8</v>
      </c>
      <c r="P492" s="48" t="s">
        <v>46</v>
      </c>
      <c r="Q492" s="41" t="s">
        <v>66</v>
      </c>
      <c r="R492" s="41" t="s">
        <v>234</v>
      </c>
      <c r="S492" s="41" t="s">
        <v>234</v>
      </c>
      <c r="T492" s="41" t="s">
        <v>234</v>
      </c>
      <c r="U492" s="41" t="s">
        <v>234</v>
      </c>
      <c r="V492" s="41" t="s">
        <v>234</v>
      </c>
      <c r="W492" s="41" t="s">
        <v>234</v>
      </c>
      <c r="X492" s="43">
        <v>0</v>
      </c>
      <c r="Y492" s="41" t="s">
        <v>97</v>
      </c>
      <c r="Z492" s="41" t="s">
        <v>97</v>
      </c>
      <c r="AA492" s="41" t="s">
        <v>113</v>
      </c>
      <c r="AB492" s="39" t="s">
        <v>46</v>
      </c>
      <c r="AC492" s="44" t="s">
        <v>46</v>
      </c>
    </row>
    <row r="493" spans="1:29" x14ac:dyDescent="0.25">
      <c r="A493" s="38" t="s">
        <v>2345</v>
      </c>
      <c r="B493" s="39" t="s">
        <v>194</v>
      </c>
      <c r="C493" s="39" t="s">
        <v>193</v>
      </c>
      <c r="D493" s="40" t="s">
        <v>2331</v>
      </c>
      <c r="E493" s="40" t="s">
        <v>136</v>
      </c>
      <c r="F493" s="39" t="s">
        <v>2346</v>
      </c>
      <c r="G493" s="39" t="s">
        <v>2347</v>
      </c>
      <c r="H493" s="40" t="s">
        <v>132</v>
      </c>
      <c r="I493" s="40" t="s">
        <v>436</v>
      </c>
      <c r="J493" s="39" t="s">
        <v>2348</v>
      </c>
      <c r="K493" s="40" t="s">
        <v>233</v>
      </c>
      <c r="L493" s="41" t="s">
        <v>122</v>
      </c>
      <c r="M493" s="39" t="s">
        <v>2335</v>
      </c>
      <c r="N493" s="41" t="s">
        <v>83</v>
      </c>
      <c r="O493" s="42">
        <v>12</v>
      </c>
      <c r="P493" s="41" t="s">
        <v>46</v>
      </c>
      <c r="Q493" s="41" t="s">
        <v>66</v>
      </c>
      <c r="R493" s="41" t="s">
        <v>234</v>
      </c>
      <c r="S493" s="41" t="s">
        <v>234</v>
      </c>
      <c r="T493" s="41" t="s">
        <v>234</v>
      </c>
      <c r="U493" s="41" t="s">
        <v>234</v>
      </c>
      <c r="V493" s="41" t="s">
        <v>234</v>
      </c>
      <c r="W493" s="41" t="s">
        <v>234</v>
      </c>
      <c r="X493" s="43">
        <v>0</v>
      </c>
      <c r="Y493" s="41" t="s">
        <v>97</v>
      </c>
      <c r="Z493" s="41" t="s">
        <v>97</v>
      </c>
      <c r="AA493" s="41" t="s">
        <v>113</v>
      </c>
      <c r="AB493" s="39" t="s">
        <v>46</v>
      </c>
      <c r="AC493" s="44" t="s">
        <v>46</v>
      </c>
    </row>
    <row r="494" spans="1:29" x14ac:dyDescent="0.25">
      <c r="A494" s="45" t="s">
        <v>2349</v>
      </c>
      <c r="B494" s="46" t="s">
        <v>194</v>
      </c>
      <c r="C494" s="46" t="s">
        <v>193</v>
      </c>
      <c r="D494" s="47" t="s">
        <v>2331</v>
      </c>
      <c r="E494" s="47" t="s">
        <v>136</v>
      </c>
      <c r="F494" s="46" t="s">
        <v>2350</v>
      </c>
      <c r="G494" s="46" t="s">
        <v>2351</v>
      </c>
      <c r="H494" s="47" t="s">
        <v>132</v>
      </c>
      <c r="I494" s="47" t="s">
        <v>436</v>
      </c>
      <c r="J494" s="46" t="s">
        <v>2352</v>
      </c>
      <c r="K494" s="47" t="s">
        <v>233</v>
      </c>
      <c r="L494" s="48" t="s">
        <v>122</v>
      </c>
      <c r="M494" s="46" t="s">
        <v>2335</v>
      </c>
      <c r="N494" s="48" t="s">
        <v>84</v>
      </c>
      <c r="O494" s="49">
        <v>8</v>
      </c>
      <c r="P494" s="48" t="s">
        <v>46</v>
      </c>
      <c r="Q494" s="41" t="s">
        <v>66</v>
      </c>
      <c r="R494" s="41" t="s">
        <v>234</v>
      </c>
      <c r="S494" s="41" t="s">
        <v>234</v>
      </c>
      <c r="T494" s="41" t="s">
        <v>234</v>
      </c>
      <c r="U494" s="41" t="s">
        <v>234</v>
      </c>
      <c r="V494" s="41" t="s">
        <v>234</v>
      </c>
      <c r="W494" s="41" t="s">
        <v>234</v>
      </c>
      <c r="X494" s="43">
        <v>0</v>
      </c>
      <c r="Y494" s="41" t="s">
        <v>97</v>
      </c>
      <c r="Z494" s="41" t="s">
        <v>97</v>
      </c>
      <c r="AA494" s="41" t="s">
        <v>113</v>
      </c>
      <c r="AB494" s="39" t="s">
        <v>46</v>
      </c>
      <c r="AC494" s="44" t="s">
        <v>46</v>
      </c>
    </row>
    <row r="495" spans="1:29" x14ac:dyDescent="0.25">
      <c r="A495" s="38" t="s">
        <v>2353</v>
      </c>
      <c r="B495" s="39" t="s">
        <v>194</v>
      </c>
      <c r="C495" s="39" t="s">
        <v>193</v>
      </c>
      <c r="D495" s="40" t="s">
        <v>2331</v>
      </c>
      <c r="E495" s="40" t="s">
        <v>136</v>
      </c>
      <c r="F495" s="39" t="s">
        <v>2354</v>
      </c>
      <c r="G495" s="39" t="s">
        <v>2355</v>
      </c>
      <c r="H495" s="40" t="s">
        <v>132</v>
      </c>
      <c r="I495" s="40" t="s">
        <v>436</v>
      </c>
      <c r="J495" s="39" t="s">
        <v>2356</v>
      </c>
      <c r="K495" s="40" t="s">
        <v>233</v>
      </c>
      <c r="L495" s="41" t="s">
        <v>122</v>
      </c>
      <c r="M495" s="39" t="s">
        <v>2335</v>
      </c>
      <c r="N495" s="41" t="s">
        <v>84</v>
      </c>
      <c r="O495" s="42">
        <v>8</v>
      </c>
      <c r="P495" s="41" t="s">
        <v>46</v>
      </c>
      <c r="Q495" s="41" t="s">
        <v>66</v>
      </c>
      <c r="R495" s="41" t="s">
        <v>234</v>
      </c>
      <c r="S495" s="41" t="s">
        <v>234</v>
      </c>
      <c r="T495" s="41" t="s">
        <v>234</v>
      </c>
      <c r="U495" s="41" t="s">
        <v>234</v>
      </c>
      <c r="V495" s="41" t="s">
        <v>234</v>
      </c>
      <c r="W495" s="41" t="s">
        <v>234</v>
      </c>
      <c r="X495" s="43">
        <v>0</v>
      </c>
      <c r="Y495" s="41" t="s">
        <v>97</v>
      </c>
      <c r="Z495" s="41" t="s">
        <v>97</v>
      </c>
      <c r="AA495" s="41" t="s">
        <v>113</v>
      </c>
      <c r="AB495" s="39" t="s">
        <v>46</v>
      </c>
      <c r="AC495" s="44" t="s">
        <v>46</v>
      </c>
    </row>
    <row r="496" spans="1:29" x14ac:dyDescent="0.25">
      <c r="A496" s="45" t="s">
        <v>2357</v>
      </c>
      <c r="B496" s="46" t="s">
        <v>194</v>
      </c>
      <c r="C496" s="46" t="s">
        <v>193</v>
      </c>
      <c r="D496" s="47" t="s">
        <v>2331</v>
      </c>
      <c r="E496" s="47" t="s">
        <v>136</v>
      </c>
      <c r="F496" s="46" t="s">
        <v>2358</v>
      </c>
      <c r="G496" s="46" t="s">
        <v>2359</v>
      </c>
      <c r="H496" s="47" t="s">
        <v>132</v>
      </c>
      <c r="I496" s="47" t="s">
        <v>436</v>
      </c>
      <c r="J496" s="46" t="s">
        <v>2360</v>
      </c>
      <c r="K496" s="47" t="s">
        <v>233</v>
      </c>
      <c r="L496" s="48" t="s">
        <v>122</v>
      </c>
      <c r="M496" s="46" t="s">
        <v>2335</v>
      </c>
      <c r="N496" s="48" t="s">
        <v>85</v>
      </c>
      <c r="O496" s="49">
        <v>10</v>
      </c>
      <c r="P496" s="48" t="s">
        <v>46</v>
      </c>
      <c r="Q496" s="41" t="s">
        <v>66</v>
      </c>
      <c r="R496" s="41" t="s">
        <v>234</v>
      </c>
      <c r="S496" s="41" t="s">
        <v>234</v>
      </c>
      <c r="T496" s="41" t="s">
        <v>234</v>
      </c>
      <c r="U496" s="41" t="s">
        <v>234</v>
      </c>
      <c r="V496" s="41" t="s">
        <v>234</v>
      </c>
      <c r="W496" s="41" t="s">
        <v>234</v>
      </c>
      <c r="X496" s="43">
        <v>0</v>
      </c>
      <c r="Y496" s="41" t="s">
        <v>97</v>
      </c>
      <c r="Z496" s="41" t="s">
        <v>97</v>
      </c>
      <c r="AA496" s="41" t="s">
        <v>113</v>
      </c>
      <c r="AB496" s="39" t="s">
        <v>46</v>
      </c>
      <c r="AC496" s="44" t="s">
        <v>46</v>
      </c>
    </row>
    <row r="497" spans="1:29" x14ac:dyDescent="0.25">
      <c r="A497" s="38" t="s">
        <v>2361</v>
      </c>
      <c r="B497" s="39" t="s">
        <v>194</v>
      </c>
      <c r="C497" s="39" t="s">
        <v>193</v>
      </c>
      <c r="D497" s="40" t="s">
        <v>2331</v>
      </c>
      <c r="E497" s="40" t="s">
        <v>136</v>
      </c>
      <c r="F497" s="39" t="s">
        <v>2362</v>
      </c>
      <c r="G497" s="39" t="s">
        <v>2363</v>
      </c>
      <c r="H497" s="40" t="s">
        <v>132</v>
      </c>
      <c r="I497" s="40" t="s">
        <v>436</v>
      </c>
      <c r="J497" s="39" t="s">
        <v>2364</v>
      </c>
      <c r="K497" s="40" t="s">
        <v>233</v>
      </c>
      <c r="L497" s="41" t="s">
        <v>122</v>
      </c>
      <c r="M497" s="39" t="s">
        <v>2335</v>
      </c>
      <c r="N497" s="41" t="s">
        <v>85</v>
      </c>
      <c r="O497" s="42">
        <v>14</v>
      </c>
      <c r="P497" s="41" t="s">
        <v>46</v>
      </c>
      <c r="Q497" s="41" t="s">
        <v>66</v>
      </c>
      <c r="R497" s="41" t="s">
        <v>234</v>
      </c>
      <c r="S497" s="41" t="s">
        <v>234</v>
      </c>
      <c r="T497" s="41" t="s">
        <v>234</v>
      </c>
      <c r="U497" s="41" t="s">
        <v>234</v>
      </c>
      <c r="V497" s="41" t="s">
        <v>234</v>
      </c>
      <c r="W497" s="41" t="s">
        <v>234</v>
      </c>
      <c r="X497" s="43">
        <v>0</v>
      </c>
      <c r="Y497" s="41" t="s">
        <v>97</v>
      </c>
      <c r="Z497" s="41" t="s">
        <v>97</v>
      </c>
      <c r="AA497" s="41" t="s">
        <v>113</v>
      </c>
      <c r="AB497" s="39" t="s">
        <v>46</v>
      </c>
      <c r="AC497" s="44" t="s">
        <v>46</v>
      </c>
    </row>
    <row r="498" spans="1:29" x14ac:dyDescent="0.25">
      <c r="A498" s="45" t="s">
        <v>2365</v>
      </c>
      <c r="B498" s="46" t="s">
        <v>194</v>
      </c>
      <c r="C498" s="46" t="s">
        <v>193</v>
      </c>
      <c r="D498" s="47" t="s">
        <v>2331</v>
      </c>
      <c r="E498" s="47" t="s">
        <v>136</v>
      </c>
      <c r="F498" s="46" t="s">
        <v>2366</v>
      </c>
      <c r="G498" s="46" t="s">
        <v>2367</v>
      </c>
      <c r="H498" s="47" t="s">
        <v>132</v>
      </c>
      <c r="I498" s="47" t="s">
        <v>436</v>
      </c>
      <c r="J498" s="46" t="s">
        <v>2368</v>
      </c>
      <c r="K498" s="47" t="s">
        <v>233</v>
      </c>
      <c r="L498" s="48" t="s">
        <v>122</v>
      </c>
      <c r="M498" s="46" t="s">
        <v>2335</v>
      </c>
      <c r="N498" s="48" t="s">
        <v>86</v>
      </c>
      <c r="O498" s="49">
        <v>6</v>
      </c>
      <c r="P498" s="48" t="s">
        <v>46</v>
      </c>
      <c r="Q498" s="41" t="s">
        <v>66</v>
      </c>
      <c r="R498" s="41" t="s">
        <v>234</v>
      </c>
      <c r="S498" s="41" t="s">
        <v>234</v>
      </c>
      <c r="T498" s="41" t="s">
        <v>234</v>
      </c>
      <c r="U498" s="41" t="s">
        <v>234</v>
      </c>
      <c r="V498" s="41" t="s">
        <v>234</v>
      </c>
      <c r="W498" s="41" t="s">
        <v>234</v>
      </c>
      <c r="X498" s="43">
        <v>0</v>
      </c>
      <c r="Y498" s="41" t="s">
        <v>97</v>
      </c>
      <c r="Z498" s="41" t="s">
        <v>97</v>
      </c>
      <c r="AA498" s="41" t="s">
        <v>113</v>
      </c>
      <c r="AB498" s="39" t="s">
        <v>46</v>
      </c>
      <c r="AC498" s="44" t="s">
        <v>46</v>
      </c>
    </row>
    <row r="499" spans="1:29" x14ac:dyDescent="0.25">
      <c r="A499" s="38" t="s">
        <v>2369</v>
      </c>
      <c r="B499" s="39" t="s">
        <v>194</v>
      </c>
      <c r="C499" s="39" t="s">
        <v>193</v>
      </c>
      <c r="D499" s="40" t="s">
        <v>2331</v>
      </c>
      <c r="E499" s="40" t="s">
        <v>136</v>
      </c>
      <c r="F499" s="39" t="s">
        <v>2370</v>
      </c>
      <c r="G499" s="39" t="s">
        <v>2371</v>
      </c>
      <c r="H499" s="40" t="s">
        <v>132</v>
      </c>
      <c r="I499" s="40" t="s">
        <v>436</v>
      </c>
      <c r="J499" s="39" t="s">
        <v>2372</v>
      </c>
      <c r="K499" s="40" t="s">
        <v>233</v>
      </c>
      <c r="L499" s="41" t="s">
        <v>122</v>
      </c>
      <c r="M499" s="39" t="s">
        <v>2335</v>
      </c>
      <c r="N499" s="41" t="s">
        <v>86</v>
      </c>
      <c r="O499" s="42">
        <v>8</v>
      </c>
      <c r="P499" s="41" t="s">
        <v>46</v>
      </c>
      <c r="Q499" s="41" t="s">
        <v>66</v>
      </c>
      <c r="R499" s="41" t="s">
        <v>234</v>
      </c>
      <c r="S499" s="41" t="s">
        <v>234</v>
      </c>
      <c r="T499" s="41" t="s">
        <v>234</v>
      </c>
      <c r="U499" s="41" t="s">
        <v>234</v>
      </c>
      <c r="V499" s="41" t="s">
        <v>234</v>
      </c>
      <c r="W499" s="41" t="s">
        <v>234</v>
      </c>
      <c r="X499" s="43">
        <v>0</v>
      </c>
      <c r="Y499" s="41" t="s">
        <v>97</v>
      </c>
      <c r="Z499" s="41" t="s">
        <v>97</v>
      </c>
      <c r="AA499" s="41" t="s">
        <v>113</v>
      </c>
      <c r="AB499" s="39" t="s">
        <v>46</v>
      </c>
      <c r="AC499" s="44" t="s">
        <v>46</v>
      </c>
    </row>
    <row r="500" spans="1:29" x14ac:dyDescent="0.25">
      <c r="A500" s="45" t="s">
        <v>2373</v>
      </c>
      <c r="B500" s="46" t="s">
        <v>194</v>
      </c>
      <c r="C500" s="46" t="s">
        <v>193</v>
      </c>
      <c r="D500" s="47" t="s">
        <v>2331</v>
      </c>
      <c r="E500" s="47" t="s">
        <v>136</v>
      </c>
      <c r="F500" s="46" t="s">
        <v>2374</v>
      </c>
      <c r="G500" s="46" t="s">
        <v>2375</v>
      </c>
      <c r="H500" s="47" t="s">
        <v>132</v>
      </c>
      <c r="I500" s="47" t="s">
        <v>436</v>
      </c>
      <c r="J500" s="46" t="s">
        <v>2376</v>
      </c>
      <c r="K500" s="47" t="s">
        <v>233</v>
      </c>
      <c r="L500" s="48" t="s">
        <v>122</v>
      </c>
      <c r="M500" s="46" t="s">
        <v>2335</v>
      </c>
      <c r="N500" s="48" t="s">
        <v>86</v>
      </c>
      <c r="O500" s="49">
        <v>8</v>
      </c>
      <c r="P500" s="48" t="s">
        <v>46</v>
      </c>
      <c r="Q500" s="41" t="s">
        <v>66</v>
      </c>
      <c r="R500" s="41" t="s">
        <v>234</v>
      </c>
      <c r="S500" s="41" t="s">
        <v>234</v>
      </c>
      <c r="T500" s="41" t="s">
        <v>234</v>
      </c>
      <c r="U500" s="41" t="s">
        <v>234</v>
      </c>
      <c r="V500" s="41" t="s">
        <v>234</v>
      </c>
      <c r="W500" s="41" t="s">
        <v>234</v>
      </c>
      <c r="X500" s="43">
        <v>0</v>
      </c>
      <c r="Y500" s="41" t="s">
        <v>97</v>
      </c>
      <c r="Z500" s="41" t="s">
        <v>97</v>
      </c>
      <c r="AA500" s="41" t="s">
        <v>113</v>
      </c>
      <c r="AB500" s="39" t="s">
        <v>46</v>
      </c>
      <c r="AC500" s="44" t="s">
        <v>46</v>
      </c>
    </row>
    <row r="501" spans="1:29" x14ac:dyDescent="0.25">
      <c r="A501" s="38" t="s">
        <v>2377</v>
      </c>
      <c r="B501" s="39" t="s">
        <v>194</v>
      </c>
      <c r="C501" s="39" t="s">
        <v>193</v>
      </c>
      <c r="D501" s="40" t="s">
        <v>2331</v>
      </c>
      <c r="E501" s="40" t="s">
        <v>129</v>
      </c>
      <c r="F501" s="39" t="s">
        <v>2378</v>
      </c>
      <c r="G501" s="39" t="s">
        <v>2379</v>
      </c>
      <c r="H501" s="40" t="s">
        <v>132</v>
      </c>
      <c r="I501" s="40" t="s">
        <v>436</v>
      </c>
      <c r="J501" s="39" t="s">
        <v>2380</v>
      </c>
      <c r="K501" s="40" t="s">
        <v>233</v>
      </c>
      <c r="L501" s="41" t="s">
        <v>122</v>
      </c>
      <c r="M501" s="39" t="s">
        <v>2335</v>
      </c>
      <c r="N501" s="41" t="s">
        <v>87</v>
      </c>
      <c r="O501" s="42">
        <v>12</v>
      </c>
      <c r="P501" s="41" t="s">
        <v>46</v>
      </c>
      <c r="Q501" s="41" t="s">
        <v>66</v>
      </c>
      <c r="R501" s="41" t="s">
        <v>234</v>
      </c>
      <c r="S501" s="41" t="s">
        <v>234</v>
      </c>
      <c r="T501" s="41" t="s">
        <v>234</v>
      </c>
      <c r="U501" s="41" t="s">
        <v>234</v>
      </c>
      <c r="V501" s="41" t="s">
        <v>234</v>
      </c>
      <c r="W501" s="41" t="s">
        <v>234</v>
      </c>
      <c r="X501" s="43">
        <v>0</v>
      </c>
      <c r="Y501" s="41" t="s">
        <v>97</v>
      </c>
      <c r="Z501" s="41" t="s">
        <v>97</v>
      </c>
      <c r="AA501" s="41" t="s">
        <v>113</v>
      </c>
      <c r="AB501" s="39" t="s">
        <v>2381</v>
      </c>
      <c r="AC501" s="44" t="s">
        <v>46</v>
      </c>
    </row>
    <row r="502" spans="1:29" x14ac:dyDescent="0.25">
      <c r="A502" s="45" t="s">
        <v>2382</v>
      </c>
      <c r="B502" s="46" t="s">
        <v>194</v>
      </c>
      <c r="C502" s="46" t="s">
        <v>193</v>
      </c>
      <c r="D502" s="47" t="s">
        <v>2331</v>
      </c>
      <c r="E502" s="47" t="s">
        <v>136</v>
      </c>
      <c r="F502" s="46" t="s">
        <v>2383</v>
      </c>
      <c r="G502" s="46" t="s">
        <v>2384</v>
      </c>
      <c r="H502" s="47" t="s">
        <v>123</v>
      </c>
      <c r="I502" s="47" t="s">
        <v>436</v>
      </c>
      <c r="J502" s="46" t="s">
        <v>2385</v>
      </c>
      <c r="K502" s="47" t="s">
        <v>233</v>
      </c>
      <c r="L502" s="48" t="s">
        <v>122</v>
      </c>
      <c r="M502" s="46" t="s">
        <v>2335</v>
      </c>
      <c r="N502" s="48" t="s">
        <v>87</v>
      </c>
      <c r="O502" s="49">
        <v>10</v>
      </c>
      <c r="P502" s="48" t="s">
        <v>46</v>
      </c>
      <c r="Q502" s="41" t="s">
        <v>66</v>
      </c>
      <c r="R502" s="41" t="s">
        <v>234</v>
      </c>
      <c r="S502" s="41" t="s">
        <v>234</v>
      </c>
      <c r="T502" s="41" t="s">
        <v>234</v>
      </c>
      <c r="U502" s="41" t="s">
        <v>234</v>
      </c>
      <c r="V502" s="41" t="s">
        <v>234</v>
      </c>
      <c r="W502" s="41" t="s">
        <v>234</v>
      </c>
      <c r="X502" s="43">
        <v>0</v>
      </c>
      <c r="Y502" s="41" t="s">
        <v>97</v>
      </c>
      <c r="Z502" s="41" t="s">
        <v>97</v>
      </c>
      <c r="AA502" s="41" t="s">
        <v>113</v>
      </c>
      <c r="AB502" s="39" t="s">
        <v>2386</v>
      </c>
      <c r="AC502" s="44" t="s">
        <v>46</v>
      </c>
    </row>
    <row r="503" spans="1:29" x14ac:dyDescent="0.25">
      <c r="A503" s="38" t="s">
        <v>2387</v>
      </c>
      <c r="B503" s="39" t="s">
        <v>194</v>
      </c>
      <c r="C503" s="39" t="s">
        <v>193</v>
      </c>
      <c r="D503" s="40" t="s">
        <v>2331</v>
      </c>
      <c r="E503" s="40" t="s">
        <v>136</v>
      </c>
      <c r="F503" s="39" t="s">
        <v>2388</v>
      </c>
      <c r="G503" s="39" t="s">
        <v>2389</v>
      </c>
      <c r="H503" s="40" t="s">
        <v>132</v>
      </c>
      <c r="I503" s="40" t="s">
        <v>436</v>
      </c>
      <c r="J503" s="39" t="s">
        <v>2390</v>
      </c>
      <c r="K503" s="40" t="s">
        <v>233</v>
      </c>
      <c r="L503" s="41" t="s">
        <v>122</v>
      </c>
      <c r="M503" s="39" t="s">
        <v>2335</v>
      </c>
      <c r="N503" s="41" t="s">
        <v>87</v>
      </c>
      <c r="O503" s="42">
        <v>6</v>
      </c>
      <c r="P503" s="41" t="s">
        <v>46</v>
      </c>
      <c r="Q503" s="41" t="s">
        <v>66</v>
      </c>
      <c r="R503" s="41" t="s">
        <v>234</v>
      </c>
      <c r="S503" s="41" t="s">
        <v>234</v>
      </c>
      <c r="T503" s="41" t="s">
        <v>234</v>
      </c>
      <c r="U503" s="41" t="s">
        <v>234</v>
      </c>
      <c r="V503" s="41" t="s">
        <v>234</v>
      </c>
      <c r="W503" s="41" t="s">
        <v>234</v>
      </c>
      <c r="X503" s="43">
        <v>0</v>
      </c>
      <c r="Y503" s="41" t="s">
        <v>97</v>
      </c>
      <c r="Z503" s="41" t="s">
        <v>97</v>
      </c>
      <c r="AA503" s="41" t="s">
        <v>113</v>
      </c>
      <c r="AB503" s="39" t="s">
        <v>46</v>
      </c>
      <c r="AC503" s="44" t="s">
        <v>46</v>
      </c>
    </row>
    <row r="504" spans="1:29" x14ac:dyDescent="0.25">
      <c r="A504" s="45" t="s">
        <v>2391</v>
      </c>
      <c r="B504" s="46" t="s">
        <v>194</v>
      </c>
      <c r="C504" s="46" t="s">
        <v>193</v>
      </c>
      <c r="D504" s="47" t="s">
        <v>2331</v>
      </c>
      <c r="E504" s="47" t="s">
        <v>136</v>
      </c>
      <c r="F504" s="46" t="s">
        <v>2392</v>
      </c>
      <c r="G504" s="46" t="s">
        <v>2393</v>
      </c>
      <c r="H504" s="47" t="s">
        <v>132</v>
      </c>
      <c r="I504" s="47" t="s">
        <v>436</v>
      </c>
      <c r="J504" s="46" t="s">
        <v>2394</v>
      </c>
      <c r="K504" s="47" t="s">
        <v>233</v>
      </c>
      <c r="L504" s="48" t="s">
        <v>122</v>
      </c>
      <c r="M504" s="46" t="s">
        <v>1444</v>
      </c>
      <c r="N504" s="48" t="s">
        <v>97</v>
      </c>
      <c r="O504" s="49">
        <v>12</v>
      </c>
      <c r="P504" s="48" t="s">
        <v>46</v>
      </c>
      <c r="Q504" s="41" t="s">
        <v>31</v>
      </c>
      <c r="R504" s="41" t="s">
        <v>234</v>
      </c>
      <c r="S504" s="41" t="s">
        <v>234</v>
      </c>
      <c r="T504" s="41" t="s">
        <v>234</v>
      </c>
      <c r="U504" s="41" t="s">
        <v>234</v>
      </c>
      <c r="V504" s="41" t="s">
        <v>234</v>
      </c>
      <c r="W504" s="41" t="s">
        <v>273</v>
      </c>
      <c r="X504" s="43">
        <v>0</v>
      </c>
      <c r="Y504" s="41" t="s">
        <v>97</v>
      </c>
      <c r="Z504" s="41" t="s">
        <v>97</v>
      </c>
      <c r="AA504" s="41" t="s">
        <v>113</v>
      </c>
      <c r="AB504" s="39" t="s">
        <v>2395</v>
      </c>
      <c r="AC504" s="44" t="s">
        <v>46</v>
      </c>
    </row>
    <row r="505" spans="1:29" x14ac:dyDescent="0.25">
      <c r="A505" s="38" t="s">
        <v>2396</v>
      </c>
      <c r="B505" s="39" t="s">
        <v>194</v>
      </c>
      <c r="C505" s="39" t="s">
        <v>193</v>
      </c>
      <c r="D505" s="40" t="s">
        <v>2331</v>
      </c>
      <c r="E505" s="40" t="s">
        <v>56</v>
      </c>
      <c r="F505" s="39" t="s">
        <v>2397</v>
      </c>
      <c r="G505" s="39" t="s">
        <v>2398</v>
      </c>
      <c r="H505" s="40" t="s">
        <v>132</v>
      </c>
      <c r="I505" s="40" t="s">
        <v>436</v>
      </c>
      <c r="J505" s="39" t="s">
        <v>2399</v>
      </c>
      <c r="K505" s="40" t="s">
        <v>233</v>
      </c>
      <c r="L505" s="41" t="s">
        <v>122</v>
      </c>
      <c r="M505" s="39" t="s">
        <v>2335</v>
      </c>
      <c r="N505" s="41" t="s">
        <v>88</v>
      </c>
      <c r="O505" s="42">
        <v>10</v>
      </c>
      <c r="P505" s="41" t="s">
        <v>46</v>
      </c>
      <c r="Q505" s="41" t="s">
        <v>66</v>
      </c>
      <c r="R505" s="41" t="s">
        <v>234</v>
      </c>
      <c r="S505" s="41" t="s">
        <v>234</v>
      </c>
      <c r="T505" s="41" t="s">
        <v>234</v>
      </c>
      <c r="U505" s="41" t="s">
        <v>234</v>
      </c>
      <c r="V505" s="41" t="s">
        <v>234</v>
      </c>
      <c r="W505" s="41" t="s">
        <v>234</v>
      </c>
      <c r="X505" s="43">
        <v>0</v>
      </c>
      <c r="Y505" s="41" t="s">
        <v>97</v>
      </c>
      <c r="Z505" s="41" t="s">
        <v>97</v>
      </c>
      <c r="AA505" s="41" t="s">
        <v>113</v>
      </c>
      <c r="AB505" s="39" t="s">
        <v>46</v>
      </c>
      <c r="AC505" s="44" t="s">
        <v>46</v>
      </c>
    </row>
    <row r="506" spans="1:29" x14ac:dyDescent="0.25">
      <c r="A506" s="45" t="s">
        <v>2400</v>
      </c>
      <c r="B506" s="46" t="s">
        <v>194</v>
      </c>
      <c r="C506" s="46" t="s">
        <v>195</v>
      </c>
      <c r="D506" s="47" t="s">
        <v>2401</v>
      </c>
      <c r="E506" s="47" t="s">
        <v>136</v>
      </c>
      <c r="F506" s="46" t="s">
        <v>2402</v>
      </c>
      <c r="G506" s="46" t="s">
        <v>2403</v>
      </c>
      <c r="H506" s="47" t="s">
        <v>132</v>
      </c>
      <c r="I506" s="47" t="s">
        <v>325</v>
      </c>
      <c r="J506" s="46" t="s">
        <v>2404</v>
      </c>
      <c r="K506" s="47" t="s">
        <v>233</v>
      </c>
      <c r="L506" s="48" t="s">
        <v>125</v>
      </c>
      <c r="M506" s="46" t="s">
        <v>2405</v>
      </c>
      <c r="N506" s="48" t="s">
        <v>92</v>
      </c>
      <c r="O506" s="49">
        <v>16</v>
      </c>
      <c r="P506" s="48" t="s">
        <v>46</v>
      </c>
      <c r="Q506" s="41" t="s">
        <v>66</v>
      </c>
      <c r="R506" s="41" t="s">
        <v>234</v>
      </c>
      <c r="S506" s="41" t="s">
        <v>234</v>
      </c>
      <c r="T506" s="41" t="s">
        <v>234</v>
      </c>
      <c r="U506" s="41" t="s">
        <v>234</v>
      </c>
      <c r="V506" s="41" t="s">
        <v>234</v>
      </c>
      <c r="W506" s="41" t="s">
        <v>234</v>
      </c>
      <c r="X506" s="43">
        <v>0</v>
      </c>
      <c r="Y506" s="41" t="s">
        <v>97</v>
      </c>
      <c r="Z506" s="41" t="s">
        <v>97</v>
      </c>
      <c r="AA506" s="41" t="s">
        <v>113</v>
      </c>
      <c r="AB506" s="39" t="s">
        <v>46</v>
      </c>
      <c r="AC506" s="44" t="s">
        <v>46</v>
      </c>
    </row>
    <row r="507" spans="1:29" x14ac:dyDescent="0.25">
      <c r="A507" s="38" t="s">
        <v>2406</v>
      </c>
      <c r="B507" s="39" t="s">
        <v>194</v>
      </c>
      <c r="C507" s="39" t="s">
        <v>195</v>
      </c>
      <c r="D507" s="40" t="s">
        <v>2401</v>
      </c>
      <c r="E507" s="40" t="s">
        <v>136</v>
      </c>
      <c r="F507" s="39" t="s">
        <v>2407</v>
      </c>
      <c r="G507" s="39" t="s">
        <v>2408</v>
      </c>
      <c r="H507" s="40" t="s">
        <v>123</v>
      </c>
      <c r="I507" s="40" t="s">
        <v>325</v>
      </c>
      <c r="J507" s="39" t="s">
        <v>2409</v>
      </c>
      <c r="K507" s="40" t="s">
        <v>233</v>
      </c>
      <c r="L507" s="41" t="s">
        <v>125</v>
      </c>
      <c r="M507" s="39" t="s">
        <v>2405</v>
      </c>
      <c r="N507" s="41" t="s">
        <v>92</v>
      </c>
      <c r="O507" s="42">
        <v>10</v>
      </c>
      <c r="P507" s="41" t="s">
        <v>46</v>
      </c>
      <c r="Q507" s="41" t="s">
        <v>66</v>
      </c>
      <c r="R507" s="41" t="s">
        <v>234</v>
      </c>
      <c r="S507" s="41" t="s">
        <v>234</v>
      </c>
      <c r="T507" s="41" t="s">
        <v>234</v>
      </c>
      <c r="U507" s="41" t="s">
        <v>234</v>
      </c>
      <c r="V507" s="41" t="s">
        <v>234</v>
      </c>
      <c r="W507" s="41" t="s">
        <v>234</v>
      </c>
      <c r="X507" s="43">
        <v>0</v>
      </c>
      <c r="Y507" s="41" t="s">
        <v>97</v>
      </c>
      <c r="Z507" s="41" t="s">
        <v>97</v>
      </c>
      <c r="AA507" s="41" t="s">
        <v>113</v>
      </c>
      <c r="AB507" s="39" t="s">
        <v>46</v>
      </c>
      <c r="AC507" s="44" t="s">
        <v>46</v>
      </c>
    </row>
    <row r="508" spans="1:29" x14ac:dyDescent="0.25">
      <c r="A508" s="45" t="s">
        <v>2410</v>
      </c>
      <c r="B508" s="46" t="s">
        <v>194</v>
      </c>
      <c r="C508" s="46" t="s">
        <v>195</v>
      </c>
      <c r="D508" s="47" t="s">
        <v>2401</v>
      </c>
      <c r="E508" s="47" t="s">
        <v>295</v>
      </c>
      <c r="F508" s="46" t="s">
        <v>2411</v>
      </c>
      <c r="G508" s="46" t="s">
        <v>2412</v>
      </c>
      <c r="H508" s="47" t="s">
        <v>123</v>
      </c>
      <c r="I508" s="47" t="s">
        <v>325</v>
      </c>
      <c r="J508" s="46" t="s">
        <v>2413</v>
      </c>
      <c r="K508" s="47" t="s">
        <v>233</v>
      </c>
      <c r="L508" s="48" t="s">
        <v>125</v>
      </c>
      <c r="M508" s="46" t="s">
        <v>2405</v>
      </c>
      <c r="N508" s="48" t="s">
        <v>93</v>
      </c>
      <c r="O508" s="49">
        <v>8</v>
      </c>
      <c r="P508" s="48" t="s">
        <v>46</v>
      </c>
      <c r="Q508" s="41" t="s">
        <v>66</v>
      </c>
      <c r="R508" s="41" t="s">
        <v>234</v>
      </c>
      <c r="S508" s="41" t="s">
        <v>234</v>
      </c>
      <c r="T508" s="41" t="s">
        <v>234</v>
      </c>
      <c r="U508" s="41" t="s">
        <v>234</v>
      </c>
      <c r="V508" s="41" t="s">
        <v>234</v>
      </c>
      <c r="W508" s="41" t="s">
        <v>234</v>
      </c>
      <c r="X508" s="43">
        <v>0</v>
      </c>
      <c r="Y508" s="41" t="s">
        <v>97</v>
      </c>
      <c r="Z508" s="41" t="s">
        <v>97</v>
      </c>
      <c r="AA508" s="41" t="s">
        <v>113</v>
      </c>
      <c r="AB508" s="39" t="s">
        <v>46</v>
      </c>
      <c r="AC508" s="44" t="s">
        <v>46</v>
      </c>
    </row>
    <row r="509" spans="1:29" x14ac:dyDescent="0.25">
      <c r="A509" s="38" t="s">
        <v>2414</v>
      </c>
      <c r="B509" s="39" t="s">
        <v>194</v>
      </c>
      <c r="C509" s="39" t="s">
        <v>195</v>
      </c>
      <c r="D509" s="40" t="s">
        <v>2401</v>
      </c>
      <c r="E509" s="40" t="s">
        <v>136</v>
      </c>
      <c r="F509" s="39" t="s">
        <v>2415</v>
      </c>
      <c r="G509" s="39" t="s">
        <v>2416</v>
      </c>
      <c r="H509" s="40" t="s">
        <v>132</v>
      </c>
      <c r="I509" s="40" t="s">
        <v>325</v>
      </c>
      <c r="J509" s="39" t="s">
        <v>2417</v>
      </c>
      <c r="K509" s="40" t="s">
        <v>233</v>
      </c>
      <c r="L509" s="41" t="s">
        <v>125</v>
      </c>
      <c r="M509" s="39" t="s">
        <v>2405</v>
      </c>
      <c r="N509" s="41" t="s">
        <v>93</v>
      </c>
      <c r="O509" s="42">
        <v>6</v>
      </c>
      <c r="P509" s="41" t="s">
        <v>46</v>
      </c>
      <c r="Q509" s="41" t="s">
        <v>66</v>
      </c>
      <c r="R509" s="41" t="s">
        <v>234</v>
      </c>
      <c r="S509" s="41" t="s">
        <v>234</v>
      </c>
      <c r="T509" s="41" t="s">
        <v>234</v>
      </c>
      <c r="U509" s="41" t="s">
        <v>234</v>
      </c>
      <c r="V509" s="41" t="s">
        <v>234</v>
      </c>
      <c r="W509" s="41" t="s">
        <v>234</v>
      </c>
      <c r="X509" s="43">
        <v>0</v>
      </c>
      <c r="Y509" s="41" t="s">
        <v>97</v>
      </c>
      <c r="Z509" s="41" t="s">
        <v>97</v>
      </c>
      <c r="AA509" s="41" t="s">
        <v>113</v>
      </c>
      <c r="AB509" s="39" t="s">
        <v>46</v>
      </c>
      <c r="AC509" s="44" t="s">
        <v>46</v>
      </c>
    </row>
    <row r="510" spans="1:29" x14ac:dyDescent="0.25">
      <c r="A510" s="45" t="s">
        <v>2418</v>
      </c>
      <c r="B510" s="46" t="s">
        <v>194</v>
      </c>
      <c r="C510" s="46" t="s">
        <v>195</v>
      </c>
      <c r="D510" s="47" t="s">
        <v>2401</v>
      </c>
      <c r="E510" s="47" t="s">
        <v>136</v>
      </c>
      <c r="F510" s="46" t="s">
        <v>2419</v>
      </c>
      <c r="G510" s="46" t="s">
        <v>2420</v>
      </c>
      <c r="H510" s="47" t="s">
        <v>132</v>
      </c>
      <c r="I510" s="47" t="s">
        <v>325</v>
      </c>
      <c r="J510" s="46" t="s">
        <v>2421</v>
      </c>
      <c r="K510" s="47" t="s">
        <v>233</v>
      </c>
      <c r="L510" s="48" t="s">
        <v>125</v>
      </c>
      <c r="M510" s="46" t="s">
        <v>2405</v>
      </c>
      <c r="N510" s="48" t="s">
        <v>93</v>
      </c>
      <c r="O510" s="49">
        <v>5</v>
      </c>
      <c r="P510" s="48" t="s">
        <v>46</v>
      </c>
      <c r="Q510" s="41" t="s">
        <v>66</v>
      </c>
      <c r="R510" s="41" t="s">
        <v>234</v>
      </c>
      <c r="S510" s="41" t="s">
        <v>234</v>
      </c>
      <c r="T510" s="41" t="s">
        <v>234</v>
      </c>
      <c r="U510" s="41" t="s">
        <v>234</v>
      </c>
      <c r="V510" s="41" t="s">
        <v>234</v>
      </c>
      <c r="W510" s="41" t="s">
        <v>234</v>
      </c>
      <c r="X510" s="43">
        <v>0</v>
      </c>
      <c r="Y510" s="41" t="s">
        <v>97</v>
      </c>
      <c r="Z510" s="41" t="s">
        <v>97</v>
      </c>
      <c r="AA510" s="41" t="s">
        <v>113</v>
      </c>
      <c r="AB510" s="39" t="s">
        <v>46</v>
      </c>
      <c r="AC510" s="44" t="s">
        <v>46</v>
      </c>
    </row>
    <row r="511" spans="1:29" x14ac:dyDescent="0.25">
      <c r="A511" s="38" t="s">
        <v>2422</v>
      </c>
      <c r="B511" s="39" t="s">
        <v>194</v>
      </c>
      <c r="C511" s="39" t="s">
        <v>195</v>
      </c>
      <c r="D511" s="40" t="s">
        <v>2401</v>
      </c>
      <c r="E511" s="40" t="s">
        <v>129</v>
      </c>
      <c r="F511" s="39" t="s">
        <v>2423</v>
      </c>
      <c r="G511" s="39" t="s">
        <v>2424</v>
      </c>
      <c r="H511" s="40" t="s">
        <v>132</v>
      </c>
      <c r="I511" s="40" t="s">
        <v>325</v>
      </c>
      <c r="J511" s="39" t="s">
        <v>2425</v>
      </c>
      <c r="K511" s="40" t="s">
        <v>233</v>
      </c>
      <c r="L511" s="41" t="s">
        <v>125</v>
      </c>
      <c r="M511" s="39" t="s">
        <v>2426</v>
      </c>
      <c r="N511" s="41" t="s">
        <v>97</v>
      </c>
      <c r="O511" s="42">
        <v>12</v>
      </c>
      <c r="P511" s="41" t="s">
        <v>46</v>
      </c>
      <c r="Q511" s="41" t="s">
        <v>31</v>
      </c>
      <c r="R511" s="41" t="s">
        <v>234</v>
      </c>
      <c r="S511" s="41" t="s">
        <v>234</v>
      </c>
      <c r="T511" s="41" t="s">
        <v>234</v>
      </c>
      <c r="U511" s="41" t="s">
        <v>234</v>
      </c>
      <c r="V511" s="41" t="s">
        <v>234</v>
      </c>
      <c r="W511" s="41" t="s">
        <v>273</v>
      </c>
      <c r="X511" s="43">
        <v>0</v>
      </c>
      <c r="Y511" s="41" t="s">
        <v>97</v>
      </c>
      <c r="Z511" s="41" t="s">
        <v>97</v>
      </c>
      <c r="AA511" s="41" t="s">
        <v>113</v>
      </c>
      <c r="AB511" s="39" t="s">
        <v>2427</v>
      </c>
      <c r="AC511" s="44" t="s">
        <v>46</v>
      </c>
    </row>
  </sheetData>
  <autoFilter ref="A4:AC511"/>
  <mergeCells count="4">
    <mergeCell ref="A1:AC1"/>
    <mergeCell ref="A2:AC2"/>
    <mergeCell ref="A3:P3"/>
    <mergeCell ref="Q3:AC3"/>
  </mergeCells>
  <conditionalFormatting sqref="A5:AC511">
    <cfRule type="expression" dxfId="5" priority="1">
      <formula>$Q5="Blocked"</formula>
    </cfRule>
    <cfRule type="expression" dxfId="6" priority="2">
      <formula>$Q5="Completed"</formula>
    </cfRule>
    <cfRule type="expression" dxfId="7" priority="3">
      <formula>$Q5="Cancelled"</formula>
    </cfRule>
    <cfRule type="expression" dxfId="8" priority="4">
      <formula>$AA5="Fail"</formula>
    </cfRule>
    <cfRule type="expression" dxfId="9" priority="5">
      <formula>$X5&gt;0</formula>
    </cfRule>
  </conditionalFormatting>
  <conditionalFormatting sqref="Q5:Q511">
    <cfRule type="containsText" dxfId="10" priority="6">
      <formula>NOT(ISERROR(SEARCH("Reviewed",Q5)))</formula>
    </cfRule>
    <cfRule type="containsText" dxfId="11" priority="7">
      <formula>NOT(ISERROR(SEARCH("Tested",Q5)))</formula>
    </cfRule>
    <cfRule type="containsText" dxfId="12" priority="8">
      <formula>NOT(ISERROR(SEARCH("Pushed",Q5)))</formula>
    </cfRule>
    <cfRule type="containsText" dxfId="13" priority="9">
      <formula>NOT(ISERROR(SEARCH("Committed",Q5)))</formula>
    </cfRule>
    <cfRule type="containsText" dxfId="14" priority="10">
      <formula>NOT(ISERROR(SEARCH("Implemented",Q5)))</formula>
    </cfRule>
    <cfRule type="containsText" dxfId="15" priority="11">
      <formula>NOT(ISERROR(SEARCH("In Progress",Q5)))</formula>
    </cfRule>
    <cfRule type="containsText" dxfId="16" priority="12">
      <formula>NOT(ISERROR(SEARCH("Not Started",Q5)))</formula>
    </cfRule>
  </conditionalFormatting>
  <conditionalFormatting sqref="R5:R511">
    <cfRule type="containsText" dxfId="17" priority="13">
      <formula>NOT(ISERROR(SEARCH("Yes",R5)))</formula>
    </cfRule>
  </conditionalFormatting>
  <conditionalFormatting sqref="S5:S511">
    <cfRule type="containsText" dxfId="18" priority="14">
      <formula>NOT(ISERROR(SEARCH("Yes",S5)))</formula>
    </cfRule>
  </conditionalFormatting>
  <conditionalFormatting sqref="T5:T511">
    <cfRule type="containsText" dxfId="19" priority="15">
      <formula>NOT(ISERROR(SEARCH("Yes",T5)))</formula>
    </cfRule>
  </conditionalFormatting>
  <conditionalFormatting sqref="U5:U511">
    <cfRule type="containsText" dxfId="20" priority="16">
      <formula>NOT(ISERROR(SEARCH("Yes",U5)))</formula>
    </cfRule>
  </conditionalFormatting>
  <conditionalFormatting sqref="V5:V511">
    <cfRule type="containsText" dxfId="21" priority="17">
      <formula>NOT(ISERROR(SEARCH("Yes",V5)))</formula>
    </cfRule>
  </conditionalFormatting>
  <conditionalFormatting sqref="L5:L511">
    <cfRule type="containsText" dxfId="22" priority="20">
      <formula>NOT(ISERROR(SEARCH("P0",L5)))</formula>
    </cfRule>
    <cfRule type="containsText" dxfId="23" priority="21">
      <formula>NOT(ISERROR(SEARCH("P1",L5)))</formula>
    </cfRule>
    <cfRule type="containsText" dxfId="24" priority="22">
      <formula>NOT(ISERROR(SEARCH("P2",L5)))</formula>
    </cfRule>
  </conditionalFormatting>
  <dataValidations count="13">
    <dataValidation type="list" allowBlank="1" showErrorMessage="1" errorStyle="warning" errorTitle="Value not in list" error="Pick a value from the drop-down, or override deliberately." sqref="AA5:AA511">
      <formula1>'13_Dropdowns'!$H$2:$H$6</formula1>
    </dataValidation>
    <dataValidation type="list" allowBlank="1" showErrorMessage="1" errorStyle="warning" errorTitle="Value not in list" error="Pick a value from the drop-down, or override deliberately." sqref="E5:E511">
      <formula1>'13_Dropdowns'!$B$2:$B$19</formula1>
    </dataValidation>
    <dataValidation type="list" allowBlank="1" showErrorMessage="1" errorStyle="warning" errorTitle="Value not in list" error="Pick a value from the drop-down, or override deliberately." sqref="H5:H511">
      <formula1>'13_Dropdowns'!$C$2:$C$9</formula1>
    </dataValidation>
    <dataValidation type="list" allowBlank="1" showErrorMessage="1" errorStyle="warning" errorTitle="Value not in list" error="Pick a value from the drop-down, or override deliberately." sqref="I5:I511">
      <formula1>'13_Dropdowns'!$D$2:$D$26</formula1>
    </dataValidation>
    <dataValidation type="list" allowBlank="1" showErrorMessage="1" errorStyle="warning" errorTitle="Value not in list" error="Pick a value from the drop-down, or override deliberately." sqref="L5:L511">
      <formula1>'13_Dropdowns'!$E$2:$E$4</formula1>
    </dataValidation>
    <dataValidation type="list" allowBlank="1" showErrorMessage="1" errorStyle="warning" errorTitle="Value not in list" error="Pick a value from the drop-down, or override deliberately." sqref="N5:N511">
      <formula1>'13_Dropdowns'!$Q$2:$Q$18</formula1>
    </dataValidation>
    <dataValidation type="list" allowBlank="1" showErrorMessage="1" errorStyle="warning" errorTitle="Value not in list" error="Pick a value from the drop-down, or override deliberately." sqref="Q5:Q511">
      <formula1>'13_Dropdowns'!$A$2:$A$14</formula1>
    </dataValidation>
    <dataValidation type="list" allowBlank="1" showErrorMessage="1" errorStyle="warning" errorTitle="Value not in list" error="Pick a value from the drop-down, or override deliberately." sqref="R5:R511">
      <formula1>'13_Dropdowns'!$F$2:$F$4</formula1>
    </dataValidation>
    <dataValidation type="list" allowBlank="1" showErrorMessage="1" errorStyle="warning" errorTitle="Value not in list" error="Pick a value from the drop-down, or override deliberately." sqref="S5:S511">
      <formula1>'13_Dropdowns'!$F$2:$F$4</formula1>
    </dataValidation>
    <dataValidation type="list" allowBlank="1" showErrorMessage="1" errorStyle="warning" errorTitle="Value not in list" error="Pick a value from the drop-down, or override deliberately." sqref="T5:T511">
      <formula1>'13_Dropdowns'!$F$2:$F$4</formula1>
    </dataValidation>
    <dataValidation type="list" allowBlank="1" showErrorMessage="1" errorStyle="warning" errorTitle="Value not in list" error="Pick a value from the drop-down, or override deliberately." sqref="U5:U511">
      <formula1>'13_Dropdowns'!$F$2:$F$4</formula1>
    </dataValidation>
    <dataValidation type="list" allowBlank="1" showErrorMessage="1" errorStyle="warning" errorTitle="Value not in list" error="Pick a value from the drop-down, or override deliberately." sqref="V5:V511">
      <formula1>'13_Dropdowns'!$F$2:$F$4</formula1>
    </dataValidation>
    <dataValidation type="list" allowBlank="1" showErrorMessage="1" errorStyle="warning" errorTitle="Value not in list" error="Pick a value from the drop-down, or override deliberately." sqref="W5:W511">
      <formula1>'13_Dropdowns'!$F$2:$F$4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8B8B"/>
  </sheetPr>
  <dimension ref="A1:Q4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3" customWidth="1"/>
    <col min="2" max="2" width="40" customWidth="1"/>
    <col min="3" max="3" width="32" customWidth="1"/>
    <col min="4" max="6" width="11" customWidth="1"/>
    <col min="7" max="7" width="12" customWidth="1"/>
    <col min="8" max="8" width="11" customWidth="1"/>
    <col min="9" max="12" width="10" customWidth="1"/>
    <col min="13" max="13" width="11" customWidth="1"/>
    <col min="14" max="14" width="10" customWidth="1"/>
    <col min="15" max="15" width="13" customWidth="1"/>
    <col min="17" max="17" width="13" customWidth="1"/>
  </cols>
  <sheetData>
    <row r="1" ht="26" customHeight="1" spans="1:17" x14ac:dyDescent="0.25">
      <c r="A1" s="33" t="s">
        <v>2428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ht="18" customHeight="1" spans="1:17" x14ac:dyDescent="0.25">
      <c r="A2" s="34" t="s">
        <v>2429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</row>
    <row r="4" ht="40" customHeight="1" spans="1:17" x14ac:dyDescent="0.25">
      <c r="A4" s="37" t="s">
        <v>2430</v>
      </c>
      <c r="B4" s="37" t="s">
        <v>138</v>
      </c>
      <c r="C4" s="37" t="s">
        <v>139</v>
      </c>
      <c r="D4" s="37" t="s">
        <v>27</v>
      </c>
      <c r="E4" s="37" t="s">
        <v>66</v>
      </c>
      <c r="F4" s="37" t="s">
        <v>30</v>
      </c>
      <c r="G4" s="37" t="s">
        <v>69</v>
      </c>
      <c r="H4" s="37" t="s">
        <v>70</v>
      </c>
      <c r="I4" s="37" t="s">
        <v>71</v>
      </c>
      <c r="J4" s="37" t="s">
        <v>56</v>
      </c>
      <c r="K4" s="37" t="s">
        <v>72</v>
      </c>
      <c r="L4" s="37" t="s">
        <v>73</v>
      </c>
      <c r="M4" s="37" t="s">
        <v>28</v>
      </c>
      <c r="N4" s="37" t="s">
        <v>31</v>
      </c>
      <c r="O4" s="37" t="s">
        <v>2431</v>
      </c>
      <c r="P4" s="37" t="s">
        <v>141</v>
      </c>
      <c r="Q4" s="37" t="s">
        <v>142</v>
      </c>
    </row>
    <row r="5" ht="26" customHeight="1" spans="1:17" x14ac:dyDescent="0.25">
      <c r="A5" s="50" t="s">
        <v>2432</v>
      </c>
      <c r="B5" s="51" t="s">
        <v>144</v>
      </c>
      <c r="C5" s="51" t="s">
        <v>145</v>
      </c>
      <c r="D5" s="52">
        <f>COUNTIF(WI_Feature,$B5)</f>
      </c>
      <c r="E5" s="52">
        <f>COUNTIFS(WI_Feature,$B5,WI_Status,"Not Started")</f>
      </c>
      <c r="F5" s="52">
        <f>COUNTIFS(WI_Feature,$B5,WI_Status,"In Progress")</f>
      </c>
      <c r="G5" s="52">
        <f>COUNTIFS(WI_Feature,$B5,WI_Status,"Implemented")</f>
      </c>
      <c r="H5" s="52">
        <f>COUNTIFS(WI_Feature,$B5,WI_Status,"Committed")</f>
      </c>
      <c r="I5" s="52">
        <f>COUNTIFS(WI_Feature,$B5,WI_Status,"Pushed")</f>
      </c>
      <c r="J5" s="52">
        <f>COUNTIFS(WI_Feature,$B5,WI_Status,"Testing")</f>
      </c>
      <c r="K5" s="52">
        <f>COUNTIFS(WI_Feature,$B5,WI_Status,"Tested")</f>
      </c>
      <c r="L5" s="52">
        <f>COUNTIFS(WI_Feature,$B5,WI_Status,"Reviewed")</f>
      </c>
      <c r="M5" s="52">
        <f>COUNTIFS(WI_Feature,$B5,WI_Status,"Completed")</f>
      </c>
      <c r="N5" s="52">
        <f>COUNTIFS(WI_Feature,$B5,WI_Status,"Blocked")</f>
      </c>
      <c r="O5" s="52">
        <f>D5-SUM(E5:N5)</f>
      </c>
      <c r="P5" s="52">
        <f>SUMIF(WI_Feature,$B5,WI_Bugs)</f>
      </c>
      <c r="Q5" s="53">
        <f>IF(D5=0,0,M5/D5)</f>
      </c>
    </row>
    <row r="6" ht="26" customHeight="1" spans="1:17" x14ac:dyDescent="0.25">
      <c r="A6" s="54" t="s">
        <v>1589</v>
      </c>
      <c r="B6" s="55" t="s">
        <v>146</v>
      </c>
      <c r="C6" s="55" t="s">
        <v>145</v>
      </c>
      <c r="D6" s="52">
        <f>COUNTIF(WI_Feature,$B6)</f>
      </c>
      <c r="E6" s="52">
        <f>COUNTIFS(WI_Feature,$B6,WI_Status,"Not Started")</f>
      </c>
      <c r="F6" s="52">
        <f>COUNTIFS(WI_Feature,$B6,WI_Status,"In Progress")</f>
      </c>
      <c r="G6" s="52">
        <f>COUNTIFS(WI_Feature,$B6,WI_Status,"Implemented")</f>
      </c>
      <c r="H6" s="52">
        <f>COUNTIFS(WI_Feature,$B6,WI_Status,"Committed")</f>
      </c>
      <c r="I6" s="52">
        <f>COUNTIFS(WI_Feature,$B6,WI_Status,"Pushed")</f>
      </c>
      <c r="J6" s="52">
        <f>COUNTIFS(WI_Feature,$B6,WI_Status,"Testing")</f>
      </c>
      <c r="K6" s="52">
        <f>COUNTIFS(WI_Feature,$B6,WI_Status,"Tested")</f>
      </c>
      <c r="L6" s="52">
        <f>COUNTIFS(WI_Feature,$B6,WI_Status,"Reviewed")</f>
      </c>
      <c r="M6" s="52">
        <f>COUNTIFS(WI_Feature,$B6,WI_Status,"Completed")</f>
      </c>
      <c r="N6" s="52">
        <f>COUNTIFS(WI_Feature,$B6,WI_Status,"Blocked")</f>
      </c>
      <c r="O6" s="52">
        <f>D6-SUM(E6:N6)</f>
      </c>
      <c r="P6" s="52">
        <f>SUMIF(WI_Feature,$B6,WI_Bugs)</f>
      </c>
      <c r="Q6" s="53">
        <f>IF(D6=0,0,M6/D6)</f>
      </c>
    </row>
    <row r="7" ht="26" customHeight="1" spans="1:17" x14ac:dyDescent="0.25">
      <c r="A7" s="50" t="s">
        <v>1313</v>
      </c>
      <c r="B7" s="51" t="s">
        <v>147</v>
      </c>
      <c r="C7" s="51" t="s">
        <v>145</v>
      </c>
      <c r="D7" s="52">
        <f>COUNTIF(WI_Feature,$B7)</f>
      </c>
      <c r="E7" s="52">
        <f>COUNTIFS(WI_Feature,$B7,WI_Status,"Not Started")</f>
      </c>
      <c r="F7" s="52">
        <f>COUNTIFS(WI_Feature,$B7,WI_Status,"In Progress")</f>
      </c>
      <c r="G7" s="52">
        <f>COUNTIFS(WI_Feature,$B7,WI_Status,"Implemented")</f>
      </c>
      <c r="H7" s="52">
        <f>COUNTIFS(WI_Feature,$B7,WI_Status,"Committed")</f>
      </c>
      <c r="I7" s="52">
        <f>COUNTIFS(WI_Feature,$B7,WI_Status,"Pushed")</f>
      </c>
      <c r="J7" s="52">
        <f>COUNTIFS(WI_Feature,$B7,WI_Status,"Testing")</f>
      </c>
      <c r="K7" s="52">
        <f>COUNTIFS(WI_Feature,$B7,WI_Status,"Tested")</f>
      </c>
      <c r="L7" s="52">
        <f>COUNTIFS(WI_Feature,$B7,WI_Status,"Reviewed")</f>
      </c>
      <c r="M7" s="52">
        <f>COUNTIFS(WI_Feature,$B7,WI_Status,"Completed")</f>
      </c>
      <c r="N7" s="52">
        <f>COUNTIFS(WI_Feature,$B7,WI_Status,"Blocked")</f>
      </c>
      <c r="O7" s="52">
        <f>D7-SUM(E7:N7)</f>
      </c>
      <c r="P7" s="52">
        <f>SUMIF(WI_Feature,$B7,WI_Bugs)</f>
      </c>
      <c r="Q7" s="53">
        <f>IF(D7=0,0,M7/D7)</f>
      </c>
    </row>
    <row r="8" ht="26" customHeight="1" spans="1:17" x14ac:dyDescent="0.25">
      <c r="A8" s="54" t="s">
        <v>530</v>
      </c>
      <c r="B8" s="55" t="s">
        <v>148</v>
      </c>
      <c r="C8" s="55" t="s">
        <v>149</v>
      </c>
      <c r="D8" s="52">
        <f>COUNTIF(WI_Feature,$B8)</f>
      </c>
      <c r="E8" s="52">
        <f>COUNTIFS(WI_Feature,$B8,WI_Status,"Not Started")</f>
      </c>
      <c r="F8" s="52">
        <f>COUNTIFS(WI_Feature,$B8,WI_Status,"In Progress")</f>
      </c>
      <c r="G8" s="52">
        <f>COUNTIFS(WI_Feature,$B8,WI_Status,"Implemented")</f>
      </c>
      <c r="H8" s="52">
        <f>COUNTIFS(WI_Feature,$B8,WI_Status,"Committed")</f>
      </c>
      <c r="I8" s="52">
        <f>COUNTIFS(WI_Feature,$B8,WI_Status,"Pushed")</f>
      </c>
      <c r="J8" s="52">
        <f>COUNTIFS(WI_Feature,$B8,WI_Status,"Testing")</f>
      </c>
      <c r="K8" s="52">
        <f>COUNTIFS(WI_Feature,$B8,WI_Status,"Tested")</f>
      </c>
      <c r="L8" s="52">
        <f>COUNTIFS(WI_Feature,$B8,WI_Status,"Reviewed")</f>
      </c>
      <c r="M8" s="52">
        <f>COUNTIFS(WI_Feature,$B8,WI_Status,"Completed")</f>
      </c>
      <c r="N8" s="52">
        <f>COUNTIFS(WI_Feature,$B8,WI_Status,"Blocked")</f>
      </c>
      <c r="O8" s="52">
        <f>D8-SUM(E8:N8)</f>
      </c>
      <c r="P8" s="52">
        <f>SUMIF(WI_Feature,$B8,WI_Bugs)</f>
      </c>
      <c r="Q8" s="53">
        <f>IF(D8=0,0,M8/D8)</f>
      </c>
    </row>
    <row r="9" ht="26" customHeight="1" spans="1:17" x14ac:dyDescent="0.25">
      <c r="A9" s="50" t="s">
        <v>2433</v>
      </c>
      <c r="B9" s="51" t="s">
        <v>150</v>
      </c>
      <c r="C9" s="51" t="s">
        <v>149</v>
      </c>
      <c r="D9" s="52">
        <f>COUNTIF(WI_Feature,$B9)</f>
      </c>
      <c r="E9" s="52">
        <f>COUNTIFS(WI_Feature,$B9,WI_Status,"Not Started")</f>
      </c>
      <c r="F9" s="52">
        <f>COUNTIFS(WI_Feature,$B9,WI_Status,"In Progress")</f>
      </c>
      <c r="G9" s="52">
        <f>COUNTIFS(WI_Feature,$B9,WI_Status,"Implemented")</f>
      </c>
      <c r="H9" s="52">
        <f>COUNTIFS(WI_Feature,$B9,WI_Status,"Committed")</f>
      </c>
      <c r="I9" s="52">
        <f>COUNTIFS(WI_Feature,$B9,WI_Status,"Pushed")</f>
      </c>
      <c r="J9" s="52">
        <f>COUNTIFS(WI_Feature,$B9,WI_Status,"Testing")</f>
      </c>
      <c r="K9" s="52">
        <f>COUNTIFS(WI_Feature,$B9,WI_Status,"Tested")</f>
      </c>
      <c r="L9" s="52">
        <f>COUNTIFS(WI_Feature,$B9,WI_Status,"Reviewed")</f>
      </c>
      <c r="M9" s="52">
        <f>COUNTIFS(WI_Feature,$B9,WI_Status,"Completed")</f>
      </c>
      <c r="N9" s="52">
        <f>COUNTIFS(WI_Feature,$B9,WI_Status,"Blocked")</f>
      </c>
      <c r="O9" s="52">
        <f>D9-SUM(E9:N9)</f>
      </c>
      <c r="P9" s="52">
        <f>SUMIF(WI_Feature,$B9,WI_Bugs)</f>
      </c>
      <c r="Q9" s="53">
        <f>IF(D9=0,0,M9/D9)</f>
      </c>
    </row>
    <row r="10" ht="26" customHeight="1" spans="1:17" x14ac:dyDescent="0.25">
      <c r="A10" s="54" t="s">
        <v>1676</v>
      </c>
      <c r="B10" s="55" t="s">
        <v>151</v>
      </c>
      <c r="C10" s="55" t="s">
        <v>149</v>
      </c>
      <c r="D10" s="52">
        <f>COUNTIF(WI_Feature,$B10)</f>
      </c>
      <c r="E10" s="52">
        <f>COUNTIFS(WI_Feature,$B10,WI_Status,"Not Started")</f>
      </c>
      <c r="F10" s="52">
        <f>COUNTIFS(WI_Feature,$B10,WI_Status,"In Progress")</f>
      </c>
      <c r="G10" s="52">
        <f>COUNTIFS(WI_Feature,$B10,WI_Status,"Implemented")</f>
      </c>
      <c r="H10" s="52">
        <f>COUNTIFS(WI_Feature,$B10,WI_Status,"Committed")</f>
      </c>
      <c r="I10" s="52">
        <f>COUNTIFS(WI_Feature,$B10,WI_Status,"Pushed")</f>
      </c>
      <c r="J10" s="52">
        <f>COUNTIFS(WI_Feature,$B10,WI_Status,"Testing")</f>
      </c>
      <c r="K10" s="52">
        <f>COUNTIFS(WI_Feature,$B10,WI_Status,"Tested")</f>
      </c>
      <c r="L10" s="52">
        <f>COUNTIFS(WI_Feature,$B10,WI_Status,"Reviewed")</f>
      </c>
      <c r="M10" s="52">
        <f>COUNTIFS(WI_Feature,$B10,WI_Status,"Completed")</f>
      </c>
      <c r="N10" s="52">
        <f>COUNTIFS(WI_Feature,$B10,WI_Status,"Blocked")</f>
      </c>
      <c r="O10" s="52">
        <f>D10-SUM(E10:N10)</f>
      </c>
      <c r="P10" s="52">
        <f>SUMIF(WI_Feature,$B10,WI_Bugs)</f>
      </c>
      <c r="Q10" s="53">
        <f>IF(D10=0,0,M10/D10)</f>
      </c>
    </row>
    <row r="11" ht="26" customHeight="1" spans="1:17" x14ac:dyDescent="0.25">
      <c r="A11" s="50" t="s">
        <v>695</v>
      </c>
      <c r="B11" s="51" t="s">
        <v>152</v>
      </c>
      <c r="C11" s="51" t="s">
        <v>149</v>
      </c>
      <c r="D11" s="52">
        <f>COUNTIF(WI_Feature,$B11)</f>
      </c>
      <c r="E11" s="52">
        <f>COUNTIFS(WI_Feature,$B11,WI_Status,"Not Started")</f>
      </c>
      <c r="F11" s="52">
        <f>COUNTIFS(WI_Feature,$B11,WI_Status,"In Progress")</f>
      </c>
      <c r="G11" s="52">
        <f>COUNTIFS(WI_Feature,$B11,WI_Status,"Implemented")</f>
      </c>
      <c r="H11" s="52">
        <f>COUNTIFS(WI_Feature,$B11,WI_Status,"Committed")</f>
      </c>
      <c r="I11" s="52">
        <f>COUNTIFS(WI_Feature,$B11,WI_Status,"Pushed")</f>
      </c>
      <c r="J11" s="52">
        <f>COUNTIFS(WI_Feature,$B11,WI_Status,"Testing")</f>
      </c>
      <c r="K11" s="52">
        <f>COUNTIFS(WI_Feature,$B11,WI_Status,"Tested")</f>
      </c>
      <c r="L11" s="52">
        <f>COUNTIFS(WI_Feature,$B11,WI_Status,"Reviewed")</f>
      </c>
      <c r="M11" s="52">
        <f>COUNTIFS(WI_Feature,$B11,WI_Status,"Completed")</f>
      </c>
      <c r="N11" s="52">
        <f>COUNTIFS(WI_Feature,$B11,WI_Status,"Blocked")</f>
      </c>
      <c r="O11" s="52">
        <f>D11-SUM(E11:N11)</f>
      </c>
      <c r="P11" s="52">
        <f>SUMIF(WI_Feature,$B11,WI_Bugs)</f>
      </c>
      <c r="Q11" s="53">
        <f>IF(D11=0,0,M11/D11)</f>
      </c>
    </row>
    <row r="12" ht="26" customHeight="1" spans="1:17" x14ac:dyDescent="0.25">
      <c r="A12" s="54" t="s">
        <v>2434</v>
      </c>
      <c r="B12" s="55" t="s">
        <v>153</v>
      </c>
      <c r="C12" s="55" t="s">
        <v>154</v>
      </c>
      <c r="D12" s="52">
        <f>COUNTIF(WI_Feature,$B12)</f>
      </c>
      <c r="E12" s="52">
        <f>COUNTIFS(WI_Feature,$B12,WI_Status,"Not Started")</f>
      </c>
      <c r="F12" s="52">
        <f>COUNTIFS(WI_Feature,$B12,WI_Status,"In Progress")</f>
      </c>
      <c r="G12" s="52">
        <f>COUNTIFS(WI_Feature,$B12,WI_Status,"Implemented")</f>
      </c>
      <c r="H12" s="52">
        <f>COUNTIFS(WI_Feature,$B12,WI_Status,"Committed")</f>
      </c>
      <c r="I12" s="52">
        <f>COUNTIFS(WI_Feature,$B12,WI_Status,"Pushed")</f>
      </c>
      <c r="J12" s="52">
        <f>COUNTIFS(WI_Feature,$B12,WI_Status,"Testing")</f>
      </c>
      <c r="K12" s="52">
        <f>COUNTIFS(WI_Feature,$B12,WI_Status,"Tested")</f>
      </c>
      <c r="L12" s="52">
        <f>COUNTIFS(WI_Feature,$B12,WI_Status,"Reviewed")</f>
      </c>
      <c r="M12" s="52">
        <f>COUNTIFS(WI_Feature,$B12,WI_Status,"Completed")</f>
      </c>
      <c r="N12" s="52">
        <f>COUNTIFS(WI_Feature,$B12,WI_Status,"Blocked")</f>
      </c>
      <c r="O12" s="52">
        <f>D12-SUM(E12:N12)</f>
      </c>
      <c r="P12" s="52">
        <f>SUMIF(WI_Feature,$B12,WI_Bugs)</f>
      </c>
      <c r="Q12" s="53">
        <f>IF(D12=0,0,M12/D12)</f>
      </c>
    </row>
    <row r="13" ht="26" customHeight="1" spans="1:17" x14ac:dyDescent="0.25">
      <c r="A13" s="50" t="s">
        <v>855</v>
      </c>
      <c r="B13" s="51" t="s">
        <v>155</v>
      </c>
      <c r="C13" s="51" t="s">
        <v>154</v>
      </c>
      <c r="D13" s="52">
        <f>COUNTIF(WI_Feature,$B13)</f>
      </c>
      <c r="E13" s="52">
        <f>COUNTIFS(WI_Feature,$B13,WI_Status,"Not Started")</f>
      </c>
      <c r="F13" s="52">
        <f>COUNTIFS(WI_Feature,$B13,WI_Status,"In Progress")</f>
      </c>
      <c r="G13" s="52">
        <f>COUNTIFS(WI_Feature,$B13,WI_Status,"Implemented")</f>
      </c>
      <c r="H13" s="52">
        <f>COUNTIFS(WI_Feature,$B13,WI_Status,"Committed")</f>
      </c>
      <c r="I13" s="52">
        <f>COUNTIFS(WI_Feature,$B13,WI_Status,"Pushed")</f>
      </c>
      <c r="J13" s="52">
        <f>COUNTIFS(WI_Feature,$B13,WI_Status,"Testing")</f>
      </c>
      <c r="K13" s="52">
        <f>COUNTIFS(WI_Feature,$B13,WI_Status,"Tested")</f>
      </c>
      <c r="L13" s="52">
        <f>COUNTIFS(WI_Feature,$B13,WI_Status,"Reviewed")</f>
      </c>
      <c r="M13" s="52">
        <f>COUNTIFS(WI_Feature,$B13,WI_Status,"Completed")</f>
      </c>
      <c r="N13" s="52">
        <f>COUNTIFS(WI_Feature,$B13,WI_Status,"Blocked")</f>
      </c>
      <c r="O13" s="52">
        <f>D13-SUM(E13:N13)</f>
      </c>
      <c r="P13" s="52">
        <f>SUMIF(WI_Feature,$B13,WI_Bugs)</f>
      </c>
      <c r="Q13" s="53">
        <f>IF(D13=0,0,M13/D13)</f>
      </c>
    </row>
    <row r="14" ht="26" customHeight="1" spans="1:17" x14ac:dyDescent="0.25">
      <c r="A14" s="54" t="s">
        <v>2435</v>
      </c>
      <c r="B14" s="55" t="s">
        <v>156</v>
      </c>
      <c r="C14" s="55" t="s">
        <v>154</v>
      </c>
      <c r="D14" s="52">
        <f>COUNTIF(WI_Feature,$B14)</f>
      </c>
      <c r="E14" s="52">
        <f>COUNTIFS(WI_Feature,$B14,WI_Status,"Not Started")</f>
      </c>
      <c r="F14" s="52">
        <f>COUNTIFS(WI_Feature,$B14,WI_Status,"In Progress")</f>
      </c>
      <c r="G14" s="52">
        <f>COUNTIFS(WI_Feature,$B14,WI_Status,"Implemented")</f>
      </c>
      <c r="H14" s="52">
        <f>COUNTIFS(WI_Feature,$B14,WI_Status,"Committed")</f>
      </c>
      <c r="I14" s="52">
        <f>COUNTIFS(WI_Feature,$B14,WI_Status,"Pushed")</f>
      </c>
      <c r="J14" s="52">
        <f>COUNTIFS(WI_Feature,$B14,WI_Status,"Testing")</f>
      </c>
      <c r="K14" s="52">
        <f>COUNTIFS(WI_Feature,$B14,WI_Status,"Tested")</f>
      </c>
      <c r="L14" s="52">
        <f>COUNTIFS(WI_Feature,$B14,WI_Status,"Reviewed")</f>
      </c>
      <c r="M14" s="52">
        <f>COUNTIFS(WI_Feature,$B14,WI_Status,"Completed")</f>
      </c>
      <c r="N14" s="52">
        <f>COUNTIFS(WI_Feature,$B14,WI_Status,"Blocked")</f>
      </c>
      <c r="O14" s="52">
        <f>D14-SUM(E14:N14)</f>
      </c>
      <c r="P14" s="52">
        <f>SUMIF(WI_Feature,$B14,WI_Bugs)</f>
      </c>
      <c r="Q14" s="53">
        <f>IF(D14=0,0,M14/D14)</f>
      </c>
    </row>
    <row r="15" ht="26" customHeight="1" spans="1:17" x14ac:dyDescent="0.25">
      <c r="A15" s="50" t="s">
        <v>993</v>
      </c>
      <c r="B15" s="51" t="s">
        <v>157</v>
      </c>
      <c r="C15" s="51" t="s">
        <v>158</v>
      </c>
      <c r="D15" s="52">
        <f>COUNTIF(WI_Feature,$B15)</f>
      </c>
      <c r="E15" s="52">
        <f>COUNTIFS(WI_Feature,$B15,WI_Status,"Not Started")</f>
      </c>
      <c r="F15" s="52">
        <f>COUNTIFS(WI_Feature,$B15,WI_Status,"In Progress")</f>
      </c>
      <c r="G15" s="52">
        <f>COUNTIFS(WI_Feature,$B15,WI_Status,"Implemented")</f>
      </c>
      <c r="H15" s="52">
        <f>COUNTIFS(WI_Feature,$B15,WI_Status,"Committed")</f>
      </c>
      <c r="I15" s="52">
        <f>COUNTIFS(WI_Feature,$B15,WI_Status,"Pushed")</f>
      </c>
      <c r="J15" s="52">
        <f>COUNTIFS(WI_Feature,$B15,WI_Status,"Testing")</f>
      </c>
      <c r="K15" s="52">
        <f>COUNTIFS(WI_Feature,$B15,WI_Status,"Tested")</f>
      </c>
      <c r="L15" s="52">
        <f>COUNTIFS(WI_Feature,$B15,WI_Status,"Reviewed")</f>
      </c>
      <c r="M15" s="52">
        <f>COUNTIFS(WI_Feature,$B15,WI_Status,"Completed")</f>
      </c>
      <c r="N15" s="52">
        <f>COUNTIFS(WI_Feature,$B15,WI_Status,"Blocked")</f>
      </c>
      <c r="O15" s="52">
        <f>D15-SUM(E15:N15)</f>
      </c>
      <c r="P15" s="52">
        <f>SUMIF(WI_Feature,$B15,WI_Bugs)</f>
      </c>
      <c r="Q15" s="53">
        <f>IF(D15=0,0,M15/D15)</f>
      </c>
    </row>
    <row r="16" ht="26" customHeight="1" spans="1:17" x14ac:dyDescent="0.25">
      <c r="A16" s="54" t="s">
        <v>1039</v>
      </c>
      <c r="B16" s="55" t="s">
        <v>159</v>
      </c>
      <c r="C16" s="55" t="s">
        <v>158</v>
      </c>
      <c r="D16" s="52">
        <f>COUNTIF(WI_Feature,$B16)</f>
      </c>
      <c r="E16" s="52">
        <f>COUNTIFS(WI_Feature,$B16,WI_Status,"Not Started")</f>
      </c>
      <c r="F16" s="52">
        <f>COUNTIFS(WI_Feature,$B16,WI_Status,"In Progress")</f>
      </c>
      <c r="G16" s="52">
        <f>COUNTIFS(WI_Feature,$B16,WI_Status,"Implemented")</f>
      </c>
      <c r="H16" s="52">
        <f>COUNTIFS(WI_Feature,$B16,WI_Status,"Committed")</f>
      </c>
      <c r="I16" s="52">
        <f>COUNTIFS(WI_Feature,$B16,WI_Status,"Pushed")</f>
      </c>
      <c r="J16" s="52">
        <f>COUNTIFS(WI_Feature,$B16,WI_Status,"Testing")</f>
      </c>
      <c r="K16" s="52">
        <f>COUNTIFS(WI_Feature,$B16,WI_Status,"Tested")</f>
      </c>
      <c r="L16" s="52">
        <f>COUNTIFS(WI_Feature,$B16,WI_Status,"Reviewed")</f>
      </c>
      <c r="M16" s="52">
        <f>COUNTIFS(WI_Feature,$B16,WI_Status,"Completed")</f>
      </c>
      <c r="N16" s="52">
        <f>COUNTIFS(WI_Feature,$B16,WI_Status,"Blocked")</f>
      </c>
      <c r="O16" s="52">
        <f>D16-SUM(E16:N16)</f>
      </c>
      <c r="P16" s="52">
        <f>SUMIF(WI_Feature,$B16,WI_Bugs)</f>
      </c>
      <c r="Q16" s="53">
        <f>IF(D16=0,0,M16/D16)</f>
      </c>
    </row>
    <row r="17" ht="26" customHeight="1" spans="1:17" x14ac:dyDescent="0.25">
      <c r="A17" s="50" t="s">
        <v>2436</v>
      </c>
      <c r="B17" s="51" t="s">
        <v>160</v>
      </c>
      <c r="C17" s="51" t="s">
        <v>161</v>
      </c>
      <c r="D17" s="52">
        <f>COUNTIF(WI_Feature,$B17)</f>
      </c>
      <c r="E17" s="52">
        <f>COUNTIFS(WI_Feature,$B17,WI_Status,"Not Started")</f>
      </c>
      <c r="F17" s="52">
        <f>COUNTIFS(WI_Feature,$B17,WI_Status,"In Progress")</f>
      </c>
      <c r="G17" s="52">
        <f>COUNTIFS(WI_Feature,$B17,WI_Status,"Implemented")</f>
      </c>
      <c r="H17" s="52">
        <f>COUNTIFS(WI_Feature,$B17,WI_Status,"Committed")</f>
      </c>
      <c r="I17" s="52">
        <f>COUNTIFS(WI_Feature,$B17,WI_Status,"Pushed")</f>
      </c>
      <c r="J17" s="52">
        <f>COUNTIFS(WI_Feature,$B17,WI_Status,"Testing")</f>
      </c>
      <c r="K17" s="52">
        <f>COUNTIFS(WI_Feature,$B17,WI_Status,"Tested")</f>
      </c>
      <c r="L17" s="52">
        <f>COUNTIFS(WI_Feature,$B17,WI_Status,"Reviewed")</f>
      </c>
      <c r="M17" s="52">
        <f>COUNTIFS(WI_Feature,$B17,WI_Status,"Completed")</f>
      </c>
      <c r="N17" s="52">
        <f>COUNTIFS(WI_Feature,$B17,WI_Status,"Blocked")</f>
      </c>
      <c r="O17" s="52">
        <f>D17-SUM(E17:N17)</f>
      </c>
      <c r="P17" s="52">
        <f>SUMIF(WI_Feature,$B17,WI_Bugs)</f>
      </c>
      <c r="Q17" s="53">
        <f>IF(D17=0,0,M17/D17)</f>
      </c>
    </row>
    <row r="18" ht="26" customHeight="1" spans="1:17" x14ac:dyDescent="0.25">
      <c r="A18" s="54" t="s">
        <v>1184</v>
      </c>
      <c r="B18" s="55" t="s">
        <v>162</v>
      </c>
      <c r="C18" s="55" t="s">
        <v>161</v>
      </c>
      <c r="D18" s="52">
        <f>COUNTIF(WI_Feature,$B18)</f>
      </c>
      <c r="E18" s="52">
        <f>COUNTIFS(WI_Feature,$B18,WI_Status,"Not Started")</f>
      </c>
      <c r="F18" s="52">
        <f>COUNTIFS(WI_Feature,$B18,WI_Status,"In Progress")</f>
      </c>
      <c r="G18" s="52">
        <f>COUNTIFS(WI_Feature,$B18,WI_Status,"Implemented")</f>
      </c>
      <c r="H18" s="52">
        <f>COUNTIFS(WI_Feature,$B18,WI_Status,"Committed")</f>
      </c>
      <c r="I18" s="52">
        <f>COUNTIFS(WI_Feature,$B18,WI_Status,"Pushed")</f>
      </c>
      <c r="J18" s="52">
        <f>COUNTIFS(WI_Feature,$B18,WI_Status,"Testing")</f>
      </c>
      <c r="K18" s="52">
        <f>COUNTIFS(WI_Feature,$B18,WI_Status,"Tested")</f>
      </c>
      <c r="L18" s="52">
        <f>COUNTIFS(WI_Feature,$B18,WI_Status,"Reviewed")</f>
      </c>
      <c r="M18" s="52">
        <f>COUNTIFS(WI_Feature,$B18,WI_Status,"Completed")</f>
      </c>
      <c r="N18" s="52">
        <f>COUNTIFS(WI_Feature,$B18,WI_Status,"Blocked")</f>
      </c>
      <c r="O18" s="52">
        <f>D18-SUM(E18:N18)</f>
      </c>
      <c r="P18" s="52">
        <f>SUMIF(WI_Feature,$B18,WI_Bugs)</f>
      </c>
      <c r="Q18" s="53">
        <f>IF(D18=0,0,M18/D18)</f>
      </c>
    </row>
    <row r="19" ht="26" customHeight="1" spans="1:17" x14ac:dyDescent="0.25">
      <c r="A19" s="50" t="s">
        <v>2437</v>
      </c>
      <c r="B19" s="51" t="s">
        <v>163</v>
      </c>
      <c r="C19" s="51" t="s">
        <v>161</v>
      </c>
      <c r="D19" s="52">
        <f>COUNTIF(WI_Feature,$B19)</f>
      </c>
      <c r="E19" s="52">
        <f>COUNTIFS(WI_Feature,$B19,WI_Status,"Not Started")</f>
      </c>
      <c r="F19" s="52">
        <f>COUNTIFS(WI_Feature,$B19,WI_Status,"In Progress")</f>
      </c>
      <c r="G19" s="52">
        <f>COUNTIFS(WI_Feature,$B19,WI_Status,"Implemented")</f>
      </c>
      <c r="H19" s="52">
        <f>COUNTIFS(WI_Feature,$B19,WI_Status,"Committed")</f>
      </c>
      <c r="I19" s="52">
        <f>COUNTIFS(WI_Feature,$B19,WI_Status,"Pushed")</f>
      </c>
      <c r="J19" s="52">
        <f>COUNTIFS(WI_Feature,$B19,WI_Status,"Testing")</f>
      </c>
      <c r="K19" s="52">
        <f>COUNTIFS(WI_Feature,$B19,WI_Status,"Tested")</f>
      </c>
      <c r="L19" s="52">
        <f>COUNTIFS(WI_Feature,$B19,WI_Status,"Reviewed")</f>
      </c>
      <c r="M19" s="52">
        <f>COUNTIFS(WI_Feature,$B19,WI_Status,"Completed")</f>
      </c>
      <c r="N19" s="52">
        <f>COUNTIFS(WI_Feature,$B19,WI_Status,"Blocked")</f>
      </c>
      <c r="O19" s="52">
        <f>D19-SUM(E19:N19)</f>
      </c>
      <c r="P19" s="52">
        <f>SUMIF(WI_Feature,$B19,WI_Bugs)</f>
      </c>
      <c r="Q19" s="53">
        <f>IF(D19=0,0,M19/D19)</f>
      </c>
    </row>
    <row r="20" ht="26" customHeight="1" spans="1:17" x14ac:dyDescent="0.25">
      <c r="A20" s="54" t="s">
        <v>2438</v>
      </c>
      <c r="B20" s="55" t="s">
        <v>164</v>
      </c>
      <c r="C20" s="55" t="s">
        <v>161</v>
      </c>
      <c r="D20" s="52">
        <f>COUNTIF(WI_Feature,$B20)</f>
      </c>
      <c r="E20" s="52">
        <f>COUNTIFS(WI_Feature,$B20,WI_Status,"Not Started")</f>
      </c>
      <c r="F20" s="52">
        <f>COUNTIFS(WI_Feature,$B20,WI_Status,"In Progress")</f>
      </c>
      <c r="G20" s="52">
        <f>COUNTIFS(WI_Feature,$B20,WI_Status,"Implemented")</f>
      </c>
      <c r="H20" s="52">
        <f>COUNTIFS(WI_Feature,$B20,WI_Status,"Committed")</f>
      </c>
      <c r="I20" s="52">
        <f>COUNTIFS(WI_Feature,$B20,WI_Status,"Pushed")</f>
      </c>
      <c r="J20" s="52">
        <f>COUNTIFS(WI_Feature,$B20,WI_Status,"Testing")</f>
      </c>
      <c r="K20" s="52">
        <f>COUNTIFS(WI_Feature,$B20,WI_Status,"Tested")</f>
      </c>
      <c r="L20" s="52">
        <f>COUNTIFS(WI_Feature,$B20,WI_Status,"Reviewed")</f>
      </c>
      <c r="M20" s="52">
        <f>COUNTIFS(WI_Feature,$B20,WI_Status,"Completed")</f>
      </c>
      <c r="N20" s="52">
        <f>COUNTIFS(WI_Feature,$B20,WI_Status,"Blocked")</f>
      </c>
      <c r="O20" s="52">
        <f>D20-SUM(E20:N20)</f>
      </c>
      <c r="P20" s="52">
        <f>SUMIF(WI_Feature,$B20,WI_Bugs)</f>
      </c>
      <c r="Q20" s="53">
        <f>IF(D20=0,0,M20/D20)</f>
      </c>
    </row>
    <row r="21" ht="26" customHeight="1" spans="1:17" x14ac:dyDescent="0.25">
      <c r="A21" s="50" t="s">
        <v>2439</v>
      </c>
      <c r="B21" s="51" t="s">
        <v>165</v>
      </c>
      <c r="C21" s="51" t="s">
        <v>161</v>
      </c>
      <c r="D21" s="52">
        <f>COUNTIF(WI_Feature,$B21)</f>
      </c>
      <c r="E21" s="52">
        <f>COUNTIFS(WI_Feature,$B21,WI_Status,"Not Started")</f>
      </c>
      <c r="F21" s="52">
        <f>COUNTIFS(WI_Feature,$B21,WI_Status,"In Progress")</f>
      </c>
      <c r="G21" s="52">
        <f>COUNTIFS(WI_Feature,$B21,WI_Status,"Implemented")</f>
      </c>
      <c r="H21" s="52">
        <f>COUNTIFS(WI_Feature,$B21,WI_Status,"Committed")</f>
      </c>
      <c r="I21" s="52">
        <f>COUNTIFS(WI_Feature,$B21,WI_Status,"Pushed")</f>
      </c>
      <c r="J21" s="52">
        <f>COUNTIFS(WI_Feature,$B21,WI_Status,"Testing")</f>
      </c>
      <c r="K21" s="52">
        <f>COUNTIFS(WI_Feature,$B21,WI_Status,"Tested")</f>
      </c>
      <c r="L21" s="52">
        <f>COUNTIFS(WI_Feature,$B21,WI_Status,"Reviewed")</f>
      </c>
      <c r="M21" s="52">
        <f>COUNTIFS(WI_Feature,$B21,WI_Status,"Completed")</f>
      </c>
      <c r="N21" s="52">
        <f>COUNTIFS(WI_Feature,$B21,WI_Status,"Blocked")</f>
      </c>
      <c r="O21" s="52">
        <f>D21-SUM(E21:N21)</f>
      </c>
      <c r="P21" s="52">
        <f>SUMIF(WI_Feature,$B21,WI_Bugs)</f>
      </c>
      <c r="Q21" s="53">
        <f>IF(D21=0,0,M21/D21)</f>
      </c>
    </row>
    <row r="22" ht="26" customHeight="1" spans="1:17" x14ac:dyDescent="0.25">
      <c r="A22" s="54" t="s">
        <v>1388</v>
      </c>
      <c r="B22" s="55" t="s">
        <v>166</v>
      </c>
      <c r="C22" s="55" t="s">
        <v>167</v>
      </c>
      <c r="D22" s="52">
        <f>COUNTIF(WI_Feature,$B22)</f>
      </c>
      <c r="E22" s="52">
        <f>COUNTIFS(WI_Feature,$B22,WI_Status,"Not Started")</f>
      </c>
      <c r="F22" s="52">
        <f>COUNTIFS(WI_Feature,$B22,WI_Status,"In Progress")</f>
      </c>
      <c r="G22" s="52">
        <f>COUNTIFS(WI_Feature,$B22,WI_Status,"Implemented")</f>
      </c>
      <c r="H22" s="52">
        <f>COUNTIFS(WI_Feature,$B22,WI_Status,"Committed")</f>
      </c>
      <c r="I22" s="52">
        <f>COUNTIFS(WI_Feature,$B22,WI_Status,"Pushed")</f>
      </c>
      <c r="J22" s="52">
        <f>COUNTIFS(WI_Feature,$B22,WI_Status,"Testing")</f>
      </c>
      <c r="K22" s="52">
        <f>COUNTIFS(WI_Feature,$B22,WI_Status,"Tested")</f>
      </c>
      <c r="L22" s="52">
        <f>COUNTIFS(WI_Feature,$B22,WI_Status,"Reviewed")</f>
      </c>
      <c r="M22" s="52">
        <f>COUNTIFS(WI_Feature,$B22,WI_Status,"Completed")</f>
      </c>
      <c r="N22" s="52">
        <f>COUNTIFS(WI_Feature,$B22,WI_Status,"Blocked")</f>
      </c>
      <c r="O22" s="52">
        <f>D22-SUM(E22:N22)</f>
      </c>
      <c r="P22" s="52">
        <f>SUMIF(WI_Feature,$B22,WI_Bugs)</f>
      </c>
      <c r="Q22" s="53">
        <f>IF(D22=0,0,M22/D22)</f>
      </c>
    </row>
    <row r="23" ht="26" customHeight="1" spans="1:17" x14ac:dyDescent="0.25">
      <c r="A23" s="50" t="s">
        <v>1456</v>
      </c>
      <c r="B23" s="51" t="s">
        <v>168</v>
      </c>
      <c r="C23" s="51" t="s">
        <v>167</v>
      </c>
      <c r="D23" s="52">
        <f>COUNTIF(WI_Feature,$B23)</f>
      </c>
      <c r="E23" s="52">
        <f>COUNTIFS(WI_Feature,$B23,WI_Status,"Not Started")</f>
      </c>
      <c r="F23" s="52">
        <f>COUNTIFS(WI_Feature,$B23,WI_Status,"In Progress")</f>
      </c>
      <c r="G23" s="52">
        <f>COUNTIFS(WI_Feature,$B23,WI_Status,"Implemented")</f>
      </c>
      <c r="H23" s="52">
        <f>COUNTIFS(WI_Feature,$B23,WI_Status,"Committed")</f>
      </c>
      <c r="I23" s="52">
        <f>COUNTIFS(WI_Feature,$B23,WI_Status,"Pushed")</f>
      </c>
      <c r="J23" s="52">
        <f>COUNTIFS(WI_Feature,$B23,WI_Status,"Testing")</f>
      </c>
      <c r="K23" s="52">
        <f>COUNTIFS(WI_Feature,$B23,WI_Status,"Tested")</f>
      </c>
      <c r="L23" s="52">
        <f>COUNTIFS(WI_Feature,$B23,WI_Status,"Reviewed")</f>
      </c>
      <c r="M23" s="52">
        <f>COUNTIFS(WI_Feature,$B23,WI_Status,"Completed")</f>
      </c>
      <c r="N23" s="52">
        <f>COUNTIFS(WI_Feature,$B23,WI_Status,"Blocked")</f>
      </c>
      <c r="O23" s="52">
        <f>D23-SUM(E23:N23)</f>
      </c>
      <c r="P23" s="52">
        <f>SUMIF(WI_Feature,$B23,WI_Bugs)</f>
      </c>
      <c r="Q23" s="53">
        <f>IF(D23=0,0,M23/D23)</f>
      </c>
    </row>
    <row r="24" ht="26" customHeight="1" spans="1:17" x14ac:dyDescent="0.25">
      <c r="A24" s="54" t="s">
        <v>2440</v>
      </c>
      <c r="B24" s="55" t="s">
        <v>169</v>
      </c>
      <c r="C24" s="55" t="s">
        <v>167</v>
      </c>
      <c r="D24" s="52">
        <f>COUNTIF(WI_Feature,$B24)</f>
      </c>
      <c r="E24" s="52">
        <f>COUNTIFS(WI_Feature,$B24,WI_Status,"Not Started")</f>
      </c>
      <c r="F24" s="52">
        <f>COUNTIFS(WI_Feature,$B24,WI_Status,"In Progress")</f>
      </c>
      <c r="G24" s="52">
        <f>COUNTIFS(WI_Feature,$B24,WI_Status,"Implemented")</f>
      </c>
      <c r="H24" s="52">
        <f>COUNTIFS(WI_Feature,$B24,WI_Status,"Committed")</f>
      </c>
      <c r="I24" s="52">
        <f>COUNTIFS(WI_Feature,$B24,WI_Status,"Pushed")</f>
      </c>
      <c r="J24" s="52">
        <f>COUNTIFS(WI_Feature,$B24,WI_Status,"Testing")</f>
      </c>
      <c r="K24" s="52">
        <f>COUNTIFS(WI_Feature,$B24,WI_Status,"Tested")</f>
      </c>
      <c r="L24" s="52">
        <f>COUNTIFS(WI_Feature,$B24,WI_Status,"Reviewed")</f>
      </c>
      <c r="M24" s="52">
        <f>COUNTIFS(WI_Feature,$B24,WI_Status,"Completed")</f>
      </c>
      <c r="N24" s="52">
        <f>COUNTIFS(WI_Feature,$B24,WI_Status,"Blocked")</f>
      </c>
      <c r="O24" s="52">
        <f>D24-SUM(E24:N24)</f>
      </c>
      <c r="P24" s="52">
        <f>SUMIF(WI_Feature,$B24,WI_Bugs)</f>
      </c>
      <c r="Q24" s="53">
        <f>IF(D24=0,0,M24/D24)</f>
      </c>
    </row>
    <row r="25" ht="26" customHeight="1" spans="1:17" x14ac:dyDescent="0.25">
      <c r="A25" s="50" t="s">
        <v>2441</v>
      </c>
      <c r="B25" s="51" t="s">
        <v>170</v>
      </c>
      <c r="C25" s="51" t="s">
        <v>167</v>
      </c>
      <c r="D25" s="52">
        <f>COUNTIF(WI_Feature,$B25)</f>
      </c>
      <c r="E25" s="52">
        <f>COUNTIFS(WI_Feature,$B25,WI_Status,"Not Started")</f>
      </c>
      <c r="F25" s="52">
        <f>COUNTIFS(WI_Feature,$B25,WI_Status,"In Progress")</f>
      </c>
      <c r="G25" s="52">
        <f>COUNTIFS(WI_Feature,$B25,WI_Status,"Implemented")</f>
      </c>
      <c r="H25" s="52">
        <f>COUNTIFS(WI_Feature,$B25,WI_Status,"Committed")</f>
      </c>
      <c r="I25" s="52">
        <f>COUNTIFS(WI_Feature,$B25,WI_Status,"Pushed")</f>
      </c>
      <c r="J25" s="52">
        <f>COUNTIFS(WI_Feature,$B25,WI_Status,"Testing")</f>
      </c>
      <c r="K25" s="52">
        <f>COUNTIFS(WI_Feature,$B25,WI_Status,"Tested")</f>
      </c>
      <c r="L25" s="52">
        <f>COUNTIFS(WI_Feature,$B25,WI_Status,"Reviewed")</f>
      </c>
      <c r="M25" s="52">
        <f>COUNTIFS(WI_Feature,$B25,WI_Status,"Completed")</f>
      </c>
      <c r="N25" s="52">
        <f>COUNTIFS(WI_Feature,$B25,WI_Status,"Blocked")</f>
      </c>
      <c r="O25" s="52">
        <f>D25-SUM(E25:N25)</f>
      </c>
      <c r="P25" s="52">
        <f>SUMIF(WI_Feature,$B25,WI_Bugs)</f>
      </c>
      <c r="Q25" s="53">
        <f>IF(D25=0,0,M25/D25)</f>
      </c>
    </row>
    <row r="26" ht="26" customHeight="1" spans="1:17" x14ac:dyDescent="0.25">
      <c r="A26" s="54" t="s">
        <v>2442</v>
      </c>
      <c r="B26" s="55" t="s">
        <v>171</v>
      </c>
      <c r="C26" s="55" t="s">
        <v>172</v>
      </c>
      <c r="D26" s="52">
        <f>COUNTIF(WI_Feature,$B26)</f>
      </c>
      <c r="E26" s="52">
        <f>COUNTIFS(WI_Feature,$B26,WI_Status,"Not Started")</f>
      </c>
      <c r="F26" s="52">
        <f>COUNTIFS(WI_Feature,$B26,WI_Status,"In Progress")</f>
      </c>
      <c r="G26" s="52">
        <f>COUNTIFS(WI_Feature,$B26,WI_Status,"Implemented")</f>
      </c>
      <c r="H26" s="52">
        <f>COUNTIFS(WI_Feature,$B26,WI_Status,"Committed")</f>
      </c>
      <c r="I26" s="52">
        <f>COUNTIFS(WI_Feature,$B26,WI_Status,"Pushed")</f>
      </c>
      <c r="J26" s="52">
        <f>COUNTIFS(WI_Feature,$B26,WI_Status,"Testing")</f>
      </c>
      <c r="K26" s="52">
        <f>COUNTIFS(WI_Feature,$B26,WI_Status,"Tested")</f>
      </c>
      <c r="L26" s="52">
        <f>COUNTIFS(WI_Feature,$B26,WI_Status,"Reviewed")</f>
      </c>
      <c r="M26" s="52">
        <f>COUNTIFS(WI_Feature,$B26,WI_Status,"Completed")</f>
      </c>
      <c r="N26" s="52">
        <f>COUNTIFS(WI_Feature,$B26,WI_Status,"Blocked")</f>
      </c>
      <c r="O26" s="52">
        <f>D26-SUM(E26:N26)</f>
      </c>
      <c r="P26" s="52">
        <f>SUMIF(WI_Feature,$B26,WI_Bugs)</f>
      </c>
      <c r="Q26" s="53">
        <f>IF(D26=0,0,M26/D26)</f>
      </c>
    </row>
    <row r="27" ht="26" customHeight="1" spans="1:17" x14ac:dyDescent="0.25">
      <c r="A27" s="50" t="s">
        <v>2443</v>
      </c>
      <c r="B27" s="51" t="s">
        <v>173</v>
      </c>
      <c r="C27" s="51" t="s">
        <v>172</v>
      </c>
      <c r="D27" s="52">
        <f>COUNTIF(WI_Feature,$B27)</f>
      </c>
      <c r="E27" s="52">
        <f>COUNTIFS(WI_Feature,$B27,WI_Status,"Not Started")</f>
      </c>
      <c r="F27" s="52">
        <f>COUNTIFS(WI_Feature,$B27,WI_Status,"In Progress")</f>
      </c>
      <c r="G27" s="52">
        <f>COUNTIFS(WI_Feature,$B27,WI_Status,"Implemented")</f>
      </c>
      <c r="H27" s="52">
        <f>COUNTIFS(WI_Feature,$B27,WI_Status,"Committed")</f>
      </c>
      <c r="I27" s="52">
        <f>COUNTIFS(WI_Feature,$B27,WI_Status,"Pushed")</f>
      </c>
      <c r="J27" s="52">
        <f>COUNTIFS(WI_Feature,$B27,WI_Status,"Testing")</f>
      </c>
      <c r="K27" s="52">
        <f>COUNTIFS(WI_Feature,$B27,WI_Status,"Tested")</f>
      </c>
      <c r="L27" s="52">
        <f>COUNTIFS(WI_Feature,$B27,WI_Status,"Reviewed")</f>
      </c>
      <c r="M27" s="52">
        <f>COUNTIFS(WI_Feature,$B27,WI_Status,"Completed")</f>
      </c>
      <c r="N27" s="52">
        <f>COUNTIFS(WI_Feature,$B27,WI_Status,"Blocked")</f>
      </c>
      <c r="O27" s="52">
        <f>D27-SUM(E27:N27)</f>
      </c>
      <c r="P27" s="52">
        <f>SUMIF(WI_Feature,$B27,WI_Bugs)</f>
      </c>
      <c r="Q27" s="53">
        <f>IF(D27=0,0,M27/D27)</f>
      </c>
    </row>
    <row r="28" ht="26" customHeight="1" spans="1:17" x14ac:dyDescent="0.25">
      <c r="A28" s="54" t="s">
        <v>2444</v>
      </c>
      <c r="B28" s="55" t="s">
        <v>174</v>
      </c>
      <c r="C28" s="55" t="s">
        <v>175</v>
      </c>
      <c r="D28" s="52">
        <f>COUNTIF(WI_Feature,$B28)</f>
      </c>
      <c r="E28" s="52">
        <f>COUNTIFS(WI_Feature,$B28,WI_Status,"Not Started")</f>
      </c>
      <c r="F28" s="52">
        <f>COUNTIFS(WI_Feature,$B28,WI_Status,"In Progress")</f>
      </c>
      <c r="G28" s="52">
        <f>COUNTIFS(WI_Feature,$B28,WI_Status,"Implemented")</f>
      </c>
      <c r="H28" s="52">
        <f>COUNTIFS(WI_Feature,$B28,WI_Status,"Committed")</f>
      </c>
      <c r="I28" s="52">
        <f>COUNTIFS(WI_Feature,$B28,WI_Status,"Pushed")</f>
      </c>
      <c r="J28" s="52">
        <f>COUNTIFS(WI_Feature,$B28,WI_Status,"Testing")</f>
      </c>
      <c r="K28" s="52">
        <f>COUNTIFS(WI_Feature,$B28,WI_Status,"Tested")</f>
      </c>
      <c r="L28" s="52">
        <f>COUNTIFS(WI_Feature,$B28,WI_Status,"Reviewed")</f>
      </c>
      <c r="M28" s="52">
        <f>COUNTIFS(WI_Feature,$B28,WI_Status,"Completed")</f>
      </c>
      <c r="N28" s="52">
        <f>COUNTIFS(WI_Feature,$B28,WI_Status,"Blocked")</f>
      </c>
      <c r="O28" s="52">
        <f>D28-SUM(E28:N28)</f>
      </c>
      <c r="P28" s="52">
        <f>SUMIF(WI_Feature,$B28,WI_Bugs)</f>
      </c>
      <c r="Q28" s="53">
        <f>IF(D28=0,0,M28/D28)</f>
      </c>
    </row>
    <row r="29" ht="26" customHeight="1" spans="1:17" x14ac:dyDescent="0.25">
      <c r="A29" s="50" t="s">
        <v>1749</v>
      </c>
      <c r="B29" s="51" t="s">
        <v>176</v>
      </c>
      <c r="C29" s="51" t="s">
        <v>175</v>
      </c>
      <c r="D29" s="52">
        <f>COUNTIF(WI_Feature,$B29)</f>
      </c>
      <c r="E29" s="52">
        <f>COUNTIFS(WI_Feature,$B29,WI_Status,"Not Started")</f>
      </c>
      <c r="F29" s="52">
        <f>COUNTIFS(WI_Feature,$B29,WI_Status,"In Progress")</f>
      </c>
      <c r="G29" s="52">
        <f>COUNTIFS(WI_Feature,$B29,WI_Status,"Implemented")</f>
      </c>
      <c r="H29" s="52">
        <f>COUNTIFS(WI_Feature,$B29,WI_Status,"Committed")</f>
      </c>
      <c r="I29" s="52">
        <f>COUNTIFS(WI_Feature,$B29,WI_Status,"Pushed")</f>
      </c>
      <c r="J29" s="52">
        <f>COUNTIFS(WI_Feature,$B29,WI_Status,"Testing")</f>
      </c>
      <c r="K29" s="52">
        <f>COUNTIFS(WI_Feature,$B29,WI_Status,"Tested")</f>
      </c>
      <c r="L29" s="52">
        <f>COUNTIFS(WI_Feature,$B29,WI_Status,"Reviewed")</f>
      </c>
      <c r="M29" s="52">
        <f>COUNTIFS(WI_Feature,$B29,WI_Status,"Completed")</f>
      </c>
      <c r="N29" s="52">
        <f>COUNTIFS(WI_Feature,$B29,WI_Status,"Blocked")</f>
      </c>
      <c r="O29" s="52">
        <f>D29-SUM(E29:N29)</f>
      </c>
      <c r="P29" s="52">
        <f>SUMIF(WI_Feature,$B29,WI_Bugs)</f>
      </c>
      <c r="Q29" s="53">
        <f>IF(D29=0,0,M29/D29)</f>
      </c>
    </row>
    <row r="30" ht="26" customHeight="1" spans="1:17" x14ac:dyDescent="0.25">
      <c r="A30" s="54" t="s">
        <v>2445</v>
      </c>
      <c r="B30" s="55" t="s">
        <v>177</v>
      </c>
      <c r="C30" s="55" t="s">
        <v>175</v>
      </c>
      <c r="D30" s="52">
        <f>COUNTIF(WI_Feature,$B30)</f>
      </c>
      <c r="E30" s="52">
        <f>COUNTIFS(WI_Feature,$B30,WI_Status,"Not Started")</f>
      </c>
      <c r="F30" s="52">
        <f>COUNTIFS(WI_Feature,$B30,WI_Status,"In Progress")</f>
      </c>
      <c r="G30" s="52">
        <f>COUNTIFS(WI_Feature,$B30,WI_Status,"Implemented")</f>
      </c>
      <c r="H30" s="52">
        <f>COUNTIFS(WI_Feature,$B30,WI_Status,"Committed")</f>
      </c>
      <c r="I30" s="52">
        <f>COUNTIFS(WI_Feature,$B30,WI_Status,"Pushed")</f>
      </c>
      <c r="J30" s="52">
        <f>COUNTIFS(WI_Feature,$B30,WI_Status,"Testing")</f>
      </c>
      <c r="K30" s="52">
        <f>COUNTIFS(WI_Feature,$B30,WI_Status,"Tested")</f>
      </c>
      <c r="L30" s="52">
        <f>COUNTIFS(WI_Feature,$B30,WI_Status,"Reviewed")</f>
      </c>
      <c r="M30" s="52">
        <f>COUNTIFS(WI_Feature,$B30,WI_Status,"Completed")</f>
      </c>
      <c r="N30" s="52">
        <f>COUNTIFS(WI_Feature,$B30,WI_Status,"Blocked")</f>
      </c>
      <c r="O30" s="52">
        <f>D30-SUM(E30:N30)</f>
      </c>
      <c r="P30" s="52">
        <f>SUMIF(WI_Feature,$B30,WI_Bugs)</f>
      </c>
      <c r="Q30" s="53">
        <f>IF(D30=0,0,M30/D30)</f>
      </c>
    </row>
    <row r="31" ht="26" customHeight="1" spans="1:17" x14ac:dyDescent="0.25">
      <c r="A31" s="50" t="s">
        <v>1866</v>
      </c>
      <c r="B31" s="51" t="s">
        <v>178</v>
      </c>
      <c r="C31" s="51" t="s">
        <v>179</v>
      </c>
      <c r="D31" s="52">
        <f>COUNTIF(WI_Feature,$B31)</f>
      </c>
      <c r="E31" s="52">
        <f>COUNTIFS(WI_Feature,$B31,WI_Status,"Not Started")</f>
      </c>
      <c r="F31" s="52">
        <f>COUNTIFS(WI_Feature,$B31,WI_Status,"In Progress")</f>
      </c>
      <c r="G31" s="52">
        <f>COUNTIFS(WI_Feature,$B31,WI_Status,"Implemented")</f>
      </c>
      <c r="H31" s="52">
        <f>COUNTIFS(WI_Feature,$B31,WI_Status,"Committed")</f>
      </c>
      <c r="I31" s="52">
        <f>COUNTIFS(WI_Feature,$B31,WI_Status,"Pushed")</f>
      </c>
      <c r="J31" s="52">
        <f>COUNTIFS(WI_Feature,$B31,WI_Status,"Testing")</f>
      </c>
      <c r="K31" s="52">
        <f>COUNTIFS(WI_Feature,$B31,WI_Status,"Tested")</f>
      </c>
      <c r="L31" s="52">
        <f>COUNTIFS(WI_Feature,$B31,WI_Status,"Reviewed")</f>
      </c>
      <c r="M31" s="52">
        <f>COUNTIFS(WI_Feature,$B31,WI_Status,"Completed")</f>
      </c>
      <c r="N31" s="52">
        <f>COUNTIFS(WI_Feature,$B31,WI_Status,"Blocked")</f>
      </c>
      <c r="O31" s="52">
        <f>D31-SUM(E31:N31)</f>
      </c>
      <c r="P31" s="52">
        <f>SUMIF(WI_Feature,$B31,WI_Bugs)</f>
      </c>
      <c r="Q31" s="53">
        <f>IF(D31=0,0,M31/D31)</f>
      </c>
    </row>
    <row r="32" ht="26" customHeight="1" spans="1:17" x14ac:dyDescent="0.25">
      <c r="A32" s="54" t="s">
        <v>2446</v>
      </c>
      <c r="B32" s="55" t="s">
        <v>180</v>
      </c>
      <c r="C32" s="55" t="s">
        <v>179</v>
      </c>
      <c r="D32" s="52">
        <f>COUNTIF(WI_Feature,$B32)</f>
      </c>
      <c r="E32" s="52">
        <f>COUNTIFS(WI_Feature,$B32,WI_Status,"Not Started")</f>
      </c>
      <c r="F32" s="52">
        <f>COUNTIFS(WI_Feature,$B32,WI_Status,"In Progress")</f>
      </c>
      <c r="G32" s="52">
        <f>COUNTIFS(WI_Feature,$B32,WI_Status,"Implemented")</f>
      </c>
      <c r="H32" s="52">
        <f>COUNTIFS(WI_Feature,$B32,WI_Status,"Committed")</f>
      </c>
      <c r="I32" s="52">
        <f>COUNTIFS(WI_Feature,$B32,WI_Status,"Pushed")</f>
      </c>
      <c r="J32" s="52">
        <f>COUNTIFS(WI_Feature,$B32,WI_Status,"Testing")</f>
      </c>
      <c r="K32" s="52">
        <f>COUNTIFS(WI_Feature,$B32,WI_Status,"Tested")</f>
      </c>
      <c r="L32" s="52">
        <f>COUNTIFS(WI_Feature,$B32,WI_Status,"Reviewed")</f>
      </c>
      <c r="M32" s="52">
        <f>COUNTIFS(WI_Feature,$B32,WI_Status,"Completed")</f>
      </c>
      <c r="N32" s="52">
        <f>COUNTIFS(WI_Feature,$B32,WI_Status,"Blocked")</f>
      </c>
      <c r="O32" s="52">
        <f>D32-SUM(E32:N32)</f>
      </c>
      <c r="P32" s="52">
        <f>SUMIF(WI_Feature,$B32,WI_Bugs)</f>
      </c>
      <c r="Q32" s="53">
        <f>IF(D32=0,0,M32/D32)</f>
      </c>
    </row>
    <row r="33" ht="26" customHeight="1" spans="1:17" x14ac:dyDescent="0.25">
      <c r="A33" s="50" t="s">
        <v>2447</v>
      </c>
      <c r="B33" s="51" t="s">
        <v>181</v>
      </c>
      <c r="C33" s="51" t="s">
        <v>179</v>
      </c>
      <c r="D33" s="52">
        <f>COUNTIF(WI_Feature,$B33)</f>
      </c>
      <c r="E33" s="52">
        <f>COUNTIFS(WI_Feature,$B33,WI_Status,"Not Started")</f>
      </c>
      <c r="F33" s="52">
        <f>COUNTIFS(WI_Feature,$B33,WI_Status,"In Progress")</f>
      </c>
      <c r="G33" s="52">
        <f>COUNTIFS(WI_Feature,$B33,WI_Status,"Implemented")</f>
      </c>
      <c r="H33" s="52">
        <f>COUNTIFS(WI_Feature,$B33,WI_Status,"Committed")</f>
      </c>
      <c r="I33" s="52">
        <f>COUNTIFS(WI_Feature,$B33,WI_Status,"Pushed")</f>
      </c>
      <c r="J33" s="52">
        <f>COUNTIFS(WI_Feature,$B33,WI_Status,"Testing")</f>
      </c>
      <c r="K33" s="52">
        <f>COUNTIFS(WI_Feature,$B33,WI_Status,"Tested")</f>
      </c>
      <c r="L33" s="52">
        <f>COUNTIFS(WI_Feature,$B33,WI_Status,"Reviewed")</f>
      </c>
      <c r="M33" s="52">
        <f>COUNTIFS(WI_Feature,$B33,WI_Status,"Completed")</f>
      </c>
      <c r="N33" s="52">
        <f>COUNTIFS(WI_Feature,$B33,WI_Status,"Blocked")</f>
      </c>
      <c r="O33" s="52">
        <f>D33-SUM(E33:N33)</f>
      </c>
      <c r="P33" s="52">
        <f>SUMIF(WI_Feature,$B33,WI_Bugs)</f>
      </c>
      <c r="Q33" s="53">
        <f>IF(D33=0,0,M33/D33)</f>
      </c>
    </row>
    <row r="34" ht="26" customHeight="1" spans="1:17" x14ac:dyDescent="0.25">
      <c r="A34" s="54" t="s">
        <v>2448</v>
      </c>
      <c r="B34" s="55" t="s">
        <v>182</v>
      </c>
      <c r="C34" s="55" t="s">
        <v>179</v>
      </c>
      <c r="D34" s="52">
        <f>COUNTIF(WI_Feature,$B34)</f>
      </c>
      <c r="E34" s="52">
        <f>COUNTIFS(WI_Feature,$B34,WI_Status,"Not Started")</f>
      </c>
      <c r="F34" s="52">
        <f>COUNTIFS(WI_Feature,$B34,WI_Status,"In Progress")</f>
      </c>
      <c r="G34" s="52">
        <f>COUNTIFS(WI_Feature,$B34,WI_Status,"Implemented")</f>
      </c>
      <c r="H34" s="52">
        <f>COUNTIFS(WI_Feature,$B34,WI_Status,"Committed")</f>
      </c>
      <c r="I34" s="52">
        <f>COUNTIFS(WI_Feature,$B34,WI_Status,"Pushed")</f>
      </c>
      <c r="J34" s="52">
        <f>COUNTIFS(WI_Feature,$B34,WI_Status,"Testing")</f>
      </c>
      <c r="K34" s="52">
        <f>COUNTIFS(WI_Feature,$B34,WI_Status,"Tested")</f>
      </c>
      <c r="L34" s="52">
        <f>COUNTIFS(WI_Feature,$B34,WI_Status,"Reviewed")</f>
      </c>
      <c r="M34" s="52">
        <f>COUNTIFS(WI_Feature,$B34,WI_Status,"Completed")</f>
      </c>
      <c r="N34" s="52">
        <f>COUNTIFS(WI_Feature,$B34,WI_Status,"Blocked")</f>
      </c>
      <c r="O34" s="52">
        <f>D34-SUM(E34:N34)</f>
      </c>
      <c r="P34" s="52">
        <f>SUMIF(WI_Feature,$B34,WI_Bugs)</f>
      </c>
      <c r="Q34" s="53">
        <f>IF(D34=0,0,M34/D34)</f>
      </c>
    </row>
    <row r="35" ht="26" customHeight="1" spans="1:17" x14ac:dyDescent="0.25">
      <c r="A35" s="50" t="s">
        <v>2449</v>
      </c>
      <c r="B35" s="51" t="s">
        <v>183</v>
      </c>
      <c r="C35" s="51" t="s">
        <v>179</v>
      </c>
      <c r="D35" s="52">
        <f>COUNTIF(WI_Feature,$B35)</f>
      </c>
      <c r="E35" s="52">
        <f>COUNTIFS(WI_Feature,$B35,WI_Status,"Not Started")</f>
      </c>
      <c r="F35" s="52">
        <f>COUNTIFS(WI_Feature,$B35,WI_Status,"In Progress")</f>
      </c>
      <c r="G35" s="52">
        <f>COUNTIFS(WI_Feature,$B35,WI_Status,"Implemented")</f>
      </c>
      <c r="H35" s="52">
        <f>COUNTIFS(WI_Feature,$B35,WI_Status,"Committed")</f>
      </c>
      <c r="I35" s="52">
        <f>COUNTIFS(WI_Feature,$B35,WI_Status,"Pushed")</f>
      </c>
      <c r="J35" s="52">
        <f>COUNTIFS(WI_Feature,$B35,WI_Status,"Testing")</f>
      </c>
      <c r="K35" s="52">
        <f>COUNTIFS(WI_Feature,$B35,WI_Status,"Tested")</f>
      </c>
      <c r="L35" s="52">
        <f>COUNTIFS(WI_Feature,$B35,WI_Status,"Reviewed")</f>
      </c>
      <c r="M35" s="52">
        <f>COUNTIFS(WI_Feature,$B35,WI_Status,"Completed")</f>
      </c>
      <c r="N35" s="52">
        <f>COUNTIFS(WI_Feature,$B35,WI_Status,"Blocked")</f>
      </c>
      <c r="O35" s="52">
        <f>D35-SUM(E35:N35)</f>
      </c>
      <c r="P35" s="52">
        <f>SUMIF(WI_Feature,$B35,WI_Bugs)</f>
      </c>
      <c r="Q35" s="53">
        <f>IF(D35=0,0,M35/D35)</f>
      </c>
    </row>
    <row r="36" ht="26" customHeight="1" spans="1:17" x14ac:dyDescent="0.25">
      <c r="A36" s="54" t="s">
        <v>2118</v>
      </c>
      <c r="B36" s="55" t="s">
        <v>184</v>
      </c>
      <c r="C36" s="55" t="s">
        <v>185</v>
      </c>
      <c r="D36" s="52">
        <f>COUNTIF(WI_Feature,$B36)</f>
      </c>
      <c r="E36" s="52">
        <f>COUNTIFS(WI_Feature,$B36,WI_Status,"Not Started")</f>
      </c>
      <c r="F36" s="52">
        <f>COUNTIFS(WI_Feature,$B36,WI_Status,"In Progress")</f>
      </c>
      <c r="G36" s="52">
        <f>COUNTIFS(WI_Feature,$B36,WI_Status,"Implemented")</f>
      </c>
      <c r="H36" s="52">
        <f>COUNTIFS(WI_Feature,$B36,WI_Status,"Committed")</f>
      </c>
      <c r="I36" s="52">
        <f>COUNTIFS(WI_Feature,$B36,WI_Status,"Pushed")</f>
      </c>
      <c r="J36" s="52">
        <f>COUNTIFS(WI_Feature,$B36,WI_Status,"Testing")</f>
      </c>
      <c r="K36" s="52">
        <f>COUNTIFS(WI_Feature,$B36,WI_Status,"Tested")</f>
      </c>
      <c r="L36" s="52">
        <f>COUNTIFS(WI_Feature,$B36,WI_Status,"Reviewed")</f>
      </c>
      <c r="M36" s="52">
        <f>COUNTIFS(WI_Feature,$B36,WI_Status,"Completed")</f>
      </c>
      <c r="N36" s="52">
        <f>COUNTIFS(WI_Feature,$B36,WI_Status,"Blocked")</f>
      </c>
      <c r="O36" s="52">
        <f>D36-SUM(E36:N36)</f>
      </c>
      <c r="P36" s="52">
        <f>SUMIF(WI_Feature,$B36,WI_Bugs)</f>
      </c>
      <c r="Q36" s="53">
        <f>IF(D36=0,0,M36/D36)</f>
      </c>
    </row>
    <row r="37" ht="26" customHeight="1" spans="1:17" x14ac:dyDescent="0.25">
      <c r="A37" s="50" t="s">
        <v>2450</v>
      </c>
      <c r="B37" s="51" t="s">
        <v>186</v>
      </c>
      <c r="C37" s="51" t="s">
        <v>185</v>
      </c>
      <c r="D37" s="52">
        <f>COUNTIF(WI_Feature,$B37)</f>
      </c>
      <c r="E37" s="52">
        <f>COUNTIFS(WI_Feature,$B37,WI_Status,"Not Started")</f>
      </c>
      <c r="F37" s="52">
        <f>COUNTIFS(WI_Feature,$B37,WI_Status,"In Progress")</f>
      </c>
      <c r="G37" s="52">
        <f>COUNTIFS(WI_Feature,$B37,WI_Status,"Implemented")</f>
      </c>
      <c r="H37" s="52">
        <f>COUNTIFS(WI_Feature,$B37,WI_Status,"Committed")</f>
      </c>
      <c r="I37" s="52">
        <f>COUNTIFS(WI_Feature,$B37,WI_Status,"Pushed")</f>
      </c>
      <c r="J37" s="52">
        <f>COUNTIFS(WI_Feature,$B37,WI_Status,"Testing")</f>
      </c>
      <c r="K37" s="52">
        <f>COUNTIFS(WI_Feature,$B37,WI_Status,"Tested")</f>
      </c>
      <c r="L37" s="52">
        <f>COUNTIFS(WI_Feature,$B37,WI_Status,"Reviewed")</f>
      </c>
      <c r="M37" s="52">
        <f>COUNTIFS(WI_Feature,$B37,WI_Status,"Completed")</f>
      </c>
      <c r="N37" s="52">
        <f>COUNTIFS(WI_Feature,$B37,WI_Status,"Blocked")</f>
      </c>
      <c r="O37" s="52">
        <f>D37-SUM(E37:N37)</f>
      </c>
      <c r="P37" s="52">
        <f>SUMIF(WI_Feature,$B37,WI_Bugs)</f>
      </c>
      <c r="Q37" s="53">
        <f>IF(D37=0,0,M37/D37)</f>
      </c>
    </row>
    <row r="38" ht="26" customHeight="1" spans="1:17" x14ac:dyDescent="0.25">
      <c r="A38" s="54" t="s">
        <v>2451</v>
      </c>
      <c r="B38" s="55" t="s">
        <v>187</v>
      </c>
      <c r="C38" s="55" t="s">
        <v>185</v>
      </c>
      <c r="D38" s="52">
        <f>COUNTIF(WI_Feature,$B38)</f>
      </c>
      <c r="E38" s="52">
        <f>COUNTIFS(WI_Feature,$B38,WI_Status,"Not Started")</f>
      </c>
      <c r="F38" s="52">
        <f>COUNTIFS(WI_Feature,$B38,WI_Status,"In Progress")</f>
      </c>
      <c r="G38" s="52">
        <f>COUNTIFS(WI_Feature,$B38,WI_Status,"Implemented")</f>
      </c>
      <c r="H38" s="52">
        <f>COUNTIFS(WI_Feature,$B38,WI_Status,"Committed")</f>
      </c>
      <c r="I38" s="52">
        <f>COUNTIFS(WI_Feature,$B38,WI_Status,"Pushed")</f>
      </c>
      <c r="J38" s="52">
        <f>COUNTIFS(WI_Feature,$B38,WI_Status,"Testing")</f>
      </c>
      <c r="K38" s="52">
        <f>COUNTIFS(WI_Feature,$B38,WI_Status,"Tested")</f>
      </c>
      <c r="L38" s="52">
        <f>COUNTIFS(WI_Feature,$B38,WI_Status,"Reviewed")</f>
      </c>
      <c r="M38" s="52">
        <f>COUNTIFS(WI_Feature,$B38,WI_Status,"Completed")</f>
      </c>
      <c r="N38" s="52">
        <f>COUNTIFS(WI_Feature,$B38,WI_Status,"Blocked")</f>
      </c>
      <c r="O38" s="52">
        <f>D38-SUM(E38:N38)</f>
      </c>
      <c r="P38" s="52">
        <f>SUMIF(WI_Feature,$B38,WI_Bugs)</f>
      </c>
      <c r="Q38" s="53">
        <f>IF(D38=0,0,M38/D38)</f>
      </c>
    </row>
    <row r="39" ht="26" customHeight="1" spans="1:17" x14ac:dyDescent="0.25">
      <c r="A39" s="50" t="s">
        <v>2452</v>
      </c>
      <c r="B39" s="51" t="s">
        <v>188</v>
      </c>
      <c r="C39" s="51" t="s">
        <v>185</v>
      </c>
      <c r="D39" s="52">
        <f>COUNTIF(WI_Feature,$B39)</f>
      </c>
      <c r="E39" s="52">
        <f>COUNTIFS(WI_Feature,$B39,WI_Status,"Not Started")</f>
      </c>
      <c r="F39" s="52">
        <f>COUNTIFS(WI_Feature,$B39,WI_Status,"In Progress")</f>
      </c>
      <c r="G39" s="52">
        <f>COUNTIFS(WI_Feature,$B39,WI_Status,"Implemented")</f>
      </c>
      <c r="H39" s="52">
        <f>COUNTIFS(WI_Feature,$B39,WI_Status,"Committed")</f>
      </c>
      <c r="I39" s="52">
        <f>COUNTIFS(WI_Feature,$B39,WI_Status,"Pushed")</f>
      </c>
      <c r="J39" s="52">
        <f>COUNTIFS(WI_Feature,$B39,WI_Status,"Testing")</f>
      </c>
      <c r="K39" s="52">
        <f>COUNTIFS(WI_Feature,$B39,WI_Status,"Tested")</f>
      </c>
      <c r="L39" s="52">
        <f>COUNTIFS(WI_Feature,$B39,WI_Status,"Reviewed")</f>
      </c>
      <c r="M39" s="52">
        <f>COUNTIFS(WI_Feature,$B39,WI_Status,"Completed")</f>
      </c>
      <c r="N39" s="52">
        <f>COUNTIFS(WI_Feature,$B39,WI_Status,"Blocked")</f>
      </c>
      <c r="O39" s="52">
        <f>D39-SUM(E39:N39)</f>
      </c>
      <c r="P39" s="52">
        <f>SUMIF(WI_Feature,$B39,WI_Bugs)</f>
      </c>
      <c r="Q39" s="53">
        <f>IF(D39=0,0,M39/D39)</f>
      </c>
    </row>
    <row r="40" ht="26" customHeight="1" spans="1:17" x14ac:dyDescent="0.25">
      <c r="A40" s="54" t="s">
        <v>2453</v>
      </c>
      <c r="B40" s="55" t="s">
        <v>189</v>
      </c>
      <c r="C40" s="55" t="s">
        <v>190</v>
      </c>
      <c r="D40" s="52">
        <f>COUNTIF(WI_Feature,$B40)</f>
      </c>
      <c r="E40" s="52">
        <f>COUNTIFS(WI_Feature,$B40,WI_Status,"Not Started")</f>
      </c>
      <c r="F40" s="52">
        <f>COUNTIFS(WI_Feature,$B40,WI_Status,"In Progress")</f>
      </c>
      <c r="G40" s="52">
        <f>COUNTIFS(WI_Feature,$B40,WI_Status,"Implemented")</f>
      </c>
      <c r="H40" s="52">
        <f>COUNTIFS(WI_Feature,$B40,WI_Status,"Committed")</f>
      </c>
      <c r="I40" s="52">
        <f>COUNTIFS(WI_Feature,$B40,WI_Status,"Pushed")</f>
      </c>
      <c r="J40" s="52">
        <f>COUNTIFS(WI_Feature,$B40,WI_Status,"Testing")</f>
      </c>
      <c r="K40" s="52">
        <f>COUNTIFS(WI_Feature,$B40,WI_Status,"Tested")</f>
      </c>
      <c r="L40" s="52">
        <f>COUNTIFS(WI_Feature,$B40,WI_Status,"Reviewed")</f>
      </c>
      <c r="M40" s="52">
        <f>COUNTIFS(WI_Feature,$B40,WI_Status,"Completed")</f>
      </c>
      <c r="N40" s="52">
        <f>COUNTIFS(WI_Feature,$B40,WI_Status,"Blocked")</f>
      </c>
      <c r="O40" s="52">
        <f>D40-SUM(E40:N40)</f>
      </c>
      <c r="P40" s="52">
        <f>SUMIF(WI_Feature,$B40,WI_Bugs)</f>
      </c>
      <c r="Q40" s="53">
        <f>IF(D40=0,0,M40/D40)</f>
      </c>
    </row>
    <row r="41" ht="26" customHeight="1" spans="1:17" x14ac:dyDescent="0.25">
      <c r="A41" s="50" t="s">
        <v>2335</v>
      </c>
      <c r="B41" s="51" t="s">
        <v>191</v>
      </c>
      <c r="C41" s="51" t="s">
        <v>192</v>
      </c>
      <c r="D41" s="52">
        <f>COUNTIF(WI_Feature,$B41)</f>
      </c>
      <c r="E41" s="52">
        <f>COUNTIFS(WI_Feature,$B41,WI_Status,"Not Started")</f>
      </c>
      <c r="F41" s="52">
        <f>COUNTIFS(WI_Feature,$B41,WI_Status,"In Progress")</f>
      </c>
      <c r="G41" s="52">
        <f>COUNTIFS(WI_Feature,$B41,WI_Status,"Implemented")</f>
      </c>
      <c r="H41" s="52">
        <f>COUNTIFS(WI_Feature,$B41,WI_Status,"Committed")</f>
      </c>
      <c r="I41" s="52">
        <f>COUNTIFS(WI_Feature,$B41,WI_Status,"Pushed")</f>
      </c>
      <c r="J41" s="52">
        <f>COUNTIFS(WI_Feature,$B41,WI_Status,"Testing")</f>
      </c>
      <c r="K41" s="52">
        <f>COUNTIFS(WI_Feature,$B41,WI_Status,"Tested")</f>
      </c>
      <c r="L41" s="52">
        <f>COUNTIFS(WI_Feature,$B41,WI_Status,"Reviewed")</f>
      </c>
      <c r="M41" s="52">
        <f>COUNTIFS(WI_Feature,$B41,WI_Status,"Completed")</f>
      </c>
      <c r="N41" s="52">
        <f>COUNTIFS(WI_Feature,$B41,WI_Status,"Blocked")</f>
      </c>
      <c r="O41" s="52">
        <f>D41-SUM(E41:N41)</f>
      </c>
      <c r="P41" s="52">
        <f>SUMIF(WI_Feature,$B41,WI_Bugs)</f>
      </c>
      <c r="Q41" s="53">
        <f>IF(D41=0,0,M41/D41)</f>
      </c>
    </row>
    <row r="42" ht="26" customHeight="1" spans="1:17" x14ac:dyDescent="0.25">
      <c r="A42" s="54" t="s">
        <v>2405</v>
      </c>
      <c r="B42" s="55" t="s">
        <v>193</v>
      </c>
      <c r="C42" s="55" t="s">
        <v>194</v>
      </c>
      <c r="D42" s="52">
        <f>COUNTIF(WI_Feature,$B42)</f>
      </c>
      <c r="E42" s="52">
        <f>COUNTIFS(WI_Feature,$B42,WI_Status,"Not Started")</f>
      </c>
      <c r="F42" s="52">
        <f>COUNTIFS(WI_Feature,$B42,WI_Status,"In Progress")</f>
      </c>
      <c r="G42" s="52">
        <f>COUNTIFS(WI_Feature,$B42,WI_Status,"Implemented")</f>
      </c>
      <c r="H42" s="52">
        <f>COUNTIFS(WI_Feature,$B42,WI_Status,"Committed")</f>
      </c>
      <c r="I42" s="52">
        <f>COUNTIFS(WI_Feature,$B42,WI_Status,"Pushed")</f>
      </c>
      <c r="J42" s="52">
        <f>COUNTIFS(WI_Feature,$B42,WI_Status,"Testing")</f>
      </c>
      <c r="K42" s="52">
        <f>COUNTIFS(WI_Feature,$B42,WI_Status,"Tested")</f>
      </c>
      <c r="L42" s="52">
        <f>COUNTIFS(WI_Feature,$B42,WI_Status,"Reviewed")</f>
      </c>
      <c r="M42" s="52">
        <f>COUNTIFS(WI_Feature,$B42,WI_Status,"Completed")</f>
      </c>
      <c r="N42" s="52">
        <f>COUNTIFS(WI_Feature,$B42,WI_Status,"Blocked")</f>
      </c>
      <c r="O42" s="52">
        <f>D42-SUM(E42:N42)</f>
      </c>
      <c r="P42" s="52">
        <f>SUMIF(WI_Feature,$B42,WI_Bugs)</f>
      </c>
      <c r="Q42" s="53">
        <f>IF(D42=0,0,M42/D42)</f>
      </c>
    </row>
    <row r="43" ht="26" customHeight="1" spans="1:17" x14ac:dyDescent="0.25">
      <c r="A43" s="50" t="s">
        <v>2454</v>
      </c>
      <c r="B43" s="51" t="s">
        <v>195</v>
      </c>
      <c r="C43" s="51" t="s">
        <v>194</v>
      </c>
      <c r="D43" s="52">
        <f>COUNTIF(WI_Feature,$B43)</f>
      </c>
      <c r="E43" s="52">
        <f>COUNTIFS(WI_Feature,$B43,WI_Status,"Not Started")</f>
      </c>
      <c r="F43" s="52">
        <f>COUNTIFS(WI_Feature,$B43,WI_Status,"In Progress")</f>
      </c>
      <c r="G43" s="52">
        <f>COUNTIFS(WI_Feature,$B43,WI_Status,"Implemented")</f>
      </c>
      <c r="H43" s="52">
        <f>COUNTIFS(WI_Feature,$B43,WI_Status,"Committed")</f>
      </c>
      <c r="I43" s="52">
        <f>COUNTIFS(WI_Feature,$B43,WI_Status,"Pushed")</f>
      </c>
      <c r="J43" s="52">
        <f>COUNTIFS(WI_Feature,$B43,WI_Status,"Testing")</f>
      </c>
      <c r="K43" s="52">
        <f>COUNTIFS(WI_Feature,$B43,WI_Status,"Tested")</f>
      </c>
      <c r="L43" s="52">
        <f>COUNTIFS(WI_Feature,$B43,WI_Status,"Reviewed")</f>
      </c>
      <c r="M43" s="52">
        <f>COUNTIFS(WI_Feature,$B43,WI_Status,"Completed")</f>
      </c>
      <c r="N43" s="52">
        <f>COUNTIFS(WI_Feature,$B43,WI_Status,"Blocked")</f>
      </c>
      <c r="O43" s="52">
        <f>D43-SUM(E43:N43)</f>
      </c>
      <c r="P43" s="52">
        <f>SUMIF(WI_Feature,$B43,WI_Bugs)</f>
      </c>
      <c r="Q43" s="53">
        <f>IF(D43=0,0,M43/D43)</f>
      </c>
    </row>
    <row r="44" ht="22" customHeight="1" spans="1:17" x14ac:dyDescent="0.25">
      <c r="A44" s="56" t="s">
        <v>2455</v>
      </c>
      <c r="B44" s="56" t="s">
        <v>2456</v>
      </c>
      <c r="C44" s="56" t="s">
        <v>46</v>
      </c>
      <c r="D44" s="57">
        <f>SUM(D5:D43)</f>
      </c>
      <c r="E44" s="57">
        <f>SUM(E5:E43)</f>
      </c>
      <c r="F44" s="57">
        <f>SUM(F5:F43)</f>
      </c>
      <c r="G44" s="57">
        <f>SUM(G5:G43)</f>
      </c>
      <c r="H44" s="57">
        <f>SUM(H5:H43)</f>
      </c>
      <c r="I44" s="57">
        <f>SUM(I5:I43)</f>
      </c>
      <c r="J44" s="57">
        <f>SUM(J5:J43)</f>
      </c>
      <c r="K44" s="57">
        <f>SUM(K5:K43)</f>
      </c>
      <c r="L44" s="57">
        <f>SUM(L5:L43)</f>
      </c>
      <c r="M44" s="57">
        <f>SUM(M5:M43)</f>
      </c>
      <c r="N44" s="57">
        <f>SUM(N5:N43)</f>
      </c>
      <c r="O44" s="57">
        <f>SUM(O5:O43)</f>
      </c>
      <c r="P44" s="57">
        <f>SUM(P5:P43)</f>
      </c>
      <c r="Q44" s="58">
        <f>IF(D44=0,0,M44/D44)</f>
      </c>
    </row>
  </sheetData>
  <sheetProtection sheet="1" sort="0" autoFilter="0"/>
  <autoFilter ref="A4:Q43"/>
  <mergeCells count="2">
    <mergeCell ref="A1:Q1"/>
    <mergeCell ref="A2:Q2"/>
  </mergeCells>
  <conditionalFormatting sqref="Q5:Q43">
    <cfRule type="dataBar" priority="1">
      <dataBar>
        <cfvo type="num" val="0"/>
        <cfvo type="num" val="1"/>
        <color rgb="FF2E8B57"/>
      </dataBar>
      <extLst>
        <ext xmlns:x14="http://schemas.microsoft.com/office/spreadsheetml/2009/9/main" uri="{B025F937-C7B1-47D3-B67F-A62EFF666E3E}">
          <x14:id>{196ED67B-48B6-4B02-BF52-9B55F2B5B3F7}</x14:id>
        </ext>
      </extLst>
    </cfRule>
  </conditionalFormatting>
  <conditionalFormatting sqref="N5:N43">
    <cfRule type="cellIs" dxfId="25" priority="2" operator="greaterThan">
      <formula>0</formula>
    </cfRule>
  </conditionalFormatting>
  <conditionalFormatting sqref="P5:P43">
    <cfRule type="cellIs" dxfId="26" priority="3" operator="greater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6ED67B-48B6-4B02-BF52-9B55F2B5B3F7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Q5:Q43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7F5F"/>
  </sheetPr>
  <dimension ref="A1:N460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10" customWidth="1"/>
    <col min="3" max="3" width="15" customWidth="1"/>
    <col min="4" max="4" width="32" customWidth="1"/>
    <col min="5" max="5" width="58" customWidth="1"/>
    <col min="6" max="6" width="10" customWidth="1"/>
    <col min="7" max="7" width="11" customWidth="1"/>
    <col min="8" max="8" width="14" customWidth="1"/>
    <col min="9" max="9" width="10" customWidth="1"/>
    <col min="12" max="12" width="10" customWidth="1"/>
    <col min="13" max="13" width="26" customWidth="1"/>
    <col min="14" max="14" width="44" customWidth="1"/>
  </cols>
  <sheetData>
    <row r="1" ht="26" customHeight="1" spans="1:14" x14ac:dyDescent="0.25">
      <c r="A1" s="33" t="s">
        <v>2457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ht="18" customHeight="1" spans="1:14" x14ac:dyDescent="0.25">
      <c r="A2" s="34" t="s">
        <v>2458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ht="16" customHeight="1" spans="1:14" x14ac:dyDescent="0.25">
      <c r="A3" s="59" t="s">
        <v>2459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</row>
    <row r="4" ht="32" customHeight="1" spans="1:14" x14ac:dyDescent="0.25">
      <c r="A4" s="37" t="s">
        <v>2460</v>
      </c>
      <c r="B4" s="37" t="s">
        <v>76</v>
      </c>
      <c r="C4" s="37" t="s">
        <v>209</v>
      </c>
      <c r="D4" s="37" t="s">
        <v>138</v>
      </c>
      <c r="E4" s="37" t="s">
        <v>212</v>
      </c>
      <c r="F4" s="37" t="s">
        <v>2461</v>
      </c>
      <c r="G4" s="37" t="s">
        <v>28</v>
      </c>
      <c r="H4" s="37" t="s">
        <v>63</v>
      </c>
      <c r="I4" s="37" t="s">
        <v>52</v>
      </c>
      <c r="J4" s="37" t="s">
        <v>54</v>
      </c>
      <c r="K4" s="37" t="s">
        <v>2462</v>
      </c>
      <c r="L4" s="37" t="s">
        <v>58</v>
      </c>
      <c r="M4" s="37" t="s">
        <v>2463</v>
      </c>
      <c r="N4" s="37" t="s">
        <v>225</v>
      </c>
    </row>
    <row r="5" ht="15" customHeight="1" spans="1:14" x14ac:dyDescent="0.25">
      <c r="A5" s="60" t="s">
        <v>46</v>
      </c>
      <c r="B5" s="61" t="s">
        <v>80</v>
      </c>
      <c r="C5" s="62" t="s">
        <v>227</v>
      </c>
      <c r="D5" s="61" t="s">
        <v>144</v>
      </c>
      <c r="E5" s="61" t="s">
        <v>230</v>
      </c>
      <c r="F5" s="63" t="s">
        <v>234</v>
      </c>
      <c r="G5" s="63" t="s">
        <v>234</v>
      </c>
      <c r="H5" s="63" t="s">
        <v>66</v>
      </c>
      <c r="I5" s="63" t="s">
        <v>97</v>
      </c>
      <c r="J5" s="63" t="s">
        <v>234</v>
      </c>
      <c r="K5" s="63" t="s">
        <v>113</v>
      </c>
      <c r="L5" s="63" t="s">
        <v>234</v>
      </c>
      <c r="M5" s="61" t="s">
        <v>46</v>
      </c>
      <c r="N5" s="61" t="s">
        <v>46</v>
      </c>
    </row>
    <row r="6" ht="15" customHeight="1" spans="1:14" x14ac:dyDescent="0.25">
      <c r="A6" s="64" t="s">
        <v>46</v>
      </c>
      <c r="B6" s="65" t="s">
        <v>80</v>
      </c>
      <c r="C6" s="66" t="s">
        <v>235</v>
      </c>
      <c r="D6" s="65" t="s">
        <v>144</v>
      </c>
      <c r="E6" s="65" t="s">
        <v>236</v>
      </c>
      <c r="F6" s="67" t="s">
        <v>234</v>
      </c>
      <c r="G6" s="67" t="s">
        <v>234</v>
      </c>
      <c r="H6" s="67" t="s">
        <v>66</v>
      </c>
      <c r="I6" s="67" t="s">
        <v>97</v>
      </c>
      <c r="J6" s="67" t="s">
        <v>234</v>
      </c>
      <c r="K6" s="67" t="s">
        <v>113</v>
      </c>
      <c r="L6" s="67" t="s">
        <v>234</v>
      </c>
      <c r="M6" s="65" t="s">
        <v>46</v>
      </c>
      <c r="N6" s="65" t="s">
        <v>46</v>
      </c>
    </row>
    <row r="7" ht="15" customHeight="1" spans="1:14" x14ac:dyDescent="0.25">
      <c r="A7" s="60" t="s">
        <v>46</v>
      </c>
      <c r="B7" s="61" t="s">
        <v>80</v>
      </c>
      <c r="C7" s="62" t="s">
        <v>243</v>
      </c>
      <c r="D7" s="61" t="s">
        <v>144</v>
      </c>
      <c r="E7" s="61" t="s">
        <v>244</v>
      </c>
      <c r="F7" s="63" t="s">
        <v>234</v>
      </c>
      <c r="G7" s="63" t="s">
        <v>234</v>
      </c>
      <c r="H7" s="63" t="s">
        <v>66</v>
      </c>
      <c r="I7" s="63" t="s">
        <v>97</v>
      </c>
      <c r="J7" s="63" t="s">
        <v>234</v>
      </c>
      <c r="K7" s="63" t="s">
        <v>113</v>
      </c>
      <c r="L7" s="63" t="s">
        <v>234</v>
      </c>
      <c r="M7" s="61" t="s">
        <v>46</v>
      </c>
      <c r="N7" s="61" t="s">
        <v>46</v>
      </c>
    </row>
    <row r="8" ht="15" customHeight="1" spans="1:14" x14ac:dyDescent="0.25">
      <c r="A8" s="64" t="s">
        <v>46</v>
      </c>
      <c r="B8" s="65" t="s">
        <v>80</v>
      </c>
      <c r="C8" s="66" t="s">
        <v>248</v>
      </c>
      <c r="D8" s="65" t="s">
        <v>144</v>
      </c>
      <c r="E8" s="65" t="s">
        <v>249</v>
      </c>
      <c r="F8" s="67" t="s">
        <v>234</v>
      </c>
      <c r="G8" s="67" t="s">
        <v>234</v>
      </c>
      <c r="H8" s="67" t="s">
        <v>66</v>
      </c>
      <c r="I8" s="67" t="s">
        <v>97</v>
      </c>
      <c r="J8" s="67" t="s">
        <v>234</v>
      </c>
      <c r="K8" s="67" t="s">
        <v>113</v>
      </c>
      <c r="L8" s="67" t="s">
        <v>234</v>
      </c>
      <c r="M8" s="65" t="s">
        <v>46</v>
      </c>
      <c r="N8" s="65" t="s">
        <v>46</v>
      </c>
    </row>
    <row r="9" ht="15" customHeight="1" spans="1:14" x14ac:dyDescent="0.25">
      <c r="A9" s="60" t="s">
        <v>46</v>
      </c>
      <c r="B9" s="61" t="s">
        <v>80</v>
      </c>
      <c r="C9" s="62" t="s">
        <v>321</v>
      </c>
      <c r="D9" s="61" t="s">
        <v>146</v>
      </c>
      <c r="E9" s="61" t="s">
        <v>323</v>
      </c>
      <c r="F9" s="63" t="s">
        <v>234</v>
      </c>
      <c r="G9" s="63" t="s">
        <v>234</v>
      </c>
      <c r="H9" s="63" t="s">
        <v>66</v>
      </c>
      <c r="I9" s="63" t="s">
        <v>97</v>
      </c>
      <c r="J9" s="63" t="s">
        <v>234</v>
      </c>
      <c r="K9" s="63" t="s">
        <v>113</v>
      </c>
      <c r="L9" s="63" t="s">
        <v>234</v>
      </c>
      <c r="M9" s="61" t="s">
        <v>46</v>
      </c>
      <c r="N9" s="61" t="s">
        <v>46</v>
      </c>
    </row>
    <row r="10" ht="15" customHeight="1" spans="1:14" x14ac:dyDescent="0.25">
      <c r="A10" s="64" t="s">
        <v>46</v>
      </c>
      <c r="B10" s="65" t="s">
        <v>80</v>
      </c>
      <c r="C10" s="66" t="s">
        <v>396</v>
      </c>
      <c r="D10" s="65" t="s">
        <v>147</v>
      </c>
      <c r="E10" s="65" t="s">
        <v>399</v>
      </c>
      <c r="F10" s="67" t="s">
        <v>234</v>
      </c>
      <c r="G10" s="67" t="s">
        <v>234</v>
      </c>
      <c r="H10" s="67" t="s">
        <v>66</v>
      </c>
      <c r="I10" s="67" t="s">
        <v>97</v>
      </c>
      <c r="J10" s="67" t="s">
        <v>234</v>
      </c>
      <c r="K10" s="67" t="s">
        <v>113</v>
      </c>
      <c r="L10" s="67" t="s">
        <v>234</v>
      </c>
      <c r="M10" s="65" t="s">
        <v>46</v>
      </c>
      <c r="N10" s="65" t="s">
        <v>46</v>
      </c>
    </row>
    <row r="11" ht="15" customHeight="1" spans="1:14" x14ac:dyDescent="0.25">
      <c r="A11" s="60" t="s">
        <v>46</v>
      </c>
      <c r="B11" s="61" t="s">
        <v>80</v>
      </c>
      <c r="C11" s="62" t="s">
        <v>403</v>
      </c>
      <c r="D11" s="61" t="s">
        <v>147</v>
      </c>
      <c r="E11" s="61" t="s">
        <v>404</v>
      </c>
      <c r="F11" s="63" t="s">
        <v>234</v>
      </c>
      <c r="G11" s="63" t="s">
        <v>234</v>
      </c>
      <c r="H11" s="63" t="s">
        <v>66</v>
      </c>
      <c r="I11" s="63" t="s">
        <v>97</v>
      </c>
      <c r="J11" s="63" t="s">
        <v>234</v>
      </c>
      <c r="K11" s="63" t="s">
        <v>113</v>
      </c>
      <c r="L11" s="63" t="s">
        <v>234</v>
      </c>
      <c r="M11" s="61" t="s">
        <v>46</v>
      </c>
      <c r="N11" s="61" t="s">
        <v>46</v>
      </c>
    </row>
    <row r="12" ht="15" customHeight="1" spans="1:14" x14ac:dyDescent="0.25">
      <c r="A12" s="64" t="s">
        <v>46</v>
      </c>
      <c r="B12" s="65" t="s">
        <v>81</v>
      </c>
      <c r="C12" s="66" t="s">
        <v>239</v>
      </c>
      <c r="D12" s="65" t="s">
        <v>144</v>
      </c>
      <c r="E12" s="65" t="s">
        <v>240</v>
      </c>
      <c r="F12" s="67" t="s">
        <v>234</v>
      </c>
      <c r="G12" s="67" t="s">
        <v>234</v>
      </c>
      <c r="H12" s="67" t="s">
        <v>66</v>
      </c>
      <c r="I12" s="67" t="s">
        <v>97</v>
      </c>
      <c r="J12" s="67" t="s">
        <v>234</v>
      </c>
      <c r="K12" s="67" t="s">
        <v>113</v>
      </c>
      <c r="L12" s="67" t="s">
        <v>234</v>
      </c>
      <c r="M12" s="65" t="s">
        <v>46</v>
      </c>
      <c r="N12" s="65" t="s">
        <v>46</v>
      </c>
    </row>
    <row r="13" ht="15" customHeight="1" spans="1:14" x14ac:dyDescent="0.25">
      <c r="A13" s="60" t="s">
        <v>46</v>
      </c>
      <c r="B13" s="61" t="s">
        <v>81</v>
      </c>
      <c r="C13" s="62" t="s">
        <v>252</v>
      </c>
      <c r="D13" s="61" t="s">
        <v>144</v>
      </c>
      <c r="E13" s="61" t="s">
        <v>253</v>
      </c>
      <c r="F13" s="63" t="s">
        <v>234</v>
      </c>
      <c r="G13" s="63" t="s">
        <v>234</v>
      </c>
      <c r="H13" s="63" t="s">
        <v>66</v>
      </c>
      <c r="I13" s="63" t="s">
        <v>97</v>
      </c>
      <c r="J13" s="63" t="s">
        <v>234</v>
      </c>
      <c r="K13" s="63" t="s">
        <v>113</v>
      </c>
      <c r="L13" s="63" t="s">
        <v>234</v>
      </c>
      <c r="M13" s="61" t="s">
        <v>46</v>
      </c>
      <c r="N13" s="61" t="s">
        <v>46</v>
      </c>
    </row>
    <row r="14" ht="15" customHeight="1" spans="1:14" x14ac:dyDescent="0.25">
      <c r="A14" s="64" t="s">
        <v>46</v>
      </c>
      <c r="B14" s="65" t="s">
        <v>81</v>
      </c>
      <c r="C14" s="66" t="s">
        <v>256</v>
      </c>
      <c r="D14" s="65" t="s">
        <v>144</v>
      </c>
      <c r="E14" s="65" t="s">
        <v>257</v>
      </c>
      <c r="F14" s="67" t="s">
        <v>234</v>
      </c>
      <c r="G14" s="67" t="s">
        <v>234</v>
      </c>
      <c r="H14" s="67" t="s">
        <v>66</v>
      </c>
      <c r="I14" s="67" t="s">
        <v>97</v>
      </c>
      <c r="J14" s="67" t="s">
        <v>234</v>
      </c>
      <c r="K14" s="67" t="s">
        <v>113</v>
      </c>
      <c r="L14" s="67" t="s">
        <v>234</v>
      </c>
      <c r="M14" s="65" t="s">
        <v>46</v>
      </c>
      <c r="N14" s="65" t="s">
        <v>46</v>
      </c>
    </row>
    <row r="15" ht="15" customHeight="1" spans="1:14" x14ac:dyDescent="0.25">
      <c r="A15" s="60" t="s">
        <v>46</v>
      </c>
      <c r="B15" s="61" t="s">
        <v>81</v>
      </c>
      <c r="C15" s="62" t="s">
        <v>260</v>
      </c>
      <c r="D15" s="61" t="s">
        <v>144</v>
      </c>
      <c r="E15" s="61" t="s">
        <v>261</v>
      </c>
      <c r="F15" s="63" t="s">
        <v>234</v>
      </c>
      <c r="G15" s="63" t="s">
        <v>234</v>
      </c>
      <c r="H15" s="63" t="s">
        <v>66</v>
      </c>
      <c r="I15" s="63" t="s">
        <v>97</v>
      </c>
      <c r="J15" s="63" t="s">
        <v>234</v>
      </c>
      <c r="K15" s="63" t="s">
        <v>113</v>
      </c>
      <c r="L15" s="63" t="s">
        <v>234</v>
      </c>
      <c r="M15" s="61" t="s">
        <v>46</v>
      </c>
      <c r="N15" s="61" t="s">
        <v>46</v>
      </c>
    </row>
    <row r="16" ht="15" customHeight="1" spans="1:14" x14ac:dyDescent="0.25">
      <c r="A16" s="64" t="s">
        <v>46</v>
      </c>
      <c r="B16" s="65" t="s">
        <v>81</v>
      </c>
      <c r="C16" s="66" t="s">
        <v>327</v>
      </c>
      <c r="D16" s="65" t="s">
        <v>146</v>
      </c>
      <c r="E16" s="65" t="s">
        <v>328</v>
      </c>
      <c r="F16" s="67" t="s">
        <v>234</v>
      </c>
      <c r="G16" s="67" t="s">
        <v>234</v>
      </c>
      <c r="H16" s="67" t="s">
        <v>66</v>
      </c>
      <c r="I16" s="67" t="s">
        <v>97</v>
      </c>
      <c r="J16" s="67" t="s">
        <v>234</v>
      </c>
      <c r="K16" s="67" t="s">
        <v>113</v>
      </c>
      <c r="L16" s="67" t="s">
        <v>234</v>
      </c>
      <c r="M16" s="65" t="s">
        <v>46</v>
      </c>
      <c r="N16" s="65" t="s">
        <v>46</v>
      </c>
    </row>
    <row r="17" ht="15" customHeight="1" spans="1:14" x14ac:dyDescent="0.25">
      <c r="A17" s="60" t="s">
        <v>46</v>
      </c>
      <c r="B17" s="61" t="s">
        <v>81</v>
      </c>
      <c r="C17" s="62" t="s">
        <v>331</v>
      </c>
      <c r="D17" s="61" t="s">
        <v>146</v>
      </c>
      <c r="E17" s="61" t="s">
        <v>332</v>
      </c>
      <c r="F17" s="63" t="s">
        <v>234</v>
      </c>
      <c r="G17" s="63" t="s">
        <v>234</v>
      </c>
      <c r="H17" s="63" t="s">
        <v>66</v>
      </c>
      <c r="I17" s="63" t="s">
        <v>97</v>
      </c>
      <c r="J17" s="63" t="s">
        <v>234</v>
      </c>
      <c r="K17" s="63" t="s">
        <v>113</v>
      </c>
      <c r="L17" s="63" t="s">
        <v>234</v>
      </c>
      <c r="M17" s="61" t="s">
        <v>46</v>
      </c>
      <c r="N17" s="61" t="s">
        <v>46</v>
      </c>
    </row>
    <row r="18" ht="15" customHeight="1" spans="1:14" x14ac:dyDescent="0.25">
      <c r="A18" s="64" t="s">
        <v>46</v>
      </c>
      <c r="B18" s="65" t="s">
        <v>81</v>
      </c>
      <c r="C18" s="66" t="s">
        <v>407</v>
      </c>
      <c r="D18" s="65" t="s">
        <v>147</v>
      </c>
      <c r="E18" s="65" t="s">
        <v>408</v>
      </c>
      <c r="F18" s="67" t="s">
        <v>234</v>
      </c>
      <c r="G18" s="67" t="s">
        <v>234</v>
      </c>
      <c r="H18" s="67" t="s">
        <v>66</v>
      </c>
      <c r="I18" s="67" t="s">
        <v>97</v>
      </c>
      <c r="J18" s="67" t="s">
        <v>234</v>
      </c>
      <c r="K18" s="67" t="s">
        <v>113</v>
      </c>
      <c r="L18" s="67" t="s">
        <v>234</v>
      </c>
      <c r="M18" s="65" t="s">
        <v>46</v>
      </c>
      <c r="N18" s="65" t="s">
        <v>46</v>
      </c>
    </row>
    <row r="19" ht="15" customHeight="1" spans="1:14" x14ac:dyDescent="0.25">
      <c r="A19" s="60" t="s">
        <v>46</v>
      </c>
      <c r="B19" s="61" t="s">
        <v>81</v>
      </c>
      <c r="C19" s="62" t="s">
        <v>411</v>
      </c>
      <c r="D19" s="61" t="s">
        <v>147</v>
      </c>
      <c r="E19" s="61" t="s">
        <v>412</v>
      </c>
      <c r="F19" s="63" t="s">
        <v>234</v>
      </c>
      <c r="G19" s="63" t="s">
        <v>234</v>
      </c>
      <c r="H19" s="63" t="s">
        <v>66</v>
      </c>
      <c r="I19" s="63" t="s">
        <v>97</v>
      </c>
      <c r="J19" s="63" t="s">
        <v>234</v>
      </c>
      <c r="K19" s="63" t="s">
        <v>113</v>
      </c>
      <c r="L19" s="63" t="s">
        <v>234</v>
      </c>
      <c r="M19" s="61" t="s">
        <v>46</v>
      </c>
      <c r="N19" s="61" t="s">
        <v>46</v>
      </c>
    </row>
    <row r="20" ht="15" customHeight="1" spans="1:14" x14ac:dyDescent="0.25">
      <c r="A20" s="64" t="s">
        <v>46</v>
      </c>
      <c r="B20" s="65" t="s">
        <v>81</v>
      </c>
      <c r="C20" s="66" t="s">
        <v>416</v>
      </c>
      <c r="D20" s="65" t="s">
        <v>147</v>
      </c>
      <c r="E20" s="65" t="s">
        <v>417</v>
      </c>
      <c r="F20" s="67" t="s">
        <v>234</v>
      </c>
      <c r="G20" s="67" t="s">
        <v>234</v>
      </c>
      <c r="H20" s="67" t="s">
        <v>66</v>
      </c>
      <c r="I20" s="67" t="s">
        <v>97</v>
      </c>
      <c r="J20" s="67" t="s">
        <v>234</v>
      </c>
      <c r="K20" s="67" t="s">
        <v>113</v>
      </c>
      <c r="L20" s="67" t="s">
        <v>234</v>
      </c>
      <c r="M20" s="65" t="s">
        <v>46</v>
      </c>
      <c r="N20" s="65" t="s">
        <v>46</v>
      </c>
    </row>
    <row r="21" ht="15" customHeight="1" spans="1:14" x14ac:dyDescent="0.25">
      <c r="A21" s="60" t="s">
        <v>46</v>
      </c>
      <c r="B21" s="61" t="s">
        <v>81</v>
      </c>
      <c r="C21" s="62" t="s">
        <v>2330</v>
      </c>
      <c r="D21" s="61" t="s">
        <v>193</v>
      </c>
      <c r="E21" s="61" t="s">
        <v>2332</v>
      </c>
      <c r="F21" s="63" t="s">
        <v>234</v>
      </c>
      <c r="G21" s="63" t="s">
        <v>234</v>
      </c>
      <c r="H21" s="63" t="s">
        <v>66</v>
      </c>
      <c r="I21" s="63" t="s">
        <v>97</v>
      </c>
      <c r="J21" s="63" t="s">
        <v>234</v>
      </c>
      <c r="K21" s="63" t="s">
        <v>113</v>
      </c>
      <c r="L21" s="63" t="s">
        <v>234</v>
      </c>
      <c r="M21" s="61" t="s">
        <v>46</v>
      </c>
      <c r="N21" s="61" t="s">
        <v>46</v>
      </c>
    </row>
    <row r="22" ht="15" customHeight="1" spans="1:14" x14ac:dyDescent="0.25">
      <c r="A22" s="64" t="s">
        <v>46</v>
      </c>
      <c r="B22" s="65" t="s">
        <v>82</v>
      </c>
      <c r="C22" s="66" t="s">
        <v>264</v>
      </c>
      <c r="D22" s="65" t="s">
        <v>144</v>
      </c>
      <c r="E22" s="65" t="s">
        <v>265</v>
      </c>
      <c r="F22" s="67" t="s">
        <v>234</v>
      </c>
      <c r="G22" s="67" t="s">
        <v>234</v>
      </c>
      <c r="H22" s="67" t="s">
        <v>66</v>
      </c>
      <c r="I22" s="67" t="s">
        <v>97</v>
      </c>
      <c r="J22" s="67" t="s">
        <v>234</v>
      </c>
      <c r="K22" s="67" t="s">
        <v>113</v>
      </c>
      <c r="L22" s="67" t="s">
        <v>234</v>
      </c>
      <c r="M22" s="65" t="s">
        <v>46</v>
      </c>
      <c r="N22" s="65" t="s">
        <v>46</v>
      </c>
    </row>
    <row r="23" ht="15" customHeight="1" spans="1:14" x14ac:dyDescent="0.25">
      <c r="A23" s="60" t="s">
        <v>46</v>
      </c>
      <c r="B23" s="61" t="s">
        <v>82</v>
      </c>
      <c r="C23" s="62" t="s">
        <v>275</v>
      </c>
      <c r="D23" s="61" t="s">
        <v>144</v>
      </c>
      <c r="E23" s="61" t="s">
        <v>276</v>
      </c>
      <c r="F23" s="63" t="s">
        <v>234</v>
      </c>
      <c r="G23" s="63" t="s">
        <v>234</v>
      </c>
      <c r="H23" s="63" t="s">
        <v>66</v>
      </c>
      <c r="I23" s="63" t="s">
        <v>97</v>
      </c>
      <c r="J23" s="63" t="s">
        <v>234</v>
      </c>
      <c r="K23" s="63" t="s">
        <v>113</v>
      </c>
      <c r="L23" s="63" t="s">
        <v>234</v>
      </c>
      <c r="M23" s="61" t="s">
        <v>46</v>
      </c>
      <c r="N23" s="61" t="s">
        <v>46</v>
      </c>
    </row>
    <row r="24" ht="15" customHeight="1" spans="1:14" x14ac:dyDescent="0.25">
      <c r="A24" s="64" t="s">
        <v>46</v>
      </c>
      <c r="B24" s="65" t="s">
        <v>82</v>
      </c>
      <c r="C24" s="66" t="s">
        <v>280</v>
      </c>
      <c r="D24" s="65" t="s">
        <v>144</v>
      </c>
      <c r="E24" s="65" t="s">
        <v>281</v>
      </c>
      <c r="F24" s="67" t="s">
        <v>234</v>
      </c>
      <c r="G24" s="67" t="s">
        <v>234</v>
      </c>
      <c r="H24" s="67" t="s">
        <v>66</v>
      </c>
      <c r="I24" s="67" t="s">
        <v>97</v>
      </c>
      <c r="J24" s="67" t="s">
        <v>234</v>
      </c>
      <c r="K24" s="67" t="s">
        <v>113</v>
      </c>
      <c r="L24" s="67" t="s">
        <v>234</v>
      </c>
      <c r="M24" s="65" t="s">
        <v>46</v>
      </c>
      <c r="N24" s="65" t="s">
        <v>46</v>
      </c>
    </row>
    <row r="25" ht="15" customHeight="1" spans="1:14" x14ac:dyDescent="0.25">
      <c r="A25" s="60" t="s">
        <v>46</v>
      </c>
      <c r="B25" s="61" t="s">
        <v>82</v>
      </c>
      <c r="C25" s="62" t="s">
        <v>284</v>
      </c>
      <c r="D25" s="61" t="s">
        <v>144</v>
      </c>
      <c r="E25" s="61" t="s">
        <v>285</v>
      </c>
      <c r="F25" s="63" t="s">
        <v>234</v>
      </c>
      <c r="G25" s="63" t="s">
        <v>234</v>
      </c>
      <c r="H25" s="63" t="s">
        <v>66</v>
      </c>
      <c r="I25" s="63" t="s">
        <v>97</v>
      </c>
      <c r="J25" s="63" t="s">
        <v>234</v>
      </c>
      <c r="K25" s="63" t="s">
        <v>113</v>
      </c>
      <c r="L25" s="63" t="s">
        <v>234</v>
      </c>
      <c r="M25" s="61" t="s">
        <v>46</v>
      </c>
      <c r="N25" s="61" t="s">
        <v>46</v>
      </c>
    </row>
    <row r="26" ht="15" customHeight="1" spans="1:14" x14ac:dyDescent="0.25">
      <c r="A26" s="64" t="s">
        <v>46</v>
      </c>
      <c r="B26" s="65" t="s">
        <v>82</v>
      </c>
      <c r="C26" s="66" t="s">
        <v>335</v>
      </c>
      <c r="D26" s="65" t="s">
        <v>146</v>
      </c>
      <c r="E26" s="65" t="s">
        <v>336</v>
      </c>
      <c r="F26" s="67" t="s">
        <v>234</v>
      </c>
      <c r="G26" s="67" t="s">
        <v>234</v>
      </c>
      <c r="H26" s="67" t="s">
        <v>66</v>
      </c>
      <c r="I26" s="67" t="s">
        <v>97</v>
      </c>
      <c r="J26" s="67" t="s">
        <v>234</v>
      </c>
      <c r="K26" s="67" t="s">
        <v>113</v>
      </c>
      <c r="L26" s="67" t="s">
        <v>234</v>
      </c>
      <c r="M26" s="65" t="s">
        <v>46</v>
      </c>
      <c r="N26" s="65" t="s">
        <v>46</v>
      </c>
    </row>
    <row r="27" ht="15" customHeight="1" spans="1:14" x14ac:dyDescent="0.25">
      <c r="A27" s="60" t="s">
        <v>46</v>
      </c>
      <c r="B27" s="61" t="s">
        <v>82</v>
      </c>
      <c r="C27" s="62" t="s">
        <v>339</v>
      </c>
      <c r="D27" s="61" t="s">
        <v>146</v>
      </c>
      <c r="E27" s="61" t="s">
        <v>340</v>
      </c>
      <c r="F27" s="63" t="s">
        <v>234</v>
      </c>
      <c r="G27" s="63" t="s">
        <v>234</v>
      </c>
      <c r="H27" s="63" t="s">
        <v>66</v>
      </c>
      <c r="I27" s="63" t="s">
        <v>97</v>
      </c>
      <c r="J27" s="63" t="s">
        <v>234</v>
      </c>
      <c r="K27" s="63" t="s">
        <v>113</v>
      </c>
      <c r="L27" s="63" t="s">
        <v>234</v>
      </c>
      <c r="M27" s="61" t="s">
        <v>46</v>
      </c>
      <c r="N27" s="61" t="s">
        <v>46</v>
      </c>
    </row>
    <row r="28" ht="15" customHeight="1" spans="1:14" x14ac:dyDescent="0.25">
      <c r="A28" s="64" t="s">
        <v>46</v>
      </c>
      <c r="B28" s="65" t="s">
        <v>82</v>
      </c>
      <c r="C28" s="66" t="s">
        <v>421</v>
      </c>
      <c r="D28" s="65" t="s">
        <v>147</v>
      </c>
      <c r="E28" s="65" t="s">
        <v>422</v>
      </c>
      <c r="F28" s="67" t="s">
        <v>234</v>
      </c>
      <c r="G28" s="67" t="s">
        <v>234</v>
      </c>
      <c r="H28" s="67" t="s">
        <v>66</v>
      </c>
      <c r="I28" s="67" t="s">
        <v>97</v>
      </c>
      <c r="J28" s="67" t="s">
        <v>234</v>
      </c>
      <c r="K28" s="67" t="s">
        <v>113</v>
      </c>
      <c r="L28" s="67" t="s">
        <v>234</v>
      </c>
      <c r="M28" s="65" t="s">
        <v>46</v>
      </c>
      <c r="N28" s="65" t="s">
        <v>46</v>
      </c>
    </row>
    <row r="29" ht="15" customHeight="1" spans="1:14" x14ac:dyDescent="0.25">
      <c r="A29" s="60" t="s">
        <v>46</v>
      </c>
      <c r="B29" s="61" t="s">
        <v>82</v>
      </c>
      <c r="C29" s="62" t="s">
        <v>425</v>
      </c>
      <c r="D29" s="61" t="s">
        <v>147</v>
      </c>
      <c r="E29" s="61" t="s">
        <v>426</v>
      </c>
      <c r="F29" s="63" t="s">
        <v>234</v>
      </c>
      <c r="G29" s="63" t="s">
        <v>234</v>
      </c>
      <c r="H29" s="63" t="s">
        <v>66</v>
      </c>
      <c r="I29" s="63" t="s">
        <v>97</v>
      </c>
      <c r="J29" s="63" t="s">
        <v>234</v>
      </c>
      <c r="K29" s="63" t="s">
        <v>113</v>
      </c>
      <c r="L29" s="63" t="s">
        <v>234</v>
      </c>
      <c r="M29" s="61" t="s">
        <v>46</v>
      </c>
      <c r="N29" s="61" t="s">
        <v>46</v>
      </c>
    </row>
    <row r="30" ht="15" customHeight="1" spans="1:14" x14ac:dyDescent="0.25">
      <c r="A30" s="64" t="s">
        <v>46</v>
      </c>
      <c r="B30" s="65" t="s">
        <v>82</v>
      </c>
      <c r="C30" s="66" t="s">
        <v>429</v>
      </c>
      <c r="D30" s="65" t="s">
        <v>147</v>
      </c>
      <c r="E30" s="65" t="s">
        <v>430</v>
      </c>
      <c r="F30" s="67" t="s">
        <v>234</v>
      </c>
      <c r="G30" s="67" t="s">
        <v>234</v>
      </c>
      <c r="H30" s="67" t="s">
        <v>66</v>
      </c>
      <c r="I30" s="67" t="s">
        <v>97</v>
      </c>
      <c r="J30" s="67" t="s">
        <v>234</v>
      </c>
      <c r="K30" s="67" t="s">
        <v>113</v>
      </c>
      <c r="L30" s="67" t="s">
        <v>234</v>
      </c>
      <c r="M30" s="65" t="s">
        <v>46</v>
      </c>
      <c r="N30" s="65" t="s">
        <v>46</v>
      </c>
    </row>
    <row r="31" ht="15" customHeight="1" spans="1:14" x14ac:dyDescent="0.25">
      <c r="A31" s="60" t="s">
        <v>46</v>
      </c>
      <c r="B31" s="61" t="s">
        <v>82</v>
      </c>
      <c r="C31" s="62" t="s">
        <v>2262</v>
      </c>
      <c r="D31" s="61" t="s">
        <v>191</v>
      </c>
      <c r="E31" s="61" t="s">
        <v>2263</v>
      </c>
      <c r="F31" s="63" t="s">
        <v>234</v>
      </c>
      <c r="G31" s="63" t="s">
        <v>234</v>
      </c>
      <c r="H31" s="63" t="s">
        <v>66</v>
      </c>
      <c r="I31" s="63" t="s">
        <v>97</v>
      </c>
      <c r="J31" s="63" t="s">
        <v>234</v>
      </c>
      <c r="K31" s="63" t="s">
        <v>113</v>
      </c>
      <c r="L31" s="63" t="s">
        <v>234</v>
      </c>
      <c r="M31" s="61" t="s">
        <v>46</v>
      </c>
      <c r="N31" s="61" t="s">
        <v>46</v>
      </c>
    </row>
    <row r="32" ht="15" customHeight="1" spans="1:14" x14ac:dyDescent="0.25">
      <c r="A32" s="64" t="s">
        <v>46</v>
      </c>
      <c r="B32" s="65" t="s">
        <v>82</v>
      </c>
      <c r="C32" s="66" t="s">
        <v>2267</v>
      </c>
      <c r="D32" s="65" t="s">
        <v>191</v>
      </c>
      <c r="E32" s="65" t="s">
        <v>2268</v>
      </c>
      <c r="F32" s="67" t="s">
        <v>234</v>
      </c>
      <c r="G32" s="67" t="s">
        <v>234</v>
      </c>
      <c r="H32" s="67" t="s">
        <v>66</v>
      </c>
      <c r="I32" s="67" t="s">
        <v>97</v>
      </c>
      <c r="J32" s="67" t="s">
        <v>234</v>
      </c>
      <c r="K32" s="67" t="s">
        <v>113</v>
      </c>
      <c r="L32" s="67" t="s">
        <v>234</v>
      </c>
      <c r="M32" s="65" t="s">
        <v>46</v>
      </c>
      <c r="N32" s="65" t="s">
        <v>46</v>
      </c>
    </row>
    <row r="33" ht="15" customHeight="1" spans="1:14" x14ac:dyDescent="0.25">
      <c r="A33" s="60" t="s">
        <v>46</v>
      </c>
      <c r="B33" s="61" t="s">
        <v>82</v>
      </c>
      <c r="C33" s="62" t="s">
        <v>2337</v>
      </c>
      <c r="D33" s="61" t="s">
        <v>193</v>
      </c>
      <c r="E33" s="61" t="s">
        <v>2338</v>
      </c>
      <c r="F33" s="63" t="s">
        <v>234</v>
      </c>
      <c r="G33" s="63" t="s">
        <v>234</v>
      </c>
      <c r="H33" s="63" t="s">
        <v>66</v>
      </c>
      <c r="I33" s="63" t="s">
        <v>97</v>
      </c>
      <c r="J33" s="63" t="s">
        <v>234</v>
      </c>
      <c r="K33" s="63" t="s">
        <v>113</v>
      </c>
      <c r="L33" s="63" t="s">
        <v>234</v>
      </c>
      <c r="M33" s="61" t="s">
        <v>46</v>
      </c>
      <c r="N33" s="61" t="s">
        <v>46</v>
      </c>
    </row>
    <row r="34" ht="15" customHeight="1" spans="1:14" x14ac:dyDescent="0.25">
      <c r="A34" s="64" t="s">
        <v>46</v>
      </c>
      <c r="B34" s="65" t="s">
        <v>83</v>
      </c>
      <c r="C34" s="66" t="s">
        <v>288</v>
      </c>
      <c r="D34" s="65" t="s">
        <v>144</v>
      </c>
      <c r="E34" s="65" t="s">
        <v>290</v>
      </c>
      <c r="F34" s="67" t="s">
        <v>234</v>
      </c>
      <c r="G34" s="67" t="s">
        <v>234</v>
      </c>
      <c r="H34" s="67" t="s">
        <v>66</v>
      </c>
      <c r="I34" s="67" t="s">
        <v>97</v>
      </c>
      <c r="J34" s="67" t="s">
        <v>234</v>
      </c>
      <c r="K34" s="67" t="s">
        <v>113</v>
      </c>
      <c r="L34" s="67" t="s">
        <v>234</v>
      </c>
      <c r="M34" s="65" t="s">
        <v>46</v>
      </c>
      <c r="N34" s="65" t="s">
        <v>46</v>
      </c>
    </row>
    <row r="35" ht="15" customHeight="1" spans="1:14" x14ac:dyDescent="0.25">
      <c r="A35" s="60" t="s">
        <v>46</v>
      </c>
      <c r="B35" s="61" t="s">
        <v>83</v>
      </c>
      <c r="C35" s="62" t="s">
        <v>294</v>
      </c>
      <c r="D35" s="61" t="s">
        <v>144</v>
      </c>
      <c r="E35" s="61" t="s">
        <v>296</v>
      </c>
      <c r="F35" s="63" t="s">
        <v>234</v>
      </c>
      <c r="G35" s="63" t="s">
        <v>234</v>
      </c>
      <c r="H35" s="63" t="s">
        <v>66</v>
      </c>
      <c r="I35" s="63" t="s">
        <v>97</v>
      </c>
      <c r="J35" s="63" t="s">
        <v>234</v>
      </c>
      <c r="K35" s="63" t="s">
        <v>113</v>
      </c>
      <c r="L35" s="63" t="s">
        <v>234</v>
      </c>
      <c r="M35" s="61" t="s">
        <v>46</v>
      </c>
      <c r="N35" s="61" t="s">
        <v>46</v>
      </c>
    </row>
    <row r="36" ht="15" customHeight="1" spans="1:14" x14ac:dyDescent="0.25">
      <c r="A36" s="64" t="s">
        <v>46</v>
      </c>
      <c r="B36" s="65" t="s">
        <v>83</v>
      </c>
      <c r="C36" s="66" t="s">
        <v>300</v>
      </c>
      <c r="D36" s="65" t="s">
        <v>144</v>
      </c>
      <c r="E36" s="65" t="s">
        <v>301</v>
      </c>
      <c r="F36" s="67" t="s">
        <v>234</v>
      </c>
      <c r="G36" s="67" t="s">
        <v>234</v>
      </c>
      <c r="H36" s="67" t="s">
        <v>66</v>
      </c>
      <c r="I36" s="67" t="s">
        <v>97</v>
      </c>
      <c r="J36" s="67" t="s">
        <v>234</v>
      </c>
      <c r="K36" s="67" t="s">
        <v>113</v>
      </c>
      <c r="L36" s="67" t="s">
        <v>234</v>
      </c>
      <c r="M36" s="65" t="s">
        <v>46</v>
      </c>
      <c r="N36" s="65" t="s">
        <v>46</v>
      </c>
    </row>
    <row r="37" ht="15" customHeight="1" spans="1:14" x14ac:dyDescent="0.25">
      <c r="A37" s="60" t="s">
        <v>46</v>
      </c>
      <c r="B37" s="61" t="s">
        <v>83</v>
      </c>
      <c r="C37" s="62" t="s">
        <v>304</v>
      </c>
      <c r="D37" s="61" t="s">
        <v>144</v>
      </c>
      <c r="E37" s="61" t="s">
        <v>305</v>
      </c>
      <c r="F37" s="63" t="s">
        <v>234</v>
      </c>
      <c r="G37" s="63" t="s">
        <v>234</v>
      </c>
      <c r="H37" s="63" t="s">
        <v>66</v>
      </c>
      <c r="I37" s="63" t="s">
        <v>97</v>
      </c>
      <c r="J37" s="63" t="s">
        <v>234</v>
      </c>
      <c r="K37" s="63" t="s">
        <v>113</v>
      </c>
      <c r="L37" s="63" t="s">
        <v>234</v>
      </c>
      <c r="M37" s="61" t="s">
        <v>46</v>
      </c>
      <c r="N37" s="61" t="s">
        <v>46</v>
      </c>
    </row>
    <row r="38" ht="15" customHeight="1" spans="1:14" x14ac:dyDescent="0.25">
      <c r="A38" s="64" t="s">
        <v>46</v>
      </c>
      <c r="B38" s="65" t="s">
        <v>83</v>
      </c>
      <c r="C38" s="66" t="s">
        <v>344</v>
      </c>
      <c r="D38" s="65" t="s">
        <v>146</v>
      </c>
      <c r="E38" s="65" t="s">
        <v>345</v>
      </c>
      <c r="F38" s="67" t="s">
        <v>234</v>
      </c>
      <c r="G38" s="67" t="s">
        <v>234</v>
      </c>
      <c r="H38" s="67" t="s">
        <v>66</v>
      </c>
      <c r="I38" s="67" t="s">
        <v>97</v>
      </c>
      <c r="J38" s="67" t="s">
        <v>234</v>
      </c>
      <c r="K38" s="67" t="s">
        <v>113</v>
      </c>
      <c r="L38" s="67" t="s">
        <v>234</v>
      </c>
      <c r="M38" s="65" t="s">
        <v>46</v>
      </c>
      <c r="N38" s="65" t="s">
        <v>46</v>
      </c>
    </row>
    <row r="39" ht="15" customHeight="1" spans="1:14" x14ac:dyDescent="0.25">
      <c r="A39" s="60" t="s">
        <v>46</v>
      </c>
      <c r="B39" s="61" t="s">
        <v>83</v>
      </c>
      <c r="C39" s="62" t="s">
        <v>348</v>
      </c>
      <c r="D39" s="61" t="s">
        <v>146</v>
      </c>
      <c r="E39" s="61" t="s">
        <v>349</v>
      </c>
      <c r="F39" s="63" t="s">
        <v>234</v>
      </c>
      <c r="G39" s="63" t="s">
        <v>234</v>
      </c>
      <c r="H39" s="63" t="s">
        <v>66</v>
      </c>
      <c r="I39" s="63" t="s">
        <v>97</v>
      </c>
      <c r="J39" s="63" t="s">
        <v>234</v>
      </c>
      <c r="K39" s="63" t="s">
        <v>113</v>
      </c>
      <c r="L39" s="63" t="s">
        <v>234</v>
      </c>
      <c r="M39" s="61" t="s">
        <v>46</v>
      </c>
      <c r="N39" s="61" t="s">
        <v>46</v>
      </c>
    </row>
    <row r="40" ht="15" customHeight="1" spans="1:14" x14ac:dyDescent="0.25">
      <c r="A40" s="64" t="s">
        <v>46</v>
      </c>
      <c r="B40" s="65" t="s">
        <v>83</v>
      </c>
      <c r="C40" s="66" t="s">
        <v>433</v>
      </c>
      <c r="D40" s="65" t="s">
        <v>147</v>
      </c>
      <c r="E40" s="65" t="s">
        <v>434</v>
      </c>
      <c r="F40" s="67" t="s">
        <v>234</v>
      </c>
      <c r="G40" s="67" t="s">
        <v>234</v>
      </c>
      <c r="H40" s="67" t="s">
        <v>66</v>
      </c>
      <c r="I40" s="67" t="s">
        <v>97</v>
      </c>
      <c r="J40" s="67" t="s">
        <v>234</v>
      </c>
      <c r="K40" s="67" t="s">
        <v>113</v>
      </c>
      <c r="L40" s="67" t="s">
        <v>234</v>
      </c>
      <c r="M40" s="65" t="s">
        <v>46</v>
      </c>
      <c r="N40" s="65" t="s">
        <v>46</v>
      </c>
    </row>
    <row r="41" ht="15" customHeight="1" spans="1:14" x14ac:dyDescent="0.25">
      <c r="A41" s="60" t="s">
        <v>46</v>
      </c>
      <c r="B41" s="61" t="s">
        <v>83</v>
      </c>
      <c r="C41" s="62" t="s">
        <v>438</v>
      </c>
      <c r="D41" s="61" t="s">
        <v>147</v>
      </c>
      <c r="E41" s="61" t="s">
        <v>439</v>
      </c>
      <c r="F41" s="63" t="s">
        <v>234</v>
      </c>
      <c r="G41" s="63" t="s">
        <v>234</v>
      </c>
      <c r="H41" s="63" t="s">
        <v>66</v>
      </c>
      <c r="I41" s="63" t="s">
        <v>97</v>
      </c>
      <c r="J41" s="63" t="s">
        <v>234</v>
      </c>
      <c r="K41" s="63" t="s">
        <v>113</v>
      </c>
      <c r="L41" s="63" t="s">
        <v>234</v>
      </c>
      <c r="M41" s="61" t="s">
        <v>46</v>
      </c>
      <c r="N41" s="61" t="s">
        <v>46</v>
      </c>
    </row>
    <row r="42" ht="15" customHeight="1" spans="1:14" x14ac:dyDescent="0.25">
      <c r="A42" s="64" t="s">
        <v>46</v>
      </c>
      <c r="B42" s="65" t="s">
        <v>83</v>
      </c>
      <c r="C42" s="66" t="s">
        <v>442</v>
      </c>
      <c r="D42" s="65" t="s">
        <v>147</v>
      </c>
      <c r="E42" s="65" t="s">
        <v>443</v>
      </c>
      <c r="F42" s="67" t="s">
        <v>234</v>
      </c>
      <c r="G42" s="67" t="s">
        <v>234</v>
      </c>
      <c r="H42" s="67" t="s">
        <v>66</v>
      </c>
      <c r="I42" s="67" t="s">
        <v>97</v>
      </c>
      <c r="J42" s="67" t="s">
        <v>234</v>
      </c>
      <c r="K42" s="67" t="s">
        <v>113</v>
      </c>
      <c r="L42" s="67" t="s">
        <v>234</v>
      </c>
      <c r="M42" s="65" t="s">
        <v>46</v>
      </c>
      <c r="N42" s="65" t="s">
        <v>46</v>
      </c>
    </row>
    <row r="43" ht="15" customHeight="1" spans="1:14" x14ac:dyDescent="0.25">
      <c r="A43" s="60" t="s">
        <v>46</v>
      </c>
      <c r="B43" s="61" t="s">
        <v>83</v>
      </c>
      <c r="C43" s="62" t="s">
        <v>2155</v>
      </c>
      <c r="D43" s="61" t="s">
        <v>188</v>
      </c>
      <c r="E43" s="61" t="s">
        <v>2157</v>
      </c>
      <c r="F43" s="63" t="s">
        <v>234</v>
      </c>
      <c r="G43" s="63" t="s">
        <v>234</v>
      </c>
      <c r="H43" s="63" t="s">
        <v>66</v>
      </c>
      <c r="I43" s="63" t="s">
        <v>97</v>
      </c>
      <c r="J43" s="63" t="s">
        <v>234</v>
      </c>
      <c r="K43" s="63" t="s">
        <v>113</v>
      </c>
      <c r="L43" s="63" t="s">
        <v>234</v>
      </c>
      <c r="M43" s="61" t="s">
        <v>46</v>
      </c>
      <c r="N43" s="61" t="s">
        <v>46</v>
      </c>
    </row>
    <row r="44" ht="15" customHeight="1" spans="1:14" x14ac:dyDescent="0.25">
      <c r="A44" s="64" t="s">
        <v>46</v>
      </c>
      <c r="B44" s="65" t="s">
        <v>83</v>
      </c>
      <c r="C44" s="66" t="s">
        <v>2160</v>
      </c>
      <c r="D44" s="65" t="s">
        <v>188</v>
      </c>
      <c r="E44" s="65" t="s">
        <v>2161</v>
      </c>
      <c r="F44" s="67" t="s">
        <v>234</v>
      </c>
      <c r="G44" s="67" t="s">
        <v>234</v>
      </c>
      <c r="H44" s="67" t="s">
        <v>66</v>
      </c>
      <c r="I44" s="67" t="s">
        <v>97</v>
      </c>
      <c r="J44" s="67" t="s">
        <v>234</v>
      </c>
      <c r="K44" s="67" t="s">
        <v>113</v>
      </c>
      <c r="L44" s="67" t="s">
        <v>234</v>
      </c>
      <c r="M44" s="65" t="s">
        <v>46</v>
      </c>
      <c r="N44" s="65" t="s">
        <v>46</v>
      </c>
    </row>
    <row r="45" ht="15" customHeight="1" spans="1:14" x14ac:dyDescent="0.25">
      <c r="A45" s="60" t="s">
        <v>46</v>
      </c>
      <c r="B45" s="61" t="s">
        <v>83</v>
      </c>
      <c r="C45" s="62" t="s">
        <v>2164</v>
      </c>
      <c r="D45" s="61" t="s">
        <v>188</v>
      </c>
      <c r="E45" s="61" t="s">
        <v>2165</v>
      </c>
      <c r="F45" s="63" t="s">
        <v>234</v>
      </c>
      <c r="G45" s="63" t="s">
        <v>234</v>
      </c>
      <c r="H45" s="63" t="s">
        <v>66</v>
      </c>
      <c r="I45" s="63" t="s">
        <v>97</v>
      </c>
      <c r="J45" s="63" t="s">
        <v>234</v>
      </c>
      <c r="K45" s="63" t="s">
        <v>113</v>
      </c>
      <c r="L45" s="63" t="s">
        <v>234</v>
      </c>
      <c r="M45" s="61" t="s">
        <v>46</v>
      </c>
      <c r="N45" s="61" t="s">
        <v>46</v>
      </c>
    </row>
    <row r="46" ht="15" customHeight="1" spans="1:14" x14ac:dyDescent="0.25">
      <c r="A46" s="64" t="s">
        <v>46</v>
      </c>
      <c r="B46" s="65" t="s">
        <v>83</v>
      </c>
      <c r="C46" s="66" t="s">
        <v>2271</v>
      </c>
      <c r="D46" s="65" t="s">
        <v>191</v>
      </c>
      <c r="E46" s="65" t="s">
        <v>2272</v>
      </c>
      <c r="F46" s="67" t="s">
        <v>234</v>
      </c>
      <c r="G46" s="67" t="s">
        <v>234</v>
      </c>
      <c r="H46" s="67" t="s">
        <v>66</v>
      </c>
      <c r="I46" s="67" t="s">
        <v>97</v>
      </c>
      <c r="J46" s="67" t="s">
        <v>234</v>
      </c>
      <c r="K46" s="67" t="s">
        <v>113</v>
      </c>
      <c r="L46" s="67" t="s">
        <v>234</v>
      </c>
      <c r="M46" s="65" t="s">
        <v>46</v>
      </c>
      <c r="N46" s="65" t="s">
        <v>46</v>
      </c>
    </row>
    <row r="47" ht="15" customHeight="1" spans="1:14" x14ac:dyDescent="0.25">
      <c r="A47" s="60" t="s">
        <v>46</v>
      </c>
      <c r="B47" s="61" t="s">
        <v>83</v>
      </c>
      <c r="C47" s="62" t="s">
        <v>2276</v>
      </c>
      <c r="D47" s="61" t="s">
        <v>191</v>
      </c>
      <c r="E47" s="61" t="s">
        <v>2277</v>
      </c>
      <c r="F47" s="63" t="s">
        <v>234</v>
      </c>
      <c r="G47" s="63" t="s">
        <v>234</v>
      </c>
      <c r="H47" s="63" t="s">
        <v>66</v>
      </c>
      <c r="I47" s="63" t="s">
        <v>97</v>
      </c>
      <c r="J47" s="63" t="s">
        <v>234</v>
      </c>
      <c r="K47" s="63" t="s">
        <v>113</v>
      </c>
      <c r="L47" s="63" t="s">
        <v>234</v>
      </c>
      <c r="M47" s="61" t="s">
        <v>46</v>
      </c>
      <c r="N47" s="61" t="s">
        <v>46</v>
      </c>
    </row>
    <row r="48" ht="15" customHeight="1" spans="1:14" x14ac:dyDescent="0.25">
      <c r="A48" s="64" t="s">
        <v>46</v>
      </c>
      <c r="B48" s="65" t="s">
        <v>83</v>
      </c>
      <c r="C48" s="66" t="s">
        <v>2280</v>
      </c>
      <c r="D48" s="65" t="s">
        <v>191</v>
      </c>
      <c r="E48" s="65" t="s">
        <v>2281</v>
      </c>
      <c r="F48" s="67" t="s">
        <v>234</v>
      </c>
      <c r="G48" s="67" t="s">
        <v>234</v>
      </c>
      <c r="H48" s="67" t="s">
        <v>66</v>
      </c>
      <c r="I48" s="67" t="s">
        <v>97</v>
      </c>
      <c r="J48" s="67" t="s">
        <v>234</v>
      </c>
      <c r="K48" s="67" t="s">
        <v>113</v>
      </c>
      <c r="L48" s="67" t="s">
        <v>234</v>
      </c>
      <c r="M48" s="65" t="s">
        <v>46</v>
      </c>
      <c r="N48" s="65" t="s">
        <v>46</v>
      </c>
    </row>
    <row r="49" ht="15" customHeight="1" spans="1:14" x14ac:dyDescent="0.25">
      <c r="A49" s="60" t="s">
        <v>46</v>
      </c>
      <c r="B49" s="61" t="s">
        <v>83</v>
      </c>
      <c r="C49" s="62" t="s">
        <v>2341</v>
      </c>
      <c r="D49" s="61" t="s">
        <v>193</v>
      </c>
      <c r="E49" s="61" t="s">
        <v>2342</v>
      </c>
      <c r="F49" s="63" t="s">
        <v>234</v>
      </c>
      <c r="G49" s="63" t="s">
        <v>234</v>
      </c>
      <c r="H49" s="63" t="s">
        <v>66</v>
      </c>
      <c r="I49" s="63" t="s">
        <v>97</v>
      </c>
      <c r="J49" s="63" t="s">
        <v>234</v>
      </c>
      <c r="K49" s="63" t="s">
        <v>113</v>
      </c>
      <c r="L49" s="63" t="s">
        <v>234</v>
      </c>
      <c r="M49" s="61" t="s">
        <v>46</v>
      </c>
      <c r="N49" s="61" t="s">
        <v>46</v>
      </c>
    </row>
    <row r="50" ht="15" customHeight="1" spans="1:14" x14ac:dyDescent="0.25">
      <c r="A50" s="64" t="s">
        <v>46</v>
      </c>
      <c r="B50" s="65" t="s">
        <v>83</v>
      </c>
      <c r="C50" s="66" t="s">
        <v>2345</v>
      </c>
      <c r="D50" s="65" t="s">
        <v>193</v>
      </c>
      <c r="E50" s="65" t="s">
        <v>2346</v>
      </c>
      <c r="F50" s="67" t="s">
        <v>234</v>
      </c>
      <c r="G50" s="67" t="s">
        <v>234</v>
      </c>
      <c r="H50" s="67" t="s">
        <v>66</v>
      </c>
      <c r="I50" s="67" t="s">
        <v>97</v>
      </c>
      <c r="J50" s="67" t="s">
        <v>234</v>
      </c>
      <c r="K50" s="67" t="s">
        <v>113</v>
      </c>
      <c r="L50" s="67" t="s">
        <v>234</v>
      </c>
      <c r="M50" s="65" t="s">
        <v>46</v>
      </c>
      <c r="N50" s="65" t="s">
        <v>46</v>
      </c>
    </row>
    <row r="51" ht="15" customHeight="1" spans="1:14" x14ac:dyDescent="0.25">
      <c r="A51" s="60" t="s">
        <v>46</v>
      </c>
      <c r="B51" s="61" t="s">
        <v>84</v>
      </c>
      <c r="C51" s="62" t="s">
        <v>309</v>
      </c>
      <c r="D51" s="61" t="s">
        <v>144</v>
      </c>
      <c r="E51" s="61" t="s">
        <v>310</v>
      </c>
      <c r="F51" s="63" t="s">
        <v>234</v>
      </c>
      <c r="G51" s="63" t="s">
        <v>234</v>
      </c>
      <c r="H51" s="63" t="s">
        <v>66</v>
      </c>
      <c r="I51" s="63" t="s">
        <v>97</v>
      </c>
      <c r="J51" s="63" t="s">
        <v>234</v>
      </c>
      <c r="K51" s="63" t="s">
        <v>113</v>
      </c>
      <c r="L51" s="63" t="s">
        <v>234</v>
      </c>
      <c r="M51" s="61" t="s">
        <v>46</v>
      </c>
      <c r="N51" s="61" t="s">
        <v>46</v>
      </c>
    </row>
    <row r="52" ht="15" customHeight="1" spans="1:14" x14ac:dyDescent="0.25">
      <c r="A52" s="64" t="s">
        <v>46</v>
      </c>
      <c r="B52" s="65" t="s">
        <v>84</v>
      </c>
      <c r="C52" s="66" t="s">
        <v>313</v>
      </c>
      <c r="D52" s="65" t="s">
        <v>144</v>
      </c>
      <c r="E52" s="65" t="s">
        <v>314</v>
      </c>
      <c r="F52" s="67" t="s">
        <v>234</v>
      </c>
      <c r="G52" s="67" t="s">
        <v>234</v>
      </c>
      <c r="H52" s="67" t="s">
        <v>66</v>
      </c>
      <c r="I52" s="67" t="s">
        <v>97</v>
      </c>
      <c r="J52" s="67" t="s">
        <v>234</v>
      </c>
      <c r="K52" s="67" t="s">
        <v>113</v>
      </c>
      <c r="L52" s="67" t="s">
        <v>234</v>
      </c>
      <c r="M52" s="65" t="s">
        <v>46</v>
      </c>
      <c r="N52" s="65" t="s">
        <v>46</v>
      </c>
    </row>
    <row r="53" ht="15" customHeight="1" spans="1:14" x14ac:dyDescent="0.25">
      <c r="A53" s="60" t="s">
        <v>46</v>
      </c>
      <c r="B53" s="61" t="s">
        <v>84</v>
      </c>
      <c r="C53" s="62" t="s">
        <v>317</v>
      </c>
      <c r="D53" s="61" t="s">
        <v>144</v>
      </c>
      <c r="E53" s="61" t="s">
        <v>318</v>
      </c>
      <c r="F53" s="63" t="s">
        <v>234</v>
      </c>
      <c r="G53" s="63" t="s">
        <v>234</v>
      </c>
      <c r="H53" s="63" t="s">
        <v>66</v>
      </c>
      <c r="I53" s="63" t="s">
        <v>97</v>
      </c>
      <c r="J53" s="63" t="s">
        <v>234</v>
      </c>
      <c r="K53" s="63" t="s">
        <v>113</v>
      </c>
      <c r="L53" s="63" t="s">
        <v>234</v>
      </c>
      <c r="M53" s="61" t="s">
        <v>46</v>
      </c>
      <c r="N53" s="61" t="s">
        <v>46</v>
      </c>
    </row>
    <row r="54" ht="15" customHeight="1" spans="1:14" x14ac:dyDescent="0.25">
      <c r="A54" s="64" t="s">
        <v>46</v>
      </c>
      <c r="B54" s="65" t="s">
        <v>84</v>
      </c>
      <c r="C54" s="66" t="s">
        <v>353</v>
      </c>
      <c r="D54" s="65" t="s">
        <v>146</v>
      </c>
      <c r="E54" s="65" t="s">
        <v>354</v>
      </c>
      <c r="F54" s="67" t="s">
        <v>234</v>
      </c>
      <c r="G54" s="67" t="s">
        <v>234</v>
      </c>
      <c r="H54" s="67" t="s">
        <v>66</v>
      </c>
      <c r="I54" s="67" t="s">
        <v>97</v>
      </c>
      <c r="J54" s="67" t="s">
        <v>234</v>
      </c>
      <c r="K54" s="67" t="s">
        <v>113</v>
      </c>
      <c r="L54" s="67" t="s">
        <v>234</v>
      </c>
      <c r="M54" s="65" t="s">
        <v>46</v>
      </c>
      <c r="N54" s="65" t="s">
        <v>46</v>
      </c>
    </row>
    <row r="55" ht="15" customHeight="1" spans="1:14" x14ac:dyDescent="0.25">
      <c r="A55" s="60" t="s">
        <v>46</v>
      </c>
      <c r="B55" s="61" t="s">
        <v>84</v>
      </c>
      <c r="C55" s="62" t="s">
        <v>357</v>
      </c>
      <c r="D55" s="61" t="s">
        <v>146</v>
      </c>
      <c r="E55" s="61" t="s">
        <v>358</v>
      </c>
      <c r="F55" s="63" t="s">
        <v>234</v>
      </c>
      <c r="G55" s="63" t="s">
        <v>234</v>
      </c>
      <c r="H55" s="63" t="s">
        <v>66</v>
      </c>
      <c r="I55" s="63" t="s">
        <v>97</v>
      </c>
      <c r="J55" s="63" t="s">
        <v>234</v>
      </c>
      <c r="K55" s="63" t="s">
        <v>113</v>
      </c>
      <c r="L55" s="63" t="s">
        <v>234</v>
      </c>
      <c r="M55" s="61" t="s">
        <v>46</v>
      </c>
      <c r="N55" s="61" t="s">
        <v>46</v>
      </c>
    </row>
    <row r="56" ht="15" customHeight="1" spans="1:14" x14ac:dyDescent="0.25">
      <c r="A56" s="64" t="s">
        <v>46</v>
      </c>
      <c r="B56" s="65" t="s">
        <v>84</v>
      </c>
      <c r="C56" s="66" t="s">
        <v>361</v>
      </c>
      <c r="D56" s="65" t="s">
        <v>146</v>
      </c>
      <c r="E56" s="65" t="s">
        <v>362</v>
      </c>
      <c r="F56" s="67" t="s">
        <v>234</v>
      </c>
      <c r="G56" s="67" t="s">
        <v>234</v>
      </c>
      <c r="H56" s="67" t="s">
        <v>66</v>
      </c>
      <c r="I56" s="67" t="s">
        <v>97</v>
      </c>
      <c r="J56" s="67" t="s">
        <v>234</v>
      </c>
      <c r="K56" s="67" t="s">
        <v>113</v>
      </c>
      <c r="L56" s="67" t="s">
        <v>234</v>
      </c>
      <c r="M56" s="65" t="s">
        <v>46</v>
      </c>
      <c r="N56" s="65" t="s">
        <v>46</v>
      </c>
    </row>
    <row r="57" ht="15" customHeight="1" spans="1:14" x14ac:dyDescent="0.25">
      <c r="A57" s="60" t="s">
        <v>46</v>
      </c>
      <c r="B57" s="61" t="s">
        <v>84</v>
      </c>
      <c r="C57" s="62" t="s">
        <v>446</v>
      </c>
      <c r="D57" s="61" t="s">
        <v>147</v>
      </c>
      <c r="E57" s="61" t="s">
        <v>447</v>
      </c>
      <c r="F57" s="63" t="s">
        <v>234</v>
      </c>
      <c r="G57" s="63" t="s">
        <v>234</v>
      </c>
      <c r="H57" s="63" t="s">
        <v>66</v>
      </c>
      <c r="I57" s="63" t="s">
        <v>97</v>
      </c>
      <c r="J57" s="63" t="s">
        <v>234</v>
      </c>
      <c r="K57" s="63" t="s">
        <v>113</v>
      </c>
      <c r="L57" s="63" t="s">
        <v>234</v>
      </c>
      <c r="M57" s="61" t="s">
        <v>46</v>
      </c>
      <c r="N57" s="61" t="s">
        <v>46</v>
      </c>
    </row>
    <row r="58" ht="15" customHeight="1" spans="1:14" x14ac:dyDescent="0.25">
      <c r="A58" s="64" t="s">
        <v>46</v>
      </c>
      <c r="B58" s="65" t="s">
        <v>84</v>
      </c>
      <c r="C58" s="66" t="s">
        <v>450</v>
      </c>
      <c r="D58" s="65" t="s">
        <v>147</v>
      </c>
      <c r="E58" s="65" t="s">
        <v>451</v>
      </c>
      <c r="F58" s="67" t="s">
        <v>234</v>
      </c>
      <c r="G58" s="67" t="s">
        <v>234</v>
      </c>
      <c r="H58" s="67" t="s">
        <v>66</v>
      </c>
      <c r="I58" s="67" t="s">
        <v>97</v>
      </c>
      <c r="J58" s="67" t="s">
        <v>234</v>
      </c>
      <c r="K58" s="67" t="s">
        <v>113</v>
      </c>
      <c r="L58" s="67" t="s">
        <v>234</v>
      </c>
      <c r="M58" s="65" t="s">
        <v>46</v>
      </c>
      <c r="N58" s="65" t="s">
        <v>46</v>
      </c>
    </row>
    <row r="59" ht="15" customHeight="1" spans="1:14" x14ac:dyDescent="0.25">
      <c r="A59" s="60" t="s">
        <v>46</v>
      </c>
      <c r="B59" s="61" t="s">
        <v>84</v>
      </c>
      <c r="C59" s="62" t="s">
        <v>454</v>
      </c>
      <c r="D59" s="61" t="s">
        <v>148</v>
      </c>
      <c r="E59" s="61" t="s">
        <v>456</v>
      </c>
      <c r="F59" s="63" t="s">
        <v>234</v>
      </c>
      <c r="G59" s="63" t="s">
        <v>234</v>
      </c>
      <c r="H59" s="63" t="s">
        <v>66</v>
      </c>
      <c r="I59" s="63" t="s">
        <v>97</v>
      </c>
      <c r="J59" s="63" t="s">
        <v>234</v>
      </c>
      <c r="K59" s="63" t="s">
        <v>113</v>
      </c>
      <c r="L59" s="63" t="s">
        <v>234</v>
      </c>
      <c r="M59" s="61" t="s">
        <v>46</v>
      </c>
      <c r="N59" s="61" t="s">
        <v>46</v>
      </c>
    </row>
    <row r="60" ht="15" customHeight="1" spans="1:14" x14ac:dyDescent="0.25">
      <c r="A60" s="64" t="s">
        <v>46</v>
      </c>
      <c r="B60" s="65" t="s">
        <v>84</v>
      </c>
      <c r="C60" s="66" t="s">
        <v>524</v>
      </c>
      <c r="D60" s="65" t="s">
        <v>150</v>
      </c>
      <c r="E60" s="65" t="s">
        <v>526</v>
      </c>
      <c r="F60" s="67" t="s">
        <v>234</v>
      </c>
      <c r="G60" s="67" t="s">
        <v>234</v>
      </c>
      <c r="H60" s="67" t="s">
        <v>66</v>
      </c>
      <c r="I60" s="67" t="s">
        <v>97</v>
      </c>
      <c r="J60" s="67" t="s">
        <v>234</v>
      </c>
      <c r="K60" s="67" t="s">
        <v>113</v>
      </c>
      <c r="L60" s="67" t="s">
        <v>234</v>
      </c>
      <c r="M60" s="65" t="s">
        <v>46</v>
      </c>
      <c r="N60" s="65" t="s">
        <v>46</v>
      </c>
    </row>
    <row r="61" ht="15" customHeight="1" spans="1:14" x14ac:dyDescent="0.25">
      <c r="A61" s="60" t="s">
        <v>46</v>
      </c>
      <c r="B61" s="61" t="s">
        <v>84</v>
      </c>
      <c r="C61" s="62" t="s">
        <v>2025</v>
      </c>
      <c r="D61" s="61" t="s">
        <v>184</v>
      </c>
      <c r="E61" s="61" t="s">
        <v>2027</v>
      </c>
      <c r="F61" s="63" t="s">
        <v>234</v>
      </c>
      <c r="G61" s="63" t="s">
        <v>234</v>
      </c>
      <c r="H61" s="63" t="s">
        <v>66</v>
      </c>
      <c r="I61" s="63" t="s">
        <v>97</v>
      </c>
      <c r="J61" s="63" t="s">
        <v>234</v>
      </c>
      <c r="K61" s="63" t="s">
        <v>113</v>
      </c>
      <c r="L61" s="63" t="s">
        <v>234</v>
      </c>
      <c r="M61" s="61" t="s">
        <v>46</v>
      </c>
      <c r="N61" s="61" t="s">
        <v>46</v>
      </c>
    </row>
    <row r="62" ht="15" customHeight="1" spans="1:14" x14ac:dyDescent="0.25">
      <c r="A62" s="64" t="s">
        <v>46</v>
      </c>
      <c r="B62" s="65" t="s">
        <v>84</v>
      </c>
      <c r="C62" s="66" t="s">
        <v>2031</v>
      </c>
      <c r="D62" s="65" t="s">
        <v>184</v>
      </c>
      <c r="E62" s="65" t="s">
        <v>2032</v>
      </c>
      <c r="F62" s="67" t="s">
        <v>234</v>
      </c>
      <c r="G62" s="67" t="s">
        <v>234</v>
      </c>
      <c r="H62" s="67" t="s">
        <v>66</v>
      </c>
      <c r="I62" s="67" t="s">
        <v>97</v>
      </c>
      <c r="J62" s="67" t="s">
        <v>234</v>
      </c>
      <c r="K62" s="67" t="s">
        <v>113</v>
      </c>
      <c r="L62" s="67" t="s">
        <v>234</v>
      </c>
      <c r="M62" s="65" t="s">
        <v>46</v>
      </c>
      <c r="N62" s="65" t="s">
        <v>46</v>
      </c>
    </row>
    <row r="63" ht="15" customHeight="1" spans="1:14" x14ac:dyDescent="0.25">
      <c r="A63" s="60" t="s">
        <v>46</v>
      </c>
      <c r="B63" s="61" t="s">
        <v>84</v>
      </c>
      <c r="C63" s="62" t="s">
        <v>2168</v>
      </c>
      <c r="D63" s="61" t="s">
        <v>188</v>
      </c>
      <c r="E63" s="61" t="s">
        <v>2169</v>
      </c>
      <c r="F63" s="63" t="s">
        <v>234</v>
      </c>
      <c r="G63" s="63" t="s">
        <v>234</v>
      </c>
      <c r="H63" s="63" t="s">
        <v>66</v>
      </c>
      <c r="I63" s="63" t="s">
        <v>97</v>
      </c>
      <c r="J63" s="63" t="s">
        <v>234</v>
      </c>
      <c r="K63" s="63" t="s">
        <v>113</v>
      </c>
      <c r="L63" s="63" t="s">
        <v>234</v>
      </c>
      <c r="M63" s="61" t="s">
        <v>46</v>
      </c>
      <c r="N63" s="61" t="s">
        <v>46</v>
      </c>
    </row>
    <row r="64" ht="15" customHeight="1" spans="1:14" x14ac:dyDescent="0.25">
      <c r="A64" s="64" t="s">
        <v>46</v>
      </c>
      <c r="B64" s="65" t="s">
        <v>84</v>
      </c>
      <c r="C64" s="66" t="s">
        <v>2172</v>
      </c>
      <c r="D64" s="65" t="s">
        <v>188</v>
      </c>
      <c r="E64" s="65" t="s">
        <v>2173</v>
      </c>
      <c r="F64" s="67" t="s">
        <v>234</v>
      </c>
      <c r="G64" s="67" t="s">
        <v>234</v>
      </c>
      <c r="H64" s="67" t="s">
        <v>66</v>
      </c>
      <c r="I64" s="67" t="s">
        <v>97</v>
      </c>
      <c r="J64" s="67" t="s">
        <v>234</v>
      </c>
      <c r="K64" s="67" t="s">
        <v>113</v>
      </c>
      <c r="L64" s="67" t="s">
        <v>234</v>
      </c>
      <c r="M64" s="65" t="s">
        <v>46</v>
      </c>
      <c r="N64" s="65" t="s">
        <v>46</v>
      </c>
    </row>
    <row r="65" ht="15" customHeight="1" spans="1:14" x14ac:dyDescent="0.25">
      <c r="A65" s="60" t="s">
        <v>46</v>
      </c>
      <c r="B65" s="61" t="s">
        <v>84</v>
      </c>
      <c r="C65" s="62" t="s">
        <v>2176</v>
      </c>
      <c r="D65" s="61" t="s">
        <v>188</v>
      </c>
      <c r="E65" s="61" t="s">
        <v>2177</v>
      </c>
      <c r="F65" s="63" t="s">
        <v>234</v>
      </c>
      <c r="G65" s="63" t="s">
        <v>234</v>
      </c>
      <c r="H65" s="63" t="s">
        <v>66</v>
      </c>
      <c r="I65" s="63" t="s">
        <v>97</v>
      </c>
      <c r="J65" s="63" t="s">
        <v>234</v>
      </c>
      <c r="K65" s="63" t="s">
        <v>113</v>
      </c>
      <c r="L65" s="63" t="s">
        <v>234</v>
      </c>
      <c r="M65" s="61" t="s">
        <v>46</v>
      </c>
      <c r="N65" s="61" t="s">
        <v>46</v>
      </c>
    </row>
    <row r="66" ht="15" customHeight="1" spans="1:14" x14ac:dyDescent="0.25">
      <c r="A66" s="64" t="s">
        <v>46</v>
      </c>
      <c r="B66" s="65" t="s">
        <v>84</v>
      </c>
      <c r="C66" s="66" t="s">
        <v>2180</v>
      </c>
      <c r="D66" s="65" t="s">
        <v>188</v>
      </c>
      <c r="E66" s="65" t="s">
        <v>2181</v>
      </c>
      <c r="F66" s="67" t="s">
        <v>234</v>
      </c>
      <c r="G66" s="67" t="s">
        <v>234</v>
      </c>
      <c r="H66" s="67" t="s">
        <v>66</v>
      </c>
      <c r="I66" s="67" t="s">
        <v>97</v>
      </c>
      <c r="J66" s="67" t="s">
        <v>234</v>
      </c>
      <c r="K66" s="67" t="s">
        <v>113</v>
      </c>
      <c r="L66" s="67" t="s">
        <v>234</v>
      </c>
      <c r="M66" s="65" t="s">
        <v>46</v>
      </c>
      <c r="N66" s="65" t="s">
        <v>46</v>
      </c>
    </row>
    <row r="67" ht="15" customHeight="1" spans="1:14" x14ac:dyDescent="0.25">
      <c r="A67" s="60" t="s">
        <v>46</v>
      </c>
      <c r="B67" s="61" t="s">
        <v>84</v>
      </c>
      <c r="C67" s="62" t="s">
        <v>2184</v>
      </c>
      <c r="D67" s="61" t="s">
        <v>188</v>
      </c>
      <c r="E67" s="61" t="s">
        <v>2185</v>
      </c>
      <c r="F67" s="63" t="s">
        <v>234</v>
      </c>
      <c r="G67" s="63" t="s">
        <v>234</v>
      </c>
      <c r="H67" s="63" t="s">
        <v>66</v>
      </c>
      <c r="I67" s="63" t="s">
        <v>97</v>
      </c>
      <c r="J67" s="63" t="s">
        <v>234</v>
      </c>
      <c r="K67" s="63" t="s">
        <v>113</v>
      </c>
      <c r="L67" s="63" t="s">
        <v>234</v>
      </c>
      <c r="M67" s="61" t="s">
        <v>46</v>
      </c>
      <c r="N67" s="61" t="s">
        <v>46</v>
      </c>
    </row>
    <row r="68" ht="15" customHeight="1" spans="1:14" x14ac:dyDescent="0.25">
      <c r="A68" s="64" t="s">
        <v>46</v>
      </c>
      <c r="B68" s="65" t="s">
        <v>84</v>
      </c>
      <c r="C68" s="66" t="s">
        <v>2284</v>
      </c>
      <c r="D68" s="65" t="s">
        <v>191</v>
      </c>
      <c r="E68" s="65" t="s">
        <v>2285</v>
      </c>
      <c r="F68" s="67" t="s">
        <v>234</v>
      </c>
      <c r="G68" s="67" t="s">
        <v>234</v>
      </c>
      <c r="H68" s="67" t="s">
        <v>66</v>
      </c>
      <c r="I68" s="67" t="s">
        <v>97</v>
      </c>
      <c r="J68" s="67" t="s">
        <v>234</v>
      </c>
      <c r="K68" s="67" t="s">
        <v>113</v>
      </c>
      <c r="L68" s="67" t="s">
        <v>234</v>
      </c>
      <c r="M68" s="65" t="s">
        <v>46</v>
      </c>
      <c r="N68" s="65" t="s">
        <v>46</v>
      </c>
    </row>
    <row r="69" ht="15" customHeight="1" spans="1:14" x14ac:dyDescent="0.25">
      <c r="A69" s="60" t="s">
        <v>46</v>
      </c>
      <c r="B69" s="61" t="s">
        <v>84</v>
      </c>
      <c r="C69" s="62" t="s">
        <v>2288</v>
      </c>
      <c r="D69" s="61" t="s">
        <v>191</v>
      </c>
      <c r="E69" s="61" t="s">
        <v>2289</v>
      </c>
      <c r="F69" s="63" t="s">
        <v>234</v>
      </c>
      <c r="G69" s="63" t="s">
        <v>234</v>
      </c>
      <c r="H69" s="63" t="s">
        <v>66</v>
      </c>
      <c r="I69" s="63" t="s">
        <v>97</v>
      </c>
      <c r="J69" s="63" t="s">
        <v>234</v>
      </c>
      <c r="K69" s="63" t="s">
        <v>113</v>
      </c>
      <c r="L69" s="63" t="s">
        <v>234</v>
      </c>
      <c r="M69" s="61" t="s">
        <v>46</v>
      </c>
      <c r="N69" s="61" t="s">
        <v>46</v>
      </c>
    </row>
    <row r="70" ht="15" customHeight="1" spans="1:14" x14ac:dyDescent="0.25">
      <c r="A70" s="64" t="s">
        <v>46</v>
      </c>
      <c r="B70" s="65" t="s">
        <v>84</v>
      </c>
      <c r="C70" s="66" t="s">
        <v>2292</v>
      </c>
      <c r="D70" s="65" t="s">
        <v>191</v>
      </c>
      <c r="E70" s="65" t="s">
        <v>2293</v>
      </c>
      <c r="F70" s="67" t="s">
        <v>234</v>
      </c>
      <c r="G70" s="67" t="s">
        <v>234</v>
      </c>
      <c r="H70" s="67" t="s">
        <v>66</v>
      </c>
      <c r="I70" s="67" t="s">
        <v>97</v>
      </c>
      <c r="J70" s="67" t="s">
        <v>234</v>
      </c>
      <c r="K70" s="67" t="s">
        <v>113</v>
      </c>
      <c r="L70" s="67" t="s">
        <v>234</v>
      </c>
      <c r="M70" s="65" t="s">
        <v>46</v>
      </c>
      <c r="N70" s="65" t="s">
        <v>46</v>
      </c>
    </row>
    <row r="71" ht="15" customHeight="1" spans="1:14" x14ac:dyDescent="0.25">
      <c r="A71" s="60" t="s">
        <v>46</v>
      </c>
      <c r="B71" s="61" t="s">
        <v>84</v>
      </c>
      <c r="C71" s="62" t="s">
        <v>2349</v>
      </c>
      <c r="D71" s="61" t="s">
        <v>193</v>
      </c>
      <c r="E71" s="61" t="s">
        <v>2350</v>
      </c>
      <c r="F71" s="63" t="s">
        <v>234</v>
      </c>
      <c r="G71" s="63" t="s">
        <v>234</v>
      </c>
      <c r="H71" s="63" t="s">
        <v>66</v>
      </c>
      <c r="I71" s="63" t="s">
        <v>97</v>
      </c>
      <c r="J71" s="63" t="s">
        <v>234</v>
      </c>
      <c r="K71" s="63" t="s">
        <v>113</v>
      </c>
      <c r="L71" s="63" t="s">
        <v>234</v>
      </c>
      <c r="M71" s="61" t="s">
        <v>46</v>
      </c>
      <c r="N71" s="61" t="s">
        <v>46</v>
      </c>
    </row>
    <row r="72" ht="15" customHeight="1" spans="1:14" x14ac:dyDescent="0.25">
      <c r="A72" s="64" t="s">
        <v>46</v>
      </c>
      <c r="B72" s="65" t="s">
        <v>84</v>
      </c>
      <c r="C72" s="66" t="s">
        <v>2353</v>
      </c>
      <c r="D72" s="65" t="s">
        <v>193</v>
      </c>
      <c r="E72" s="65" t="s">
        <v>2354</v>
      </c>
      <c r="F72" s="67" t="s">
        <v>234</v>
      </c>
      <c r="G72" s="67" t="s">
        <v>234</v>
      </c>
      <c r="H72" s="67" t="s">
        <v>66</v>
      </c>
      <c r="I72" s="67" t="s">
        <v>97</v>
      </c>
      <c r="J72" s="67" t="s">
        <v>234</v>
      </c>
      <c r="K72" s="67" t="s">
        <v>113</v>
      </c>
      <c r="L72" s="67" t="s">
        <v>234</v>
      </c>
      <c r="M72" s="65" t="s">
        <v>46</v>
      </c>
      <c r="N72" s="65" t="s">
        <v>46</v>
      </c>
    </row>
    <row r="73" ht="15" customHeight="1" spans="1:14" x14ac:dyDescent="0.25">
      <c r="A73" s="60" t="s">
        <v>46</v>
      </c>
      <c r="B73" s="61" t="s">
        <v>85</v>
      </c>
      <c r="C73" s="62" t="s">
        <v>366</v>
      </c>
      <c r="D73" s="61" t="s">
        <v>146</v>
      </c>
      <c r="E73" s="61" t="s">
        <v>367</v>
      </c>
      <c r="F73" s="63" t="s">
        <v>234</v>
      </c>
      <c r="G73" s="63" t="s">
        <v>234</v>
      </c>
      <c r="H73" s="63" t="s">
        <v>66</v>
      </c>
      <c r="I73" s="63" t="s">
        <v>97</v>
      </c>
      <c r="J73" s="63" t="s">
        <v>234</v>
      </c>
      <c r="K73" s="63" t="s">
        <v>113</v>
      </c>
      <c r="L73" s="63" t="s">
        <v>234</v>
      </c>
      <c r="M73" s="61" t="s">
        <v>46</v>
      </c>
      <c r="N73" s="61" t="s">
        <v>46</v>
      </c>
    </row>
    <row r="74" ht="15" customHeight="1" spans="1:14" x14ac:dyDescent="0.25">
      <c r="A74" s="64" t="s">
        <v>46</v>
      </c>
      <c r="B74" s="65" t="s">
        <v>85</v>
      </c>
      <c r="C74" s="66" t="s">
        <v>370</v>
      </c>
      <c r="D74" s="65" t="s">
        <v>146</v>
      </c>
      <c r="E74" s="65" t="s">
        <v>371</v>
      </c>
      <c r="F74" s="67" t="s">
        <v>234</v>
      </c>
      <c r="G74" s="67" t="s">
        <v>234</v>
      </c>
      <c r="H74" s="67" t="s">
        <v>66</v>
      </c>
      <c r="I74" s="67" t="s">
        <v>97</v>
      </c>
      <c r="J74" s="67" t="s">
        <v>234</v>
      </c>
      <c r="K74" s="67" t="s">
        <v>113</v>
      </c>
      <c r="L74" s="67" t="s">
        <v>234</v>
      </c>
      <c r="M74" s="65" t="s">
        <v>46</v>
      </c>
      <c r="N74" s="65" t="s">
        <v>46</v>
      </c>
    </row>
    <row r="75" ht="15" customHeight="1" spans="1:14" x14ac:dyDescent="0.25">
      <c r="A75" s="60" t="s">
        <v>46</v>
      </c>
      <c r="B75" s="61" t="s">
        <v>85</v>
      </c>
      <c r="C75" s="62" t="s">
        <v>375</v>
      </c>
      <c r="D75" s="61" t="s">
        <v>146</v>
      </c>
      <c r="E75" s="61" t="s">
        <v>376</v>
      </c>
      <c r="F75" s="63" t="s">
        <v>234</v>
      </c>
      <c r="G75" s="63" t="s">
        <v>234</v>
      </c>
      <c r="H75" s="63" t="s">
        <v>66</v>
      </c>
      <c r="I75" s="63" t="s">
        <v>97</v>
      </c>
      <c r="J75" s="63" t="s">
        <v>234</v>
      </c>
      <c r="K75" s="63" t="s">
        <v>113</v>
      </c>
      <c r="L75" s="63" t="s">
        <v>234</v>
      </c>
      <c r="M75" s="61" t="s">
        <v>46</v>
      </c>
      <c r="N75" s="61" t="s">
        <v>46</v>
      </c>
    </row>
    <row r="76" ht="15" customHeight="1" spans="1:14" x14ac:dyDescent="0.25">
      <c r="A76" s="64" t="s">
        <v>46</v>
      </c>
      <c r="B76" s="65" t="s">
        <v>85</v>
      </c>
      <c r="C76" s="66" t="s">
        <v>461</v>
      </c>
      <c r="D76" s="65" t="s">
        <v>148</v>
      </c>
      <c r="E76" s="65" t="s">
        <v>462</v>
      </c>
      <c r="F76" s="67" t="s">
        <v>234</v>
      </c>
      <c r="G76" s="67" t="s">
        <v>234</v>
      </c>
      <c r="H76" s="67" t="s">
        <v>66</v>
      </c>
      <c r="I76" s="67" t="s">
        <v>97</v>
      </c>
      <c r="J76" s="67" t="s">
        <v>234</v>
      </c>
      <c r="K76" s="67" t="s">
        <v>113</v>
      </c>
      <c r="L76" s="67" t="s">
        <v>234</v>
      </c>
      <c r="M76" s="65" t="s">
        <v>46</v>
      </c>
      <c r="N76" s="65" t="s">
        <v>46</v>
      </c>
    </row>
    <row r="77" ht="15" customHeight="1" spans="1:14" x14ac:dyDescent="0.25">
      <c r="A77" s="60" t="s">
        <v>46</v>
      </c>
      <c r="B77" s="61" t="s">
        <v>85</v>
      </c>
      <c r="C77" s="62" t="s">
        <v>466</v>
      </c>
      <c r="D77" s="61" t="s">
        <v>148</v>
      </c>
      <c r="E77" s="61" t="s">
        <v>467</v>
      </c>
      <c r="F77" s="63" t="s">
        <v>234</v>
      </c>
      <c r="G77" s="63" t="s">
        <v>234</v>
      </c>
      <c r="H77" s="63" t="s">
        <v>66</v>
      </c>
      <c r="I77" s="63" t="s">
        <v>97</v>
      </c>
      <c r="J77" s="63" t="s">
        <v>234</v>
      </c>
      <c r="K77" s="63" t="s">
        <v>113</v>
      </c>
      <c r="L77" s="63" t="s">
        <v>234</v>
      </c>
      <c r="M77" s="61" t="s">
        <v>46</v>
      </c>
      <c r="N77" s="61" t="s">
        <v>46</v>
      </c>
    </row>
    <row r="78" ht="15" customHeight="1" spans="1:14" x14ac:dyDescent="0.25">
      <c r="A78" s="64" t="s">
        <v>46</v>
      </c>
      <c r="B78" s="65" t="s">
        <v>85</v>
      </c>
      <c r="C78" s="66" t="s">
        <v>472</v>
      </c>
      <c r="D78" s="65" t="s">
        <v>148</v>
      </c>
      <c r="E78" s="65" t="s">
        <v>473</v>
      </c>
      <c r="F78" s="67" t="s">
        <v>234</v>
      </c>
      <c r="G78" s="67" t="s">
        <v>234</v>
      </c>
      <c r="H78" s="67" t="s">
        <v>66</v>
      </c>
      <c r="I78" s="67" t="s">
        <v>97</v>
      </c>
      <c r="J78" s="67" t="s">
        <v>234</v>
      </c>
      <c r="K78" s="67" t="s">
        <v>113</v>
      </c>
      <c r="L78" s="67" t="s">
        <v>234</v>
      </c>
      <c r="M78" s="65" t="s">
        <v>46</v>
      </c>
      <c r="N78" s="65" t="s">
        <v>46</v>
      </c>
    </row>
    <row r="79" ht="15" customHeight="1" spans="1:14" x14ac:dyDescent="0.25">
      <c r="A79" s="60" t="s">
        <v>46</v>
      </c>
      <c r="B79" s="61" t="s">
        <v>85</v>
      </c>
      <c r="C79" s="62" t="s">
        <v>531</v>
      </c>
      <c r="D79" s="61" t="s">
        <v>150</v>
      </c>
      <c r="E79" s="61" t="s">
        <v>532</v>
      </c>
      <c r="F79" s="63" t="s">
        <v>234</v>
      </c>
      <c r="G79" s="63" t="s">
        <v>234</v>
      </c>
      <c r="H79" s="63" t="s">
        <v>66</v>
      </c>
      <c r="I79" s="63" t="s">
        <v>97</v>
      </c>
      <c r="J79" s="63" t="s">
        <v>234</v>
      </c>
      <c r="K79" s="63" t="s">
        <v>113</v>
      </c>
      <c r="L79" s="63" t="s">
        <v>234</v>
      </c>
      <c r="M79" s="61" t="s">
        <v>46</v>
      </c>
      <c r="N79" s="61" t="s">
        <v>46</v>
      </c>
    </row>
    <row r="80" ht="15" customHeight="1" spans="1:14" x14ac:dyDescent="0.25">
      <c r="A80" s="64" t="s">
        <v>46</v>
      </c>
      <c r="B80" s="65" t="s">
        <v>85</v>
      </c>
      <c r="C80" s="66" t="s">
        <v>535</v>
      </c>
      <c r="D80" s="65" t="s">
        <v>150</v>
      </c>
      <c r="E80" s="65" t="s">
        <v>536</v>
      </c>
      <c r="F80" s="67" t="s">
        <v>234</v>
      </c>
      <c r="G80" s="67" t="s">
        <v>234</v>
      </c>
      <c r="H80" s="67" t="s">
        <v>66</v>
      </c>
      <c r="I80" s="67" t="s">
        <v>97</v>
      </c>
      <c r="J80" s="67" t="s">
        <v>234</v>
      </c>
      <c r="K80" s="67" t="s">
        <v>113</v>
      </c>
      <c r="L80" s="67" t="s">
        <v>234</v>
      </c>
      <c r="M80" s="65" t="s">
        <v>46</v>
      </c>
      <c r="N80" s="65" t="s">
        <v>46</v>
      </c>
    </row>
    <row r="81" ht="15" customHeight="1" spans="1:14" x14ac:dyDescent="0.25">
      <c r="A81" s="60" t="s">
        <v>46</v>
      </c>
      <c r="B81" s="61" t="s">
        <v>85</v>
      </c>
      <c r="C81" s="62" t="s">
        <v>539</v>
      </c>
      <c r="D81" s="61" t="s">
        <v>150</v>
      </c>
      <c r="E81" s="61" t="s">
        <v>540</v>
      </c>
      <c r="F81" s="63" t="s">
        <v>234</v>
      </c>
      <c r="G81" s="63" t="s">
        <v>234</v>
      </c>
      <c r="H81" s="63" t="s">
        <v>66</v>
      </c>
      <c r="I81" s="63" t="s">
        <v>97</v>
      </c>
      <c r="J81" s="63" t="s">
        <v>234</v>
      </c>
      <c r="K81" s="63" t="s">
        <v>113</v>
      </c>
      <c r="L81" s="63" t="s">
        <v>234</v>
      </c>
      <c r="M81" s="61" t="s">
        <v>46</v>
      </c>
      <c r="N81" s="61" t="s">
        <v>46</v>
      </c>
    </row>
    <row r="82" ht="15" customHeight="1" spans="1:14" x14ac:dyDescent="0.25">
      <c r="A82" s="64" t="s">
        <v>46</v>
      </c>
      <c r="B82" s="65" t="s">
        <v>85</v>
      </c>
      <c r="C82" s="66" t="s">
        <v>543</v>
      </c>
      <c r="D82" s="65" t="s">
        <v>150</v>
      </c>
      <c r="E82" s="65" t="s">
        <v>544</v>
      </c>
      <c r="F82" s="67" t="s">
        <v>234</v>
      </c>
      <c r="G82" s="67" t="s">
        <v>234</v>
      </c>
      <c r="H82" s="67" t="s">
        <v>66</v>
      </c>
      <c r="I82" s="67" t="s">
        <v>97</v>
      </c>
      <c r="J82" s="67" t="s">
        <v>234</v>
      </c>
      <c r="K82" s="67" t="s">
        <v>113</v>
      </c>
      <c r="L82" s="67" t="s">
        <v>234</v>
      </c>
      <c r="M82" s="65" t="s">
        <v>46</v>
      </c>
      <c r="N82" s="65" t="s">
        <v>46</v>
      </c>
    </row>
    <row r="83" ht="15" customHeight="1" spans="1:14" x14ac:dyDescent="0.25">
      <c r="A83" s="60" t="s">
        <v>46</v>
      </c>
      <c r="B83" s="61" t="s">
        <v>85</v>
      </c>
      <c r="C83" s="62" t="s">
        <v>547</v>
      </c>
      <c r="D83" s="61" t="s">
        <v>150</v>
      </c>
      <c r="E83" s="61" t="s">
        <v>548</v>
      </c>
      <c r="F83" s="63" t="s">
        <v>234</v>
      </c>
      <c r="G83" s="63" t="s">
        <v>234</v>
      </c>
      <c r="H83" s="63" t="s">
        <v>66</v>
      </c>
      <c r="I83" s="63" t="s">
        <v>97</v>
      </c>
      <c r="J83" s="63" t="s">
        <v>234</v>
      </c>
      <c r="K83" s="63" t="s">
        <v>113</v>
      </c>
      <c r="L83" s="63" t="s">
        <v>234</v>
      </c>
      <c r="M83" s="61" t="s">
        <v>46</v>
      </c>
      <c r="N83" s="61" t="s">
        <v>46</v>
      </c>
    </row>
    <row r="84" ht="15" customHeight="1" spans="1:14" x14ac:dyDescent="0.25">
      <c r="A84" s="64" t="s">
        <v>46</v>
      </c>
      <c r="B84" s="65" t="s">
        <v>85</v>
      </c>
      <c r="C84" s="66" t="s">
        <v>2035</v>
      </c>
      <c r="D84" s="65" t="s">
        <v>184</v>
      </c>
      <c r="E84" s="65" t="s">
        <v>2036</v>
      </c>
      <c r="F84" s="67" t="s">
        <v>234</v>
      </c>
      <c r="G84" s="67" t="s">
        <v>234</v>
      </c>
      <c r="H84" s="67" t="s">
        <v>66</v>
      </c>
      <c r="I84" s="67" t="s">
        <v>97</v>
      </c>
      <c r="J84" s="67" t="s">
        <v>234</v>
      </c>
      <c r="K84" s="67" t="s">
        <v>113</v>
      </c>
      <c r="L84" s="67" t="s">
        <v>234</v>
      </c>
      <c r="M84" s="65" t="s">
        <v>46</v>
      </c>
      <c r="N84" s="65" t="s">
        <v>46</v>
      </c>
    </row>
    <row r="85" ht="15" customHeight="1" spans="1:14" x14ac:dyDescent="0.25">
      <c r="A85" s="60" t="s">
        <v>46</v>
      </c>
      <c r="B85" s="61" t="s">
        <v>85</v>
      </c>
      <c r="C85" s="62" t="s">
        <v>2039</v>
      </c>
      <c r="D85" s="61" t="s">
        <v>184</v>
      </c>
      <c r="E85" s="61" t="s">
        <v>2040</v>
      </c>
      <c r="F85" s="63" t="s">
        <v>234</v>
      </c>
      <c r="G85" s="63" t="s">
        <v>234</v>
      </c>
      <c r="H85" s="63" t="s">
        <v>66</v>
      </c>
      <c r="I85" s="63" t="s">
        <v>97</v>
      </c>
      <c r="J85" s="63" t="s">
        <v>234</v>
      </c>
      <c r="K85" s="63" t="s">
        <v>113</v>
      </c>
      <c r="L85" s="63" t="s">
        <v>234</v>
      </c>
      <c r="M85" s="61" t="s">
        <v>46</v>
      </c>
      <c r="N85" s="61" t="s">
        <v>46</v>
      </c>
    </row>
    <row r="86" ht="15" customHeight="1" spans="1:14" x14ac:dyDescent="0.25">
      <c r="A86" s="64" t="s">
        <v>46</v>
      </c>
      <c r="B86" s="65" t="s">
        <v>85</v>
      </c>
      <c r="C86" s="66" t="s">
        <v>2043</v>
      </c>
      <c r="D86" s="65" t="s">
        <v>184</v>
      </c>
      <c r="E86" s="65" t="s">
        <v>2044</v>
      </c>
      <c r="F86" s="67" t="s">
        <v>234</v>
      </c>
      <c r="G86" s="67" t="s">
        <v>234</v>
      </c>
      <c r="H86" s="67" t="s">
        <v>66</v>
      </c>
      <c r="I86" s="67" t="s">
        <v>97</v>
      </c>
      <c r="J86" s="67" t="s">
        <v>234</v>
      </c>
      <c r="K86" s="67" t="s">
        <v>113</v>
      </c>
      <c r="L86" s="67" t="s">
        <v>234</v>
      </c>
      <c r="M86" s="65" t="s">
        <v>46</v>
      </c>
      <c r="N86" s="65" t="s">
        <v>46</v>
      </c>
    </row>
    <row r="87" ht="15" customHeight="1" spans="1:14" x14ac:dyDescent="0.25">
      <c r="A87" s="60" t="s">
        <v>46</v>
      </c>
      <c r="B87" s="61" t="s">
        <v>85</v>
      </c>
      <c r="C87" s="62" t="s">
        <v>2047</v>
      </c>
      <c r="D87" s="61" t="s">
        <v>184</v>
      </c>
      <c r="E87" s="61" t="s">
        <v>2048</v>
      </c>
      <c r="F87" s="63" t="s">
        <v>234</v>
      </c>
      <c r="G87" s="63" t="s">
        <v>234</v>
      </c>
      <c r="H87" s="63" t="s">
        <v>66</v>
      </c>
      <c r="I87" s="63" t="s">
        <v>97</v>
      </c>
      <c r="J87" s="63" t="s">
        <v>234</v>
      </c>
      <c r="K87" s="63" t="s">
        <v>113</v>
      </c>
      <c r="L87" s="63" t="s">
        <v>234</v>
      </c>
      <c r="M87" s="61" t="s">
        <v>46</v>
      </c>
      <c r="N87" s="61" t="s">
        <v>46</v>
      </c>
    </row>
    <row r="88" ht="15" customHeight="1" spans="1:14" x14ac:dyDescent="0.25">
      <c r="A88" s="64" t="s">
        <v>46</v>
      </c>
      <c r="B88" s="65" t="s">
        <v>85</v>
      </c>
      <c r="C88" s="66" t="s">
        <v>2063</v>
      </c>
      <c r="D88" s="65" t="s">
        <v>186</v>
      </c>
      <c r="E88" s="65" t="s">
        <v>2065</v>
      </c>
      <c r="F88" s="67" t="s">
        <v>234</v>
      </c>
      <c r="G88" s="67" t="s">
        <v>234</v>
      </c>
      <c r="H88" s="67" t="s">
        <v>66</v>
      </c>
      <c r="I88" s="67" t="s">
        <v>97</v>
      </c>
      <c r="J88" s="67" t="s">
        <v>234</v>
      </c>
      <c r="K88" s="67" t="s">
        <v>113</v>
      </c>
      <c r="L88" s="67" t="s">
        <v>234</v>
      </c>
      <c r="M88" s="65" t="s">
        <v>46</v>
      </c>
      <c r="N88" s="65" t="s">
        <v>46</v>
      </c>
    </row>
    <row r="89" ht="15" customHeight="1" spans="1:14" x14ac:dyDescent="0.25">
      <c r="A89" s="60" t="s">
        <v>46</v>
      </c>
      <c r="B89" s="61" t="s">
        <v>85</v>
      </c>
      <c r="C89" s="62" t="s">
        <v>2188</v>
      </c>
      <c r="D89" s="61" t="s">
        <v>188</v>
      </c>
      <c r="E89" s="61" t="s">
        <v>2189</v>
      </c>
      <c r="F89" s="63" t="s">
        <v>234</v>
      </c>
      <c r="G89" s="63" t="s">
        <v>234</v>
      </c>
      <c r="H89" s="63" t="s">
        <v>66</v>
      </c>
      <c r="I89" s="63" t="s">
        <v>97</v>
      </c>
      <c r="J89" s="63" t="s">
        <v>234</v>
      </c>
      <c r="K89" s="63" t="s">
        <v>113</v>
      </c>
      <c r="L89" s="63" t="s">
        <v>234</v>
      </c>
      <c r="M89" s="61" t="s">
        <v>46</v>
      </c>
      <c r="N89" s="61" t="s">
        <v>46</v>
      </c>
    </row>
    <row r="90" ht="15" customHeight="1" spans="1:14" x14ac:dyDescent="0.25">
      <c r="A90" s="64" t="s">
        <v>46</v>
      </c>
      <c r="B90" s="65" t="s">
        <v>85</v>
      </c>
      <c r="C90" s="66" t="s">
        <v>2192</v>
      </c>
      <c r="D90" s="65" t="s">
        <v>188</v>
      </c>
      <c r="E90" s="65" t="s">
        <v>2193</v>
      </c>
      <c r="F90" s="67" t="s">
        <v>234</v>
      </c>
      <c r="G90" s="67" t="s">
        <v>234</v>
      </c>
      <c r="H90" s="67" t="s">
        <v>66</v>
      </c>
      <c r="I90" s="67" t="s">
        <v>97</v>
      </c>
      <c r="J90" s="67" t="s">
        <v>234</v>
      </c>
      <c r="K90" s="67" t="s">
        <v>113</v>
      </c>
      <c r="L90" s="67" t="s">
        <v>234</v>
      </c>
      <c r="M90" s="65" t="s">
        <v>46</v>
      </c>
      <c r="N90" s="65" t="s">
        <v>46</v>
      </c>
    </row>
    <row r="91" ht="15" customHeight="1" spans="1:14" x14ac:dyDescent="0.25">
      <c r="A91" s="60" t="s">
        <v>46</v>
      </c>
      <c r="B91" s="61" t="s">
        <v>85</v>
      </c>
      <c r="C91" s="62" t="s">
        <v>2197</v>
      </c>
      <c r="D91" s="61" t="s">
        <v>188</v>
      </c>
      <c r="E91" s="61" t="s">
        <v>2198</v>
      </c>
      <c r="F91" s="63" t="s">
        <v>234</v>
      </c>
      <c r="G91" s="63" t="s">
        <v>234</v>
      </c>
      <c r="H91" s="63" t="s">
        <v>66</v>
      </c>
      <c r="I91" s="63" t="s">
        <v>97</v>
      </c>
      <c r="J91" s="63" t="s">
        <v>234</v>
      </c>
      <c r="K91" s="63" t="s">
        <v>113</v>
      </c>
      <c r="L91" s="63" t="s">
        <v>234</v>
      </c>
      <c r="M91" s="61" t="s">
        <v>46</v>
      </c>
      <c r="N91" s="61" t="s">
        <v>46</v>
      </c>
    </row>
    <row r="92" ht="15" customHeight="1" spans="1:14" x14ac:dyDescent="0.25">
      <c r="A92" s="64" t="s">
        <v>46</v>
      </c>
      <c r="B92" s="65" t="s">
        <v>85</v>
      </c>
      <c r="C92" s="66" t="s">
        <v>2296</v>
      </c>
      <c r="D92" s="65" t="s">
        <v>191</v>
      </c>
      <c r="E92" s="65" t="s">
        <v>2297</v>
      </c>
      <c r="F92" s="67" t="s">
        <v>234</v>
      </c>
      <c r="G92" s="67" t="s">
        <v>234</v>
      </c>
      <c r="H92" s="67" t="s">
        <v>66</v>
      </c>
      <c r="I92" s="67" t="s">
        <v>97</v>
      </c>
      <c r="J92" s="67" t="s">
        <v>234</v>
      </c>
      <c r="K92" s="67" t="s">
        <v>113</v>
      </c>
      <c r="L92" s="67" t="s">
        <v>234</v>
      </c>
      <c r="M92" s="65" t="s">
        <v>46</v>
      </c>
      <c r="N92" s="65" t="s">
        <v>46</v>
      </c>
    </row>
    <row r="93" ht="15" customHeight="1" spans="1:14" x14ac:dyDescent="0.25">
      <c r="A93" s="60" t="s">
        <v>46</v>
      </c>
      <c r="B93" s="61" t="s">
        <v>85</v>
      </c>
      <c r="C93" s="62" t="s">
        <v>2300</v>
      </c>
      <c r="D93" s="61" t="s">
        <v>191</v>
      </c>
      <c r="E93" s="61" t="s">
        <v>2301</v>
      </c>
      <c r="F93" s="63" t="s">
        <v>234</v>
      </c>
      <c r="G93" s="63" t="s">
        <v>234</v>
      </c>
      <c r="H93" s="63" t="s">
        <v>66</v>
      </c>
      <c r="I93" s="63" t="s">
        <v>97</v>
      </c>
      <c r="J93" s="63" t="s">
        <v>234</v>
      </c>
      <c r="K93" s="63" t="s">
        <v>113</v>
      </c>
      <c r="L93" s="63" t="s">
        <v>234</v>
      </c>
      <c r="M93" s="61" t="s">
        <v>46</v>
      </c>
      <c r="N93" s="61" t="s">
        <v>46</v>
      </c>
    </row>
    <row r="94" ht="15" customHeight="1" spans="1:14" x14ac:dyDescent="0.25">
      <c r="A94" s="64" t="s">
        <v>46</v>
      </c>
      <c r="B94" s="65" t="s">
        <v>85</v>
      </c>
      <c r="C94" s="66" t="s">
        <v>2304</v>
      </c>
      <c r="D94" s="65" t="s">
        <v>191</v>
      </c>
      <c r="E94" s="65" t="s">
        <v>2305</v>
      </c>
      <c r="F94" s="67" t="s">
        <v>234</v>
      </c>
      <c r="G94" s="67" t="s">
        <v>234</v>
      </c>
      <c r="H94" s="67" t="s">
        <v>66</v>
      </c>
      <c r="I94" s="67" t="s">
        <v>97</v>
      </c>
      <c r="J94" s="67" t="s">
        <v>234</v>
      </c>
      <c r="K94" s="67" t="s">
        <v>113</v>
      </c>
      <c r="L94" s="67" t="s">
        <v>234</v>
      </c>
      <c r="M94" s="65" t="s">
        <v>46</v>
      </c>
      <c r="N94" s="65" t="s">
        <v>46</v>
      </c>
    </row>
    <row r="95" ht="15" customHeight="1" spans="1:14" x14ac:dyDescent="0.25">
      <c r="A95" s="60" t="s">
        <v>46</v>
      </c>
      <c r="B95" s="61" t="s">
        <v>85</v>
      </c>
      <c r="C95" s="62" t="s">
        <v>2357</v>
      </c>
      <c r="D95" s="61" t="s">
        <v>193</v>
      </c>
      <c r="E95" s="61" t="s">
        <v>2358</v>
      </c>
      <c r="F95" s="63" t="s">
        <v>234</v>
      </c>
      <c r="G95" s="63" t="s">
        <v>234</v>
      </c>
      <c r="H95" s="63" t="s">
        <v>66</v>
      </c>
      <c r="I95" s="63" t="s">
        <v>97</v>
      </c>
      <c r="J95" s="63" t="s">
        <v>234</v>
      </c>
      <c r="K95" s="63" t="s">
        <v>113</v>
      </c>
      <c r="L95" s="63" t="s">
        <v>234</v>
      </c>
      <c r="M95" s="61" t="s">
        <v>46</v>
      </c>
      <c r="N95" s="61" t="s">
        <v>46</v>
      </c>
    </row>
    <row r="96" ht="15" customHeight="1" spans="1:14" x14ac:dyDescent="0.25">
      <c r="A96" s="64" t="s">
        <v>46</v>
      </c>
      <c r="B96" s="65" t="s">
        <v>85</v>
      </c>
      <c r="C96" s="66" t="s">
        <v>2361</v>
      </c>
      <c r="D96" s="65" t="s">
        <v>193</v>
      </c>
      <c r="E96" s="65" t="s">
        <v>2362</v>
      </c>
      <c r="F96" s="67" t="s">
        <v>234</v>
      </c>
      <c r="G96" s="67" t="s">
        <v>234</v>
      </c>
      <c r="H96" s="67" t="s">
        <v>66</v>
      </c>
      <c r="I96" s="67" t="s">
        <v>97</v>
      </c>
      <c r="J96" s="67" t="s">
        <v>234</v>
      </c>
      <c r="K96" s="67" t="s">
        <v>113</v>
      </c>
      <c r="L96" s="67" t="s">
        <v>234</v>
      </c>
      <c r="M96" s="65" t="s">
        <v>46</v>
      </c>
      <c r="N96" s="65" t="s">
        <v>46</v>
      </c>
    </row>
    <row r="97" ht="15" customHeight="1" spans="1:14" x14ac:dyDescent="0.25">
      <c r="A97" s="60" t="s">
        <v>46</v>
      </c>
      <c r="B97" s="61" t="s">
        <v>86</v>
      </c>
      <c r="C97" s="62" t="s">
        <v>380</v>
      </c>
      <c r="D97" s="61" t="s">
        <v>146</v>
      </c>
      <c r="E97" s="61" t="s">
        <v>381</v>
      </c>
      <c r="F97" s="63" t="s">
        <v>234</v>
      </c>
      <c r="G97" s="63" t="s">
        <v>234</v>
      </c>
      <c r="H97" s="63" t="s">
        <v>66</v>
      </c>
      <c r="I97" s="63" t="s">
        <v>97</v>
      </c>
      <c r="J97" s="63" t="s">
        <v>234</v>
      </c>
      <c r="K97" s="63" t="s">
        <v>113</v>
      </c>
      <c r="L97" s="63" t="s">
        <v>234</v>
      </c>
      <c r="M97" s="61" t="s">
        <v>46</v>
      </c>
      <c r="N97" s="61" t="s">
        <v>46</v>
      </c>
    </row>
    <row r="98" ht="15" customHeight="1" spans="1:14" x14ac:dyDescent="0.25">
      <c r="A98" s="64" t="s">
        <v>46</v>
      </c>
      <c r="B98" s="65" t="s">
        <v>86</v>
      </c>
      <c r="C98" s="66" t="s">
        <v>384</v>
      </c>
      <c r="D98" s="65" t="s">
        <v>146</v>
      </c>
      <c r="E98" s="65" t="s">
        <v>385</v>
      </c>
      <c r="F98" s="67" t="s">
        <v>234</v>
      </c>
      <c r="G98" s="67" t="s">
        <v>234</v>
      </c>
      <c r="H98" s="67" t="s">
        <v>66</v>
      </c>
      <c r="I98" s="67" t="s">
        <v>97</v>
      </c>
      <c r="J98" s="67" t="s">
        <v>234</v>
      </c>
      <c r="K98" s="67" t="s">
        <v>113</v>
      </c>
      <c r="L98" s="67" t="s">
        <v>234</v>
      </c>
      <c r="M98" s="65" t="s">
        <v>46</v>
      </c>
      <c r="N98" s="65" t="s">
        <v>46</v>
      </c>
    </row>
    <row r="99" ht="15" customHeight="1" spans="1:14" x14ac:dyDescent="0.25">
      <c r="A99" s="60" t="s">
        <v>46</v>
      </c>
      <c r="B99" s="61" t="s">
        <v>86</v>
      </c>
      <c r="C99" s="62" t="s">
        <v>388</v>
      </c>
      <c r="D99" s="61" t="s">
        <v>146</v>
      </c>
      <c r="E99" s="61" t="s">
        <v>389</v>
      </c>
      <c r="F99" s="63" t="s">
        <v>234</v>
      </c>
      <c r="G99" s="63" t="s">
        <v>234</v>
      </c>
      <c r="H99" s="63" t="s">
        <v>66</v>
      </c>
      <c r="I99" s="63" t="s">
        <v>97</v>
      </c>
      <c r="J99" s="63" t="s">
        <v>234</v>
      </c>
      <c r="K99" s="63" t="s">
        <v>113</v>
      </c>
      <c r="L99" s="63" t="s">
        <v>234</v>
      </c>
      <c r="M99" s="61" t="s">
        <v>46</v>
      </c>
      <c r="N99" s="61" t="s">
        <v>46</v>
      </c>
    </row>
    <row r="100" ht="15" customHeight="1" spans="1:14" x14ac:dyDescent="0.25">
      <c r="A100" s="64" t="s">
        <v>46</v>
      </c>
      <c r="B100" s="65" t="s">
        <v>86</v>
      </c>
      <c r="C100" s="66" t="s">
        <v>392</v>
      </c>
      <c r="D100" s="65" t="s">
        <v>146</v>
      </c>
      <c r="E100" s="65" t="s">
        <v>393</v>
      </c>
      <c r="F100" s="67" t="s">
        <v>234</v>
      </c>
      <c r="G100" s="67" t="s">
        <v>234</v>
      </c>
      <c r="H100" s="67" t="s">
        <v>66</v>
      </c>
      <c r="I100" s="67" t="s">
        <v>97</v>
      </c>
      <c r="J100" s="67" t="s">
        <v>234</v>
      </c>
      <c r="K100" s="67" t="s">
        <v>113</v>
      </c>
      <c r="L100" s="67" t="s">
        <v>234</v>
      </c>
      <c r="M100" s="65" t="s">
        <v>46</v>
      </c>
      <c r="N100" s="65" t="s">
        <v>46</v>
      </c>
    </row>
    <row r="101" ht="15" customHeight="1" spans="1:14" x14ac:dyDescent="0.25">
      <c r="A101" s="60" t="s">
        <v>46</v>
      </c>
      <c r="B101" s="61" t="s">
        <v>86</v>
      </c>
      <c r="C101" s="62" t="s">
        <v>476</v>
      </c>
      <c r="D101" s="61" t="s">
        <v>148</v>
      </c>
      <c r="E101" s="61" t="s">
        <v>477</v>
      </c>
      <c r="F101" s="63" t="s">
        <v>234</v>
      </c>
      <c r="G101" s="63" t="s">
        <v>234</v>
      </c>
      <c r="H101" s="63" t="s">
        <v>66</v>
      </c>
      <c r="I101" s="63" t="s">
        <v>97</v>
      </c>
      <c r="J101" s="63" t="s">
        <v>234</v>
      </c>
      <c r="K101" s="63" t="s">
        <v>113</v>
      </c>
      <c r="L101" s="63" t="s">
        <v>234</v>
      </c>
      <c r="M101" s="61" t="s">
        <v>46</v>
      </c>
      <c r="N101" s="61" t="s">
        <v>46</v>
      </c>
    </row>
    <row r="102" ht="15" customHeight="1" spans="1:14" x14ac:dyDescent="0.25">
      <c r="A102" s="64" t="s">
        <v>46</v>
      </c>
      <c r="B102" s="65" t="s">
        <v>86</v>
      </c>
      <c r="C102" s="66" t="s">
        <v>480</v>
      </c>
      <c r="D102" s="65" t="s">
        <v>148</v>
      </c>
      <c r="E102" s="65" t="s">
        <v>481</v>
      </c>
      <c r="F102" s="67" t="s">
        <v>234</v>
      </c>
      <c r="G102" s="67" t="s">
        <v>234</v>
      </c>
      <c r="H102" s="67" t="s">
        <v>66</v>
      </c>
      <c r="I102" s="67" t="s">
        <v>97</v>
      </c>
      <c r="J102" s="67" t="s">
        <v>234</v>
      </c>
      <c r="K102" s="67" t="s">
        <v>113</v>
      </c>
      <c r="L102" s="67" t="s">
        <v>234</v>
      </c>
      <c r="M102" s="65" t="s">
        <v>46</v>
      </c>
      <c r="N102" s="65" t="s">
        <v>46</v>
      </c>
    </row>
    <row r="103" ht="15" customHeight="1" spans="1:14" x14ac:dyDescent="0.25">
      <c r="A103" s="60" t="s">
        <v>46</v>
      </c>
      <c r="B103" s="61" t="s">
        <v>86</v>
      </c>
      <c r="C103" s="62" t="s">
        <v>484</v>
      </c>
      <c r="D103" s="61" t="s">
        <v>148</v>
      </c>
      <c r="E103" s="61" t="s">
        <v>485</v>
      </c>
      <c r="F103" s="63" t="s">
        <v>234</v>
      </c>
      <c r="G103" s="63" t="s">
        <v>234</v>
      </c>
      <c r="H103" s="63" t="s">
        <v>66</v>
      </c>
      <c r="I103" s="63" t="s">
        <v>97</v>
      </c>
      <c r="J103" s="63" t="s">
        <v>234</v>
      </c>
      <c r="K103" s="63" t="s">
        <v>113</v>
      </c>
      <c r="L103" s="63" t="s">
        <v>234</v>
      </c>
      <c r="M103" s="61" t="s">
        <v>46</v>
      </c>
      <c r="N103" s="61" t="s">
        <v>46</v>
      </c>
    </row>
    <row r="104" ht="15" customHeight="1" spans="1:14" x14ac:dyDescent="0.25">
      <c r="A104" s="64" t="s">
        <v>46</v>
      </c>
      <c r="B104" s="65" t="s">
        <v>86</v>
      </c>
      <c r="C104" s="66" t="s">
        <v>488</v>
      </c>
      <c r="D104" s="65" t="s">
        <v>148</v>
      </c>
      <c r="E104" s="65" t="s">
        <v>489</v>
      </c>
      <c r="F104" s="67" t="s">
        <v>234</v>
      </c>
      <c r="G104" s="67" t="s">
        <v>234</v>
      </c>
      <c r="H104" s="67" t="s">
        <v>66</v>
      </c>
      <c r="I104" s="67" t="s">
        <v>97</v>
      </c>
      <c r="J104" s="67" t="s">
        <v>234</v>
      </c>
      <c r="K104" s="67" t="s">
        <v>113</v>
      </c>
      <c r="L104" s="67" t="s">
        <v>234</v>
      </c>
      <c r="M104" s="65" t="s">
        <v>46</v>
      </c>
      <c r="N104" s="65" t="s">
        <v>46</v>
      </c>
    </row>
    <row r="105" ht="15" customHeight="1" spans="1:14" x14ac:dyDescent="0.25">
      <c r="A105" s="60" t="s">
        <v>46</v>
      </c>
      <c r="B105" s="61" t="s">
        <v>86</v>
      </c>
      <c r="C105" s="62" t="s">
        <v>497</v>
      </c>
      <c r="D105" s="61" t="s">
        <v>148</v>
      </c>
      <c r="E105" s="61" t="s">
        <v>498</v>
      </c>
      <c r="F105" s="63" t="s">
        <v>234</v>
      </c>
      <c r="G105" s="63" t="s">
        <v>234</v>
      </c>
      <c r="H105" s="63" t="s">
        <v>66</v>
      </c>
      <c r="I105" s="63" t="s">
        <v>97</v>
      </c>
      <c r="J105" s="63" t="s">
        <v>234</v>
      </c>
      <c r="K105" s="63" t="s">
        <v>113</v>
      </c>
      <c r="L105" s="63" t="s">
        <v>234</v>
      </c>
      <c r="M105" s="61" t="s">
        <v>46</v>
      </c>
      <c r="N105" s="61" t="s">
        <v>46</v>
      </c>
    </row>
    <row r="106" ht="15" customHeight="1" spans="1:14" x14ac:dyDescent="0.25">
      <c r="A106" s="64" t="s">
        <v>46</v>
      </c>
      <c r="B106" s="65" t="s">
        <v>86</v>
      </c>
      <c r="C106" s="66" t="s">
        <v>502</v>
      </c>
      <c r="D106" s="65" t="s">
        <v>148</v>
      </c>
      <c r="E106" s="65" t="s">
        <v>503</v>
      </c>
      <c r="F106" s="67" t="s">
        <v>234</v>
      </c>
      <c r="G106" s="67" t="s">
        <v>234</v>
      </c>
      <c r="H106" s="67" t="s">
        <v>66</v>
      </c>
      <c r="I106" s="67" t="s">
        <v>97</v>
      </c>
      <c r="J106" s="67" t="s">
        <v>234</v>
      </c>
      <c r="K106" s="67" t="s">
        <v>113</v>
      </c>
      <c r="L106" s="67" t="s">
        <v>234</v>
      </c>
      <c r="M106" s="65" t="s">
        <v>46</v>
      </c>
      <c r="N106" s="65" t="s">
        <v>46</v>
      </c>
    </row>
    <row r="107" ht="15" customHeight="1" spans="1:14" x14ac:dyDescent="0.25">
      <c r="A107" s="60" t="s">
        <v>46</v>
      </c>
      <c r="B107" s="61" t="s">
        <v>86</v>
      </c>
      <c r="C107" s="62" t="s">
        <v>515</v>
      </c>
      <c r="D107" s="61" t="s">
        <v>148</v>
      </c>
      <c r="E107" s="61" t="s">
        <v>516</v>
      </c>
      <c r="F107" s="63" t="s">
        <v>234</v>
      </c>
      <c r="G107" s="63" t="s">
        <v>234</v>
      </c>
      <c r="H107" s="63" t="s">
        <v>66</v>
      </c>
      <c r="I107" s="63" t="s">
        <v>97</v>
      </c>
      <c r="J107" s="63" t="s">
        <v>234</v>
      </c>
      <c r="K107" s="63" t="s">
        <v>113</v>
      </c>
      <c r="L107" s="63" t="s">
        <v>234</v>
      </c>
      <c r="M107" s="61" t="s">
        <v>46</v>
      </c>
      <c r="N107" s="61" t="s">
        <v>46</v>
      </c>
    </row>
    <row r="108" ht="15" customHeight="1" spans="1:14" x14ac:dyDescent="0.25">
      <c r="A108" s="64" t="s">
        <v>46</v>
      </c>
      <c r="B108" s="65" t="s">
        <v>86</v>
      </c>
      <c r="C108" s="66" t="s">
        <v>551</v>
      </c>
      <c r="D108" s="65" t="s">
        <v>150</v>
      </c>
      <c r="E108" s="65" t="s">
        <v>552</v>
      </c>
      <c r="F108" s="67" t="s">
        <v>234</v>
      </c>
      <c r="G108" s="67" t="s">
        <v>234</v>
      </c>
      <c r="H108" s="67" t="s">
        <v>66</v>
      </c>
      <c r="I108" s="67" t="s">
        <v>97</v>
      </c>
      <c r="J108" s="67" t="s">
        <v>234</v>
      </c>
      <c r="K108" s="67" t="s">
        <v>113</v>
      </c>
      <c r="L108" s="67" t="s">
        <v>234</v>
      </c>
      <c r="M108" s="65" t="s">
        <v>46</v>
      </c>
      <c r="N108" s="65" t="s">
        <v>46</v>
      </c>
    </row>
    <row r="109" ht="15" customHeight="1" spans="1:14" x14ac:dyDescent="0.25">
      <c r="A109" s="60" t="s">
        <v>46</v>
      </c>
      <c r="B109" s="61" t="s">
        <v>86</v>
      </c>
      <c r="C109" s="62" t="s">
        <v>555</v>
      </c>
      <c r="D109" s="61" t="s">
        <v>150</v>
      </c>
      <c r="E109" s="61" t="s">
        <v>556</v>
      </c>
      <c r="F109" s="63" t="s">
        <v>234</v>
      </c>
      <c r="G109" s="63" t="s">
        <v>234</v>
      </c>
      <c r="H109" s="63" t="s">
        <v>66</v>
      </c>
      <c r="I109" s="63" t="s">
        <v>97</v>
      </c>
      <c r="J109" s="63" t="s">
        <v>234</v>
      </c>
      <c r="K109" s="63" t="s">
        <v>113</v>
      </c>
      <c r="L109" s="63" t="s">
        <v>234</v>
      </c>
      <c r="M109" s="61" t="s">
        <v>46</v>
      </c>
      <c r="N109" s="61" t="s">
        <v>46</v>
      </c>
    </row>
    <row r="110" ht="15" customHeight="1" spans="1:14" x14ac:dyDescent="0.25">
      <c r="A110" s="64" t="s">
        <v>46</v>
      </c>
      <c r="B110" s="65" t="s">
        <v>86</v>
      </c>
      <c r="C110" s="66" t="s">
        <v>559</v>
      </c>
      <c r="D110" s="65" t="s">
        <v>150</v>
      </c>
      <c r="E110" s="65" t="s">
        <v>560</v>
      </c>
      <c r="F110" s="67" t="s">
        <v>234</v>
      </c>
      <c r="G110" s="67" t="s">
        <v>234</v>
      </c>
      <c r="H110" s="67" t="s">
        <v>66</v>
      </c>
      <c r="I110" s="67" t="s">
        <v>97</v>
      </c>
      <c r="J110" s="67" t="s">
        <v>234</v>
      </c>
      <c r="K110" s="67" t="s">
        <v>113</v>
      </c>
      <c r="L110" s="67" t="s">
        <v>234</v>
      </c>
      <c r="M110" s="65" t="s">
        <v>46</v>
      </c>
      <c r="N110" s="65" t="s">
        <v>46</v>
      </c>
    </row>
    <row r="111" ht="15" customHeight="1" spans="1:14" x14ac:dyDescent="0.25">
      <c r="A111" s="60" t="s">
        <v>46</v>
      </c>
      <c r="B111" s="61" t="s">
        <v>86</v>
      </c>
      <c r="C111" s="62" t="s">
        <v>880</v>
      </c>
      <c r="D111" s="61" t="s">
        <v>157</v>
      </c>
      <c r="E111" s="61" t="s">
        <v>882</v>
      </c>
      <c r="F111" s="63" t="s">
        <v>234</v>
      </c>
      <c r="G111" s="63" t="s">
        <v>234</v>
      </c>
      <c r="H111" s="63" t="s">
        <v>66</v>
      </c>
      <c r="I111" s="63" t="s">
        <v>97</v>
      </c>
      <c r="J111" s="63" t="s">
        <v>234</v>
      </c>
      <c r="K111" s="63" t="s">
        <v>113</v>
      </c>
      <c r="L111" s="63" t="s">
        <v>234</v>
      </c>
      <c r="M111" s="61" t="s">
        <v>46</v>
      </c>
      <c r="N111" s="61" t="s">
        <v>46</v>
      </c>
    </row>
    <row r="112" ht="15" customHeight="1" spans="1:14" x14ac:dyDescent="0.25">
      <c r="A112" s="64" t="s">
        <v>46</v>
      </c>
      <c r="B112" s="65" t="s">
        <v>86</v>
      </c>
      <c r="C112" s="66" t="s">
        <v>886</v>
      </c>
      <c r="D112" s="65" t="s">
        <v>157</v>
      </c>
      <c r="E112" s="65" t="s">
        <v>887</v>
      </c>
      <c r="F112" s="67" t="s">
        <v>234</v>
      </c>
      <c r="G112" s="67" t="s">
        <v>234</v>
      </c>
      <c r="H112" s="67" t="s">
        <v>66</v>
      </c>
      <c r="I112" s="67" t="s">
        <v>97</v>
      </c>
      <c r="J112" s="67" t="s">
        <v>234</v>
      </c>
      <c r="K112" s="67" t="s">
        <v>113</v>
      </c>
      <c r="L112" s="67" t="s">
        <v>234</v>
      </c>
      <c r="M112" s="65" t="s">
        <v>46</v>
      </c>
      <c r="N112" s="65" t="s">
        <v>46</v>
      </c>
    </row>
    <row r="113" ht="15" customHeight="1" spans="1:14" x14ac:dyDescent="0.25">
      <c r="A113" s="60" t="s">
        <v>46</v>
      </c>
      <c r="B113" s="61" t="s">
        <v>86</v>
      </c>
      <c r="C113" s="62" t="s">
        <v>890</v>
      </c>
      <c r="D113" s="61" t="s">
        <v>157</v>
      </c>
      <c r="E113" s="61" t="s">
        <v>891</v>
      </c>
      <c r="F113" s="63" t="s">
        <v>234</v>
      </c>
      <c r="G113" s="63" t="s">
        <v>234</v>
      </c>
      <c r="H113" s="63" t="s">
        <v>66</v>
      </c>
      <c r="I113" s="63" t="s">
        <v>97</v>
      </c>
      <c r="J113" s="63" t="s">
        <v>234</v>
      </c>
      <c r="K113" s="63" t="s">
        <v>113</v>
      </c>
      <c r="L113" s="63" t="s">
        <v>234</v>
      </c>
      <c r="M113" s="61" t="s">
        <v>46</v>
      </c>
      <c r="N113" s="61" t="s">
        <v>46</v>
      </c>
    </row>
    <row r="114" ht="15" customHeight="1" spans="1:14" x14ac:dyDescent="0.25">
      <c r="A114" s="64" t="s">
        <v>46</v>
      </c>
      <c r="B114" s="65" t="s">
        <v>86</v>
      </c>
      <c r="C114" s="66" t="s">
        <v>894</v>
      </c>
      <c r="D114" s="65" t="s">
        <v>157</v>
      </c>
      <c r="E114" s="65" t="s">
        <v>895</v>
      </c>
      <c r="F114" s="67" t="s">
        <v>234</v>
      </c>
      <c r="G114" s="67" t="s">
        <v>234</v>
      </c>
      <c r="H114" s="67" t="s">
        <v>66</v>
      </c>
      <c r="I114" s="67" t="s">
        <v>97</v>
      </c>
      <c r="J114" s="67" t="s">
        <v>234</v>
      </c>
      <c r="K114" s="67" t="s">
        <v>113</v>
      </c>
      <c r="L114" s="67" t="s">
        <v>234</v>
      </c>
      <c r="M114" s="65" t="s">
        <v>46</v>
      </c>
      <c r="N114" s="65" t="s">
        <v>46</v>
      </c>
    </row>
    <row r="115" ht="15" customHeight="1" spans="1:14" x14ac:dyDescent="0.25">
      <c r="A115" s="60" t="s">
        <v>46</v>
      </c>
      <c r="B115" s="61" t="s">
        <v>86</v>
      </c>
      <c r="C115" s="62" t="s">
        <v>2051</v>
      </c>
      <c r="D115" s="61" t="s">
        <v>184</v>
      </c>
      <c r="E115" s="61" t="s">
        <v>2052</v>
      </c>
      <c r="F115" s="63" t="s">
        <v>234</v>
      </c>
      <c r="G115" s="63" t="s">
        <v>234</v>
      </c>
      <c r="H115" s="63" t="s">
        <v>66</v>
      </c>
      <c r="I115" s="63" t="s">
        <v>97</v>
      </c>
      <c r="J115" s="63" t="s">
        <v>234</v>
      </c>
      <c r="K115" s="63" t="s">
        <v>113</v>
      </c>
      <c r="L115" s="63" t="s">
        <v>234</v>
      </c>
      <c r="M115" s="61" t="s">
        <v>46</v>
      </c>
      <c r="N115" s="61" t="s">
        <v>46</v>
      </c>
    </row>
    <row r="116" ht="15" customHeight="1" spans="1:14" x14ac:dyDescent="0.25">
      <c r="A116" s="64" t="s">
        <v>46</v>
      </c>
      <c r="B116" s="65" t="s">
        <v>86</v>
      </c>
      <c r="C116" s="66" t="s">
        <v>2056</v>
      </c>
      <c r="D116" s="65" t="s">
        <v>184</v>
      </c>
      <c r="E116" s="65" t="s">
        <v>2057</v>
      </c>
      <c r="F116" s="67" t="s">
        <v>234</v>
      </c>
      <c r="G116" s="67" t="s">
        <v>234</v>
      </c>
      <c r="H116" s="67" t="s">
        <v>66</v>
      </c>
      <c r="I116" s="67" t="s">
        <v>97</v>
      </c>
      <c r="J116" s="67" t="s">
        <v>234</v>
      </c>
      <c r="K116" s="67" t="s">
        <v>113</v>
      </c>
      <c r="L116" s="67" t="s">
        <v>234</v>
      </c>
      <c r="M116" s="65" t="s">
        <v>46</v>
      </c>
      <c r="N116" s="65" t="s">
        <v>46</v>
      </c>
    </row>
    <row r="117" ht="15" customHeight="1" spans="1:14" x14ac:dyDescent="0.25">
      <c r="A117" s="60" t="s">
        <v>46</v>
      </c>
      <c r="B117" s="61" t="s">
        <v>86</v>
      </c>
      <c r="C117" s="62" t="s">
        <v>2308</v>
      </c>
      <c r="D117" s="61" t="s">
        <v>191</v>
      </c>
      <c r="E117" s="61" t="s">
        <v>2309</v>
      </c>
      <c r="F117" s="63" t="s">
        <v>234</v>
      </c>
      <c r="G117" s="63" t="s">
        <v>234</v>
      </c>
      <c r="H117" s="63" t="s">
        <v>66</v>
      </c>
      <c r="I117" s="63" t="s">
        <v>97</v>
      </c>
      <c r="J117" s="63" t="s">
        <v>234</v>
      </c>
      <c r="K117" s="63" t="s">
        <v>113</v>
      </c>
      <c r="L117" s="63" t="s">
        <v>234</v>
      </c>
      <c r="M117" s="61" t="s">
        <v>46</v>
      </c>
      <c r="N117" s="61" t="s">
        <v>46</v>
      </c>
    </row>
    <row r="118" ht="15" customHeight="1" spans="1:14" x14ac:dyDescent="0.25">
      <c r="A118" s="64" t="s">
        <v>46</v>
      </c>
      <c r="B118" s="65" t="s">
        <v>86</v>
      </c>
      <c r="C118" s="66" t="s">
        <v>2312</v>
      </c>
      <c r="D118" s="65" t="s">
        <v>191</v>
      </c>
      <c r="E118" s="65" t="s">
        <v>2313</v>
      </c>
      <c r="F118" s="67" t="s">
        <v>234</v>
      </c>
      <c r="G118" s="67" t="s">
        <v>234</v>
      </c>
      <c r="H118" s="67" t="s">
        <v>66</v>
      </c>
      <c r="I118" s="67" t="s">
        <v>97</v>
      </c>
      <c r="J118" s="67" t="s">
        <v>234</v>
      </c>
      <c r="K118" s="67" t="s">
        <v>113</v>
      </c>
      <c r="L118" s="67" t="s">
        <v>234</v>
      </c>
      <c r="M118" s="65" t="s">
        <v>46</v>
      </c>
      <c r="N118" s="65" t="s">
        <v>46</v>
      </c>
    </row>
    <row r="119" ht="15" customHeight="1" spans="1:14" x14ac:dyDescent="0.25">
      <c r="A119" s="60" t="s">
        <v>46</v>
      </c>
      <c r="B119" s="61" t="s">
        <v>86</v>
      </c>
      <c r="C119" s="62" t="s">
        <v>2318</v>
      </c>
      <c r="D119" s="61" t="s">
        <v>191</v>
      </c>
      <c r="E119" s="61" t="s">
        <v>2319</v>
      </c>
      <c r="F119" s="63" t="s">
        <v>234</v>
      </c>
      <c r="G119" s="63" t="s">
        <v>234</v>
      </c>
      <c r="H119" s="63" t="s">
        <v>66</v>
      </c>
      <c r="I119" s="63" t="s">
        <v>97</v>
      </c>
      <c r="J119" s="63" t="s">
        <v>234</v>
      </c>
      <c r="K119" s="63" t="s">
        <v>113</v>
      </c>
      <c r="L119" s="63" t="s">
        <v>234</v>
      </c>
      <c r="M119" s="61" t="s">
        <v>46</v>
      </c>
      <c r="N119" s="61" t="s">
        <v>46</v>
      </c>
    </row>
    <row r="120" ht="15" customHeight="1" spans="1:14" x14ac:dyDescent="0.25">
      <c r="A120" s="64" t="s">
        <v>46</v>
      </c>
      <c r="B120" s="65" t="s">
        <v>86</v>
      </c>
      <c r="C120" s="66" t="s">
        <v>2365</v>
      </c>
      <c r="D120" s="65" t="s">
        <v>193</v>
      </c>
      <c r="E120" s="65" t="s">
        <v>2366</v>
      </c>
      <c r="F120" s="67" t="s">
        <v>234</v>
      </c>
      <c r="G120" s="67" t="s">
        <v>234</v>
      </c>
      <c r="H120" s="67" t="s">
        <v>66</v>
      </c>
      <c r="I120" s="67" t="s">
        <v>97</v>
      </c>
      <c r="J120" s="67" t="s">
        <v>234</v>
      </c>
      <c r="K120" s="67" t="s">
        <v>113</v>
      </c>
      <c r="L120" s="67" t="s">
        <v>234</v>
      </c>
      <c r="M120" s="65" t="s">
        <v>46</v>
      </c>
      <c r="N120" s="65" t="s">
        <v>46</v>
      </c>
    </row>
    <row r="121" ht="15" customHeight="1" spans="1:14" x14ac:dyDescent="0.25">
      <c r="A121" s="60" t="s">
        <v>46</v>
      </c>
      <c r="B121" s="61" t="s">
        <v>86</v>
      </c>
      <c r="C121" s="62" t="s">
        <v>2369</v>
      </c>
      <c r="D121" s="61" t="s">
        <v>193</v>
      </c>
      <c r="E121" s="61" t="s">
        <v>2370</v>
      </c>
      <c r="F121" s="63" t="s">
        <v>234</v>
      </c>
      <c r="G121" s="63" t="s">
        <v>234</v>
      </c>
      <c r="H121" s="63" t="s">
        <v>66</v>
      </c>
      <c r="I121" s="63" t="s">
        <v>97</v>
      </c>
      <c r="J121" s="63" t="s">
        <v>234</v>
      </c>
      <c r="K121" s="63" t="s">
        <v>113</v>
      </c>
      <c r="L121" s="63" t="s">
        <v>234</v>
      </c>
      <c r="M121" s="61" t="s">
        <v>46</v>
      </c>
      <c r="N121" s="61" t="s">
        <v>46</v>
      </c>
    </row>
    <row r="122" ht="15" customHeight="1" spans="1:14" x14ac:dyDescent="0.25">
      <c r="A122" s="64" t="s">
        <v>46</v>
      </c>
      <c r="B122" s="65" t="s">
        <v>86</v>
      </c>
      <c r="C122" s="66" t="s">
        <v>2373</v>
      </c>
      <c r="D122" s="65" t="s">
        <v>193</v>
      </c>
      <c r="E122" s="65" t="s">
        <v>2374</v>
      </c>
      <c r="F122" s="67" t="s">
        <v>234</v>
      </c>
      <c r="G122" s="67" t="s">
        <v>234</v>
      </c>
      <c r="H122" s="67" t="s">
        <v>66</v>
      </c>
      <c r="I122" s="67" t="s">
        <v>97</v>
      </c>
      <c r="J122" s="67" t="s">
        <v>234</v>
      </c>
      <c r="K122" s="67" t="s">
        <v>113</v>
      </c>
      <c r="L122" s="67" t="s">
        <v>234</v>
      </c>
      <c r="M122" s="65" t="s">
        <v>46</v>
      </c>
      <c r="N122" s="65" t="s">
        <v>46</v>
      </c>
    </row>
    <row r="123" ht="15" customHeight="1" spans="1:14" x14ac:dyDescent="0.25">
      <c r="A123" s="60" t="s">
        <v>46</v>
      </c>
      <c r="B123" s="61" t="s">
        <v>87</v>
      </c>
      <c r="C123" s="62" t="s">
        <v>492</v>
      </c>
      <c r="D123" s="61" t="s">
        <v>148</v>
      </c>
      <c r="E123" s="61" t="s">
        <v>493</v>
      </c>
      <c r="F123" s="63" t="s">
        <v>234</v>
      </c>
      <c r="G123" s="63" t="s">
        <v>234</v>
      </c>
      <c r="H123" s="63" t="s">
        <v>66</v>
      </c>
      <c r="I123" s="63" t="s">
        <v>97</v>
      </c>
      <c r="J123" s="63" t="s">
        <v>234</v>
      </c>
      <c r="K123" s="63" t="s">
        <v>113</v>
      </c>
      <c r="L123" s="63" t="s">
        <v>234</v>
      </c>
      <c r="M123" s="61" t="s">
        <v>46</v>
      </c>
      <c r="N123" s="61" t="s">
        <v>46</v>
      </c>
    </row>
    <row r="124" ht="15" customHeight="1" spans="1:14" x14ac:dyDescent="0.25">
      <c r="A124" s="64" t="s">
        <v>46</v>
      </c>
      <c r="B124" s="65" t="s">
        <v>87</v>
      </c>
      <c r="C124" s="66" t="s">
        <v>506</v>
      </c>
      <c r="D124" s="65" t="s">
        <v>148</v>
      </c>
      <c r="E124" s="65" t="s">
        <v>507</v>
      </c>
      <c r="F124" s="67" t="s">
        <v>234</v>
      </c>
      <c r="G124" s="67" t="s">
        <v>234</v>
      </c>
      <c r="H124" s="67" t="s">
        <v>66</v>
      </c>
      <c r="I124" s="67" t="s">
        <v>97</v>
      </c>
      <c r="J124" s="67" t="s">
        <v>234</v>
      </c>
      <c r="K124" s="67" t="s">
        <v>113</v>
      </c>
      <c r="L124" s="67" t="s">
        <v>234</v>
      </c>
      <c r="M124" s="65" t="s">
        <v>46</v>
      </c>
      <c r="N124" s="65" t="s">
        <v>46</v>
      </c>
    </row>
    <row r="125" ht="15" customHeight="1" spans="1:14" x14ac:dyDescent="0.25">
      <c r="A125" s="60" t="s">
        <v>46</v>
      </c>
      <c r="B125" s="61" t="s">
        <v>87</v>
      </c>
      <c r="C125" s="62" t="s">
        <v>510</v>
      </c>
      <c r="D125" s="61" t="s">
        <v>148</v>
      </c>
      <c r="E125" s="61" t="s">
        <v>511</v>
      </c>
      <c r="F125" s="63" t="s">
        <v>234</v>
      </c>
      <c r="G125" s="63" t="s">
        <v>234</v>
      </c>
      <c r="H125" s="63" t="s">
        <v>66</v>
      </c>
      <c r="I125" s="63" t="s">
        <v>97</v>
      </c>
      <c r="J125" s="63" t="s">
        <v>234</v>
      </c>
      <c r="K125" s="63" t="s">
        <v>113</v>
      </c>
      <c r="L125" s="63" t="s">
        <v>234</v>
      </c>
      <c r="M125" s="61" t="s">
        <v>46</v>
      </c>
      <c r="N125" s="61" t="s">
        <v>46</v>
      </c>
    </row>
    <row r="126" ht="15" customHeight="1" spans="1:14" x14ac:dyDescent="0.25">
      <c r="A126" s="64" t="s">
        <v>46</v>
      </c>
      <c r="B126" s="65" t="s">
        <v>87</v>
      </c>
      <c r="C126" s="66" t="s">
        <v>519</v>
      </c>
      <c r="D126" s="65" t="s">
        <v>148</v>
      </c>
      <c r="E126" s="65" t="s">
        <v>520</v>
      </c>
      <c r="F126" s="67" t="s">
        <v>234</v>
      </c>
      <c r="G126" s="67" t="s">
        <v>234</v>
      </c>
      <c r="H126" s="67" t="s">
        <v>66</v>
      </c>
      <c r="I126" s="67" t="s">
        <v>97</v>
      </c>
      <c r="J126" s="67" t="s">
        <v>234</v>
      </c>
      <c r="K126" s="67" t="s">
        <v>113</v>
      </c>
      <c r="L126" s="67" t="s">
        <v>234</v>
      </c>
      <c r="M126" s="65" t="s">
        <v>46</v>
      </c>
      <c r="N126" s="65" t="s">
        <v>46</v>
      </c>
    </row>
    <row r="127" ht="15" customHeight="1" spans="1:14" x14ac:dyDescent="0.25">
      <c r="A127" s="60" t="s">
        <v>46</v>
      </c>
      <c r="B127" s="61" t="s">
        <v>87</v>
      </c>
      <c r="C127" s="62" t="s">
        <v>563</v>
      </c>
      <c r="D127" s="61" t="s">
        <v>150</v>
      </c>
      <c r="E127" s="61" t="s">
        <v>564</v>
      </c>
      <c r="F127" s="63" t="s">
        <v>234</v>
      </c>
      <c r="G127" s="63" t="s">
        <v>234</v>
      </c>
      <c r="H127" s="63" t="s">
        <v>66</v>
      </c>
      <c r="I127" s="63" t="s">
        <v>97</v>
      </c>
      <c r="J127" s="63" t="s">
        <v>234</v>
      </c>
      <c r="K127" s="63" t="s">
        <v>113</v>
      </c>
      <c r="L127" s="63" t="s">
        <v>234</v>
      </c>
      <c r="M127" s="61" t="s">
        <v>46</v>
      </c>
      <c r="N127" s="61" t="s">
        <v>46</v>
      </c>
    </row>
    <row r="128" ht="15" customHeight="1" spans="1:14" x14ac:dyDescent="0.25">
      <c r="A128" s="64" t="s">
        <v>46</v>
      </c>
      <c r="B128" s="65" t="s">
        <v>87</v>
      </c>
      <c r="C128" s="66" t="s">
        <v>573</v>
      </c>
      <c r="D128" s="65" t="s">
        <v>150</v>
      </c>
      <c r="E128" s="65" t="s">
        <v>574</v>
      </c>
      <c r="F128" s="67" t="s">
        <v>234</v>
      </c>
      <c r="G128" s="67" t="s">
        <v>234</v>
      </c>
      <c r="H128" s="67" t="s">
        <v>66</v>
      </c>
      <c r="I128" s="67" t="s">
        <v>97</v>
      </c>
      <c r="J128" s="67" t="s">
        <v>234</v>
      </c>
      <c r="K128" s="67" t="s">
        <v>113</v>
      </c>
      <c r="L128" s="67" t="s">
        <v>234</v>
      </c>
      <c r="M128" s="65" t="s">
        <v>46</v>
      </c>
      <c r="N128" s="65" t="s">
        <v>46</v>
      </c>
    </row>
    <row r="129" ht="15" customHeight="1" spans="1:14" x14ac:dyDescent="0.25">
      <c r="A129" s="60" t="s">
        <v>46</v>
      </c>
      <c r="B129" s="61" t="s">
        <v>87</v>
      </c>
      <c r="C129" s="62" t="s">
        <v>577</v>
      </c>
      <c r="D129" s="61" t="s">
        <v>150</v>
      </c>
      <c r="E129" s="61" t="s">
        <v>578</v>
      </c>
      <c r="F129" s="63" t="s">
        <v>234</v>
      </c>
      <c r="G129" s="63" t="s">
        <v>234</v>
      </c>
      <c r="H129" s="63" t="s">
        <v>66</v>
      </c>
      <c r="I129" s="63" t="s">
        <v>97</v>
      </c>
      <c r="J129" s="63" t="s">
        <v>234</v>
      </c>
      <c r="K129" s="63" t="s">
        <v>113</v>
      </c>
      <c r="L129" s="63" t="s">
        <v>234</v>
      </c>
      <c r="M129" s="61" t="s">
        <v>46</v>
      </c>
      <c r="N129" s="61" t="s">
        <v>46</v>
      </c>
    </row>
    <row r="130" ht="15" customHeight="1" spans="1:14" x14ac:dyDescent="0.25">
      <c r="A130" s="64" t="s">
        <v>46</v>
      </c>
      <c r="B130" s="65" t="s">
        <v>87</v>
      </c>
      <c r="C130" s="66" t="s">
        <v>587</v>
      </c>
      <c r="D130" s="65" t="s">
        <v>150</v>
      </c>
      <c r="E130" s="65" t="s">
        <v>588</v>
      </c>
      <c r="F130" s="67" t="s">
        <v>234</v>
      </c>
      <c r="G130" s="67" t="s">
        <v>234</v>
      </c>
      <c r="H130" s="67" t="s">
        <v>66</v>
      </c>
      <c r="I130" s="67" t="s">
        <v>97</v>
      </c>
      <c r="J130" s="67" t="s">
        <v>234</v>
      </c>
      <c r="K130" s="67" t="s">
        <v>113</v>
      </c>
      <c r="L130" s="67" t="s">
        <v>234</v>
      </c>
      <c r="M130" s="65" t="s">
        <v>46</v>
      </c>
      <c r="N130" s="65" t="s">
        <v>46</v>
      </c>
    </row>
    <row r="131" ht="15" customHeight="1" spans="1:14" x14ac:dyDescent="0.25">
      <c r="A131" s="60" t="s">
        <v>46</v>
      </c>
      <c r="B131" s="61" t="s">
        <v>87</v>
      </c>
      <c r="C131" s="62" t="s">
        <v>591</v>
      </c>
      <c r="D131" s="61" t="s">
        <v>150</v>
      </c>
      <c r="E131" s="61" t="s">
        <v>592</v>
      </c>
      <c r="F131" s="63" t="s">
        <v>234</v>
      </c>
      <c r="G131" s="63" t="s">
        <v>234</v>
      </c>
      <c r="H131" s="63" t="s">
        <v>66</v>
      </c>
      <c r="I131" s="63" t="s">
        <v>97</v>
      </c>
      <c r="J131" s="63" t="s">
        <v>234</v>
      </c>
      <c r="K131" s="63" t="s">
        <v>113</v>
      </c>
      <c r="L131" s="63" t="s">
        <v>234</v>
      </c>
      <c r="M131" s="61" t="s">
        <v>46</v>
      </c>
      <c r="N131" s="61" t="s">
        <v>46</v>
      </c>
    </row>
    <row r="132" ht="15" customHeight="1" spans="1:14" x14ac:dyDescent="0.25">
      <c r="A132" s="64" t="s">
        <v>46</v>
      </c>
      <c r="B132" s="65" t="s">
        <v>87</v>
      </c>
      <c r="C132" s="66" t="s">
        <v>651</v>
      </c>
      <c r="D132" s="65" t="s">
        <v>152</v>
      </c>
      <c r="E132" s="65" t="s">
        <v>653</v>
      </c>
      <c r="F132" s="67" t="s">
        <v>234</v>
      </c>
      <c r="G132" s="67" t="s">
        <v>234</v>
      </c>
      <c r="H132" s="67" t="s">
        <v>66</v>
      </c>
      <c r="I132" s="67" t="s">
        <v>97</v>
      </c>
      <c r="J132" s="67" t="s">
        <v>234</v>
      </c>
      <c r="K132" s="67" t="s">
        <v>113</v>
      </c>
      <c r="L132" s="67" t="s">
        <v>234</v>
      </c>
      <c r="M132" s="65" t="s">
        <v>46</v>
      </c>
      <c r="N132" s="65" t="s">
        <v>46</v>
      </c>
    </row>
    <row r="133" ht="15" customHeight="1" spans="1:14" x14ac:dyDescent="0.25">
      <c r="A133" s="60" t="s">
        <v>46</v>
      </c>
      <c r="B133" s="61" t="s">
        <v>87</v>
      </c>
      <c r="C133" s="62" t="s">
        <v>658</v>
      </c>
      <c r="D133" s="61" t="s">
        <v>152</v>
      </c>
      <c r="E133" s="61" t="s">
        <v>659</v>
      </c>
      <c r="F133" s="63" t="s">
        <v>234</v>
      </c>
      <c r="G133" s="63" t="s">
        <v>234</v>
      </c>
      <c r="H133" s="63" t="s">
        <v>66</v>
      </c>
      <c r="I133" s="63" t="s">
        <v>97</v>
      </c>
      <c r="J133" s="63" t="s">
        <v>234</v>
      </c>
      <c r="K133" s="63" t="s">
        <v>113</v>
      </c>
      <c r="L133" s="63" t="s">
        <v>234</v>
      </c>
      <c r="M133" s="61" t="s">
        <v>46</v>
      </c>
      <c r="N133" s="61" t="s">
        <v>46</v>
      </c>
    </row>
    <row r="134" ht="15" customHeight="1" spans="1:14" x14ac:dyDescent="0.25">
      <c r="A134" s="64" t="s">
        <v>46</v>
      </c>
      <c r="B134" s="65" t="s">
        <v>87</v>
      </c>
      <c r="C134" s="66" t="s">
        <v>689</v>
      </c>
      <c r="D134" s="65" t="s">
        <v>153</v>
      </c>
      <c r="E134" s="65" t="s">
        <v>691</v>
      </c>
      <c r="F134" s="67" t="s">
        <v>234</v>
      </c>
      <c r="G134" s="67" t="s">
        <v>234</v>
      </c>
      <c r="H134" s="67" t="s">
        <v>66</v>
      </c>
      <c r="I134" s="67" t="s">
        <v>97</v>
      </c>
      <c r="J134" s="67" t="s">
        <v>234</v>
      </c>
      <c r="K134" s="67" t="s">
        <v>113</v>
      </c>
      <c r="L134" s="67" t="s">
        <v>234</v>
      </c>
      <c r="M134" s="65" t="s">
        <v>46</v>
      </c>
      <c r="N134" s="65" t="s">
        <v>46</v>
      </c>
    </row>
    <row r="135" ht="15" customHeight="1" spans="1:14" x14ac:dyDescent="0.25">
      <c r="A135" s="60" t="s">
        <v>46</v>
      </c>
      <c r="B135" s="61" t="s">
        <v>87</v>
      </c>
      <c r="C135" s="62" t="s">
        <v>898</v>
      </c>
      <c r="D135" s="61" t="s">
        <v>157</v>
      </c>
      <c r="E135" s="61" t="s">
        <v>899</v>
      </c>
      <c r="F135" s="63" t="s">
        <v>234</v>
      </c>
      <c r="G135" s="63" t="s">
        <v>234</v>
      </c>
      <c r="H135" s="63" t="s">
        <v>66</v>
      </c>
      <c r="I135" s="63" t="s">
        <v>97</v>
      </c>
      <c r="J135" s="63" t="s">
        <v>234</v>
      </c>
      <c r="K135" s="63" t="s">
        <v>113</v>
      </c>
      <c r="L135" s="63" t="s">
        <v>234</v>
      </c>
      <c r="M135" s="61" t="s">
        <v>46</v>
      </c>
      <c r="N135" s="61" t="s">
        <v>46</v>
      </c>
    </row>
    <row r="136" ht="15" customHeight="1" spans="1:14" x14ac:dyDescent="0.25">
      <c r="A136" s="64" t="s">
        <v>46</v>
      </c>
      <c r="B136" s="65" t="s">
        <v>87</v>
      </c>
      <c r="C136" s="66" t="s">
        <v>903</v>
      </c>
      <c r="D136" s="65" t="s">
        <v>157</v>
      </c>
      <c r="E136" s="65" t="s">
        <v>904</v>
      </c>
      <c r="F136" s="67" t="s">
        <v>234</v>
      </c>
      <c r="G136" s="67" t="s">
        <v>234</v>
      </c>
      <c r="H136" s="67" t="s">
        <v>66</v>
      </c>
      <c r="I136" s="67" t="s">
        <v>97</v>
      </c>
      <c r="J136" s="67" t="s">
        <v>234</v>
      </c>
      <c r="K136" s="67" t="s">
        <v>113</v>
      </c>
      <c r="L136" s="67" t="s">
        <v>234</v>
      </c>
      <c r="M136" s="65" t="s">
        <v>46</v>
      </c>
      <c r="N136" s="65" t="s">
        <v>46</v>
      </c>
    </row>
    <row r="137" ht="15" customHeight="1" spans="1:14" x14ac:dyDescent="0.25">
      <c r="A137" s="60" t="s">
        <v>46</v>
      </c>
      <c r="B137" s="61" t="s">
        <v>87</v>
      </c>
      <c r="C137" s="62" t="s">
        <v>907</v>
      </c>
      <c r="D137" s="61" t="s">
        <v>157</v>
      </c>
      <c r="E137" s="61" t="s">
        <v>908</v>
      </c>
      <c r="F137" s="63" t="s">
        <v>234</v>
      </c>
      <c r="G137" s="63" t="s">
        <v>234</v>
      </c>
      <c r="H137" s="63" t="s">
        <v>66</v>
      </c>
      <c r="I137" s="63" t="s">
        <v>97</v>
      </c>
      <c r="J137" s="63" t="s">
        <v>234</v>
      </c>
      <c r="K137" s="63" t="s">
        <v>113</v>
      </c>
      <c r="L137" s="63" t="s">
        <v>234</v>
      </c>
      <c r="M137" s="61" t="s">
        <v>46</v>
      </c>
      <c r="N137" s="61" t="s">
        <v>46</v>
      </c>
    </row>
    <row r="138" ht="15" customHeight="1" spans="1:14" x14ac:dyDescent="0.25">
      <c r="A138" s="64" t="s">
        <v>46</v>
      </c>
      <c r="B138" s="65" t="s">
        <v>87</v>
      </c>
      <c r="C138" s="66" t="s">
        <v>2060</v>
      </c>
      <c r="D138" s="65" t="s">
        <v>184</v>
      </c>
      <c r="E138" s="65" t="s">
        <v>2061</v>
      </c>
      <c r="F138" s="67" t="s">
        <v>234</v>
      </c>
      <c r="G138" s="67" t="s">
        <v>234</v>
      </c>
      <c r="H138" s="67" t="s">
        <v>66</v>
      </c>
      <c r="I138" s="67" t="s">
        <v>97</v>
      </c>
      <c r="J138" s="67" t="s">
        <v>234</v>
      </c>
      <c r="K138" s="67" t="s">
        <v>113</v>
      </c>
      <c r="L138" s="67" t="s">
        <v>234</v>
      </c>
      <c r="M138" s="65" t="s">
        <v>46</v>
      </c>
      <c r="N138" s="65" t="s">
        <v>46</v>
      </c>
    </row>
    <row r="139" ht="15" customHeight="1" spans="1:14" x14ac:dyDescent="0.25">
      <c r="A139" s="60" t="s">
        <v>46</v>
      </c>
      <c r="B139" s="61" t="s">
        <v>87</v>
      </c>
      <c r="C139" s="62" t="s">
        <v>2069</v>
      </c>
      <c r="D139" s="61" t="s">
        <v>186</v>
      </c>
      <c r="E139" s="61" t="s">
        <v>2070</v>
      </c>
      <c r="F139" s="63" t="s">
        <v>234</v>
      </c>
      <c r="G139" s="63" t="s">
        <v>234</v>
      </c>
      <c r="H139" s="63" t="s">
        <v>66</v>
      </c>
      <c r="I139" s="63" t="s">
        <v>97</v>
      </c>
      <c r="J139" s="63" t="s">
        <v>234</v>
      </c>
      <c r="K139" s="63" t="s">
        <v>113</v>
      </c>
      <c r="L139" s="63" t="s">
        <v>234</v>
      </c>
      <c r="M139" s="61" t="s">
        <v>46</v>
      </c>
      <c r="N139" s="61" t="s">
        <v>46</v>
      </c>
    </row>
    <row r="140" ht="15" customHeight="1" spans="1:14" x14ac:dyDescent="0.25">
      <c r="A140" s="64" t="s">
        <v>46</v>
      </c>
      <c r="B140" s="65" t="s">
        <v>87</v>
      </c>
      <c r="C140" s="66" t="s">
        <v>2073</v>
      </c>
      <c r="D140" s="65" t="s">
        <v>186</v>
      </c>
      <c r="E140" s="65" t="s">
        <v>2074</v>
      </c>
      <c r="F140" s="67" t="s">
        <v>234</v>
      </c>
      <c r="G140" s="67" t="s">
        <v>234</v>
      </c>
      <c r="H140" s="67" t="s">
        <v>66</v>
      </c>
      <c r="I140" s="67" t="s">
        <v>97</v>
      </c>
      <c r="J140" s="67" t="s">
        <v>234</v>
      </c>
      <c r="K140" s="67" t="s">
        <v>113</v>
      </c>
      <c r="L140" s="67" t="s">
        <v>234</v>
      </c>
      <c r="M140" s="65" t="s">
        <v>46</v>
      </c>
      <c r="N140" s="65" t="s">
        <v>46</v>
      </c>
    </row>
    <row r="141" ht="15" customHeight="1" spans="1:14" x14ac:dyDescent="0.25">
      <c r="A141" s="60" t="s">
        <v>46</v>
      </c>
      <c r="B141" s="61" t="s">
        <v>87</v>
      </c>
      <c r="C141" s="62" t="s">
        <v>2322</v>
      </c>
      <c r="D141" s="61" t="s">
        <v>191</v>
      </c>
      <c r="E141" s="61" t="s">
        <v>2323</v>
      </c>
      <c r="F141" s="63" t="s">
        <v>234</v>
      </c>
      <c r="G141" s="63" t="s">
        <v>234</v>
      </c>
      <c r="H141" s="63" t="s">
        <v>66</v>
      </c>
      <c r="I141" s="63" t="s">
        <v>97</v>
      </c>
      <c r="J141" s="63" t="s">
        <v>234</v>
      </c>
      <c r="K141" s="63" t="s">
        <v>113</v>
      </c>
      <c r="L141" s="63" t="s">
        <v>234</v>
      </c>
      <c r="M141" s="61" t="s">
        <v>46</v>
      </c>
      <c r="N141" s="61" t="s">
        <v>46</v>
      </c>
    </row>
    <row r="142" ht="15" customHeight="1" spans="1:14" x14ac:dyDescent="0.25">
      <c r="A142" s="64" t="s">
        <v>46</v>
      </c>
      <c r="B142" s="65" t="s">
        <v>87</v>
      </c>
      <c r="C142" s="66" t="s">
        <v>2326</v>
      </c>
      <c r="D142" s="65" t="s">
        <v>191</v>
      </c>
      <c r="E142" s="65" t="s">
        <v>2327</v>
      </c>
      <c r="F142" s="67" t="s">
        <v>234</v>
      </c>
      <c r="G142" s="67" t="s">
        <v>234</v>
      </c>
      <c r="H142" s="67" t="s">
        <v>66</v>
      </c>
      <c r="I142" s="67" t="s">
        <v>97</v>
      </c>
      <c r="J142" s="67" t="s">
        <v>234</v>
      </c>
      <c r="K142" s="67" t="s">
        <v>113</v>
      </c>
      <c r="L142" s="67" t="s">
        <v>234</v>
      </c>
      <c r="M142" s="65" t="s">
        <v>46</v>
      </c>
      <c r="N142" s="65" t="s">
        <v>46</v>
      </c>
    </row>
    <row r="143" ht="15" customHeight="1" spans="1:14" x14ac:dyDescent="0.25">
      <c r="A143" s="60" t="s">
        <v>46</v>
      </c>
      <c r="B143" s="61" t="s">
        <v>87</v>
      </c>
      <c r="C143" s="62" t="s">
        <v>2377</v>
      </c>
      <c r="D143" s="61" t="s">
        <v>193</v>
      </c>
      <c r="E143" s="61" t="s">
        <v>2378</v>
      </c>
      <c r="F143" s="63" t="s">
        <v>234</v>
      </c>
      <c r="G143" s="63" t="s">
        <v>234</v>
      </c>
      <c r="H143" s="63" t="s">
        <v>66</v>
      </c>
      <c r="I143" s="63" t="s">
        <v>97</v>
      </c>
      <c r="J143" s="63" t="s">
        <v>234</v>
      </c>
      <c r="K143" s="63" t="s">
        <v>113</v>
      </c>
      <c r="L143" s="63" t="s">
        <v>234</v>
      </c>
      <c r="M143" s="61" t="s">
        <v>46</v>
      </c>
      <c r="N143" s="61" t="s">
        <v>46</v>
      </c>
    </row>
    <row r="144" ht="15" customHeight="1" spans="1:14" x14ac:dyDescent="0.25">
      <c r="A144" s="64" t="s">
        <v>46</v>
      </c>
      <c r="B144" s="65" t="s">
        <v>87</v>
      </c>
      <c r="C144" s="66" t="s">
        <v>2382</v>
      </c>
      <c r="D144" s="65" t="s">
        <v>193</v>
      </c>
      <c r="E144" s="65" t="s">
        <v>2383</v>
      </c>
      <c r="F144" s="67" t="s">
        <v>234</v>
      </c>
      <c r="G144" s="67" t="s">
        <v>234</v>
      </c>
      <c r="H144" s="67" t="s">
        <v>66</v>
      </c>
      <c r="I144" s="67" t="s">
        <v>97</v>
      </c>
      <c r="J144" s="67" t="s">
        <v>234</v>
      </c>
      <c r="K144" s="67" t="s">
        <v>113</v>
      </c>
      <c r="L144" s="67" t="s">
        <v>234</v>
      </c>
      <c r="M144" s="65" t="s">
        <v>46</v>
      </c>
      <c r="N144" s="65" t="s">
        <v>46</v>
      </c>
    </row>
    <row r="145" ht="15" customHeight="1" spans="1:14" x14ac:dyDescent="0.25">
      <c r="A145" s="60" t="s">
        <v>46</v>
      </c>
      <c r="B145" s="61" t="s">
        <v>87</v>
      </c>
      <c r="C145" s="62" t="s">
        <v>2387</v>
      </c>
      <c r="D145" s="61" t="s">
        <v>193</v>
      </c>
      <c r="E145" s="61" t="s">
        <v>2388</v>
      </c>
      <c r="F145" s="63" t="s">
        <v>234</v>
      </c>
      <c r="G145" s="63" t="s">
        <v>234</v>
      </c>
      <c r="H145" s="63" t="s">
        <v>66</v>
      </c>
      <c r="I145" s="63" t="s">
        <v>97</v>
      </c>
      <c r="J145" s="63" t="s">
        <v>234</v>
      </c>
      <c r="K145" s="63" t="s">
        <v>113</v>
      </c>
      <c r="L145" s="63" t="s">
        <v>234</v>
      </c>
      <c r="M145" s="61" t="s">
        <v>46</v>
      </c>
      <c r="N145" s="61" t="s">
        <v>46</v>
      </c>
    </row>
    <row r="146" ht="15" customHeight="1" spans="1:14" x14ac:dyDescent="0.25">
      <c r="A146" s="64" t="s">
        <v>46</v>
      </c>
      <c r="B146" s="65" t="s">
        <v>88</v>
      </c>
      <c r="C146" s="66" t="s">
        <v>595</v>
      </c>
      <c r="D146" s="65" t="s">
        <v>150</v>
      </c>
      <c r="E146" s="65" t="s">
        <v>596</v>
      </c>
      <c r="F146" s="67" t="s">
        <v>234</v>
      </c>
      <c r="G146" s="67" t="s">
        <v>234</v>
      </c>
      <c r="H146" s="67" t="s">
        <v>66</v>
      </c>
      <c r="I146" s="67" t="s">
        <v>97</v>
      </c>
      <c r="J146" s="67" t="s">
        <v>234</v>
      </c>
      <c r="K146" s="67" t="s">
        <v>113</v>
      </c>
      <c r="L146" s="67" t="s">
        <v>234</v>
      </c>
      <c r="M146" s="65" t="s">
        <v>46</v>
      </c>
      <c r="N146" s="65" t="s">
        <v>46</v>
      </c>
    </row>
    <row r="147" ht="15" customHeight="1" spans="1:14" x14ac:dyDescent="0.25">
      <c r="A147" s="60" t="s">
        <v>46</v>
      </c>
      <c r="B147" s="61" t="s">
        <v>88</v>
      </c>
      <c r="C147" s="62" t="s">
        <v>599</v>
      </c>
      <c r="D147" s="61" t="s">
        <v>151</v>
      </c>
      <c r="E147" s="61" t="s">
        <v>601</v>
      </c>
      <c r="F147" s="63" t="s">
        <v>234</v>
      </c>
      <c r="G147" s="63" t="s">
        <v>234</v>
      </c>
      <c r="H147" s="63" t="s">
        <v>66</v>
      </c>
      <c r="I147" s="63" t="s">
        <v>97</v>
      </c>
      <c r="J147" s="63" t="s">
        <v>234</v>
      </c>
      <c r="K147" s="63" t="s">
        <v>113</v>
      </c>
      <c r="L147" s="63" t="s">
        <v>234</v>
      </c>
      <c r="M147" s="61" t="s">
        <v>46</v>
      </c>
      <c r="N147" s="61" t="s">
        <v>46</v>
      </c>
    </row>
    <row r="148" ht="15" customHeight="1" spans="1:14" x14ac:dyDescent="0.25">
      <c r="A148" s="64" t="s">
        <v>46</v>
      </c>
      <c r="B148" s="65" t="s">
        <v>88</v>
      </c>
      <c r="C148" s="66" t="s">
        <v>605</v>
      </c>
      <c r="D148" s="65" t="s">
        <v>151</v>
      </c>
      <c r="E148" s="65" t="s">
        <v>606</v>
      </c>
      <c r="F148" s="67" t="s">
        <v>234</v>
      </c>
      <c r="G148" s="67" t="s">
        <v>234</v>
      </c>
      <c r="H148" s="67" t="s">
        <v>66</v>
      </c>
      <c r="I148" s="67" t="s">
        <v>97</v>
      </c>
      <c r="J148" s="67" t="s">
        <v>234</v>
      </c>
      <c r="K148" s="67" t="s">
        <v>113</v>
      </c>
      <c r="L148" s="67" t="s">
        <v>234</v>
      </c>
      <c r="M148" s="65" t="s">
        <v>46</v>
      </c>
      <c r="N148" s="65" t="s">
        <v>46</v>
      </c>
    </row>
    <row r="149" ht="15" customHeight="1" spans="1:14" x14ac:dyDescent="0.25">
      <c r="A149" s="60" t="s">
        <v>46</v>
      </c>
      <c r="B149" s="61" t="s">
        <v>88</v>
      </c>
      <c r="C149" s="62" t="s">
        <v>609</v>
      </c>
      <c r="D149" s="61" t="s">
        <v>151</v>
      </c>
      <c r="E149" s="61" t="s">
        <v>610</v>
      </c>
      <c r="F149" s="63" t="s">
        <v>234</v>
      </c>
      <c r="G149" s="63" t="s">
        <v>234</v>
      </c>
      <c r="H149" s="63" t="s">
        <v>66</v>
      </c>
      <c r="I149" s="63" t="s">
        <v>97</v>
      </c>
      <c r="J149" s="63" t="s">
        <v>234</v>
      </c>
      <c r="K149" s="63" t="s">
        <v>113</v>
      </c>
      <c r="L149" s="63" t="s">
        <v>234</v>
      </c>
      <c r="M149" s="61" t="s">
        <v>46</v>
      </c>
      <c r="N149" s="61" t="s">
        <v>46</v>
      </c>
    </row>
    <row r="150" ht="15" customHeight="1" spans="1:14" x14ac:dyDescent="0.25">
      <c r="A150" s="64" t="s">
        <v>46</v>
      </c>
      <c r="B150" s="65" t="s">
        <v>88</v>
      </c>
      <c r="C150" s="66" t="s">
        <v>619</v>
      </c>
      <c r="D150" s="65" t="s">
        <v>151</v>
      </c>
      <c r="E150" s="65" t="s">
        <v>620</v>
      </c>
      <c r="F150" s="67" t="s">
        <v>234</v>
      </c>
      <c r="G150" s="67" t="s">
        <v>234</v>
      </c>
      <c r="H150" s="67" t="s">
        <v>66</v>
      </c>
      <c r="I150" s="67" t="s">
        <v>97</v>
      </c>
      <c r="J150" s="67" t="s">
        <v>234</v>
      </c>
      <c r="K150" s="67" t="s">
        <v>113</v>
      </c>
      <c r="L150" s="67" t="s">
        <v>234</v>
      </c>
      <c r="M150" s="65" t="s">
        <v>46</v>
      </c>
      <c r="N150" s="65" t="s">
        <v>46</v>
      </c>
    </row>
    <row r="151" ht="15" customHeight="1" spans="1:14" x14ac:dyDescent="0.25">
      <c r="A151" s="60" t="s">
        <v>46</v>
      </c>
      <c r="B151" s="61" t="s">
        <v>88</v>
      </c>
      <c r="C151" s="62" t="s">
        <v>623</v>
      </c>
      <c r="D151" s="61" t="s">
        <v>151</v>
      </c>
      <c r="E151" s="61" t="s">
        <v>624</v>
      </c>
      <c r="F151" s="63" t="s">
        <v>234</v>
      </c>
      <c r="G151" s="63" t="s">
        <v>234</v>
      </c>
      <c r="H151" s="63" t="s">
        <v>66</v>
      </c>
      <c r="I151" s="63" t="s">
        <v>97</v>
      </c>
      <c r="J151" s="63" t="s">
        <v>234</v>
      </c>
      <c r="K151" s="63" t="s">
        <v>113</v>
      </c>
      <c r="L151" s="63" t="s">
        <v>234</v>
      </c>
      <c r="M151" s="61" t="s">
        <v>46</v>
      </c>
      <c r="N151" s="61" t="s">
        <v>46</v>
      </c>
    </row>
    <row r="152" ht="15" customHeight="1" spans="1:14" x14ac:dyDescent="0.25">
      <c r="A152" s="64" t="s">
        <v>46</v>
      </c>
      <c r="B152" s="65" t="s">
        <v>88</v>
      </c>
      <c r="C152" s="66" t="s">
        <v>662</v>
      </c>
      <c r="D152" s="65" t="s">
        <v>152</v>
      </c>
      <c r="E152" s="65" t="s">
        <v>663</v>
      </c>
      <c r="F152" s="67" t="s">
        <v>234</v>
      </c>
      <c r="G152" s="67" t="s">
        <v>234</v>
      </c>
      <c r="H152" s="67" t="s">
        <v>66</v>
      </c>
      <c r="I152" s="67" t="s">
        <v>97</v>
      </c>
      <c r="J152" s="67" t="s">
        <v>234</v>
      </c>
      <c r="K152" s="67" t="s">
        <v>113</v>
      </c>
      <c r="L152" s="67" t="s">
        <v>234</v>
      </c>
      <c r="M152" s="65" t="s">
        <v>46</v>
      </c>
      <c r="N152" s="65" t="s">
        <v>46</v>
      </c>
    </row>
    <row r="153" ht="15" customHeight="1" spans="1:14" x14ac:dyDescent="0.25">
      <c r="A153" s="60" t="s">
        <v>46</v>
      </c>
      <c r="B153" s="61" t="s">
        <v>88</v>
      </c>
      <c r="C153" s="62" t="s">
        <v>666</v>
      </c>
      <c r="D153" s="61" t="s">
        <v>152</v>
      </c>
      <c r="E153" s="61" t="s">
        <v>667</v>
      </c>
      <c r="F153" s="63" t="s">
        <v>234</v>
      </c>
      <c r="G153" s="63" t="s">
        <v>234</v>
      </c>
      <c r="H153" s="63" t="s">
        <v>66</v>
      </c>
      <c r="I153" s="63" t="s">
        <v>97</v>
      </c>
      <c r="J153" s="63" t="s">
        <v>234</v>
      </c>
      <c r="K153" s="63" t="s">
        <v>113</v>
      </c>
      <c r="L153" s="63" t="s">
        <v>234</v>
      </c>
      <c r="M153" s="61" t="s">
        <v>46</v>
      </c>
      <c r="N153" s="61" t="s">
        <v>46</v>
      </c>
    </row>
    <row r="154" ht="15" customHeight="1" spans="1:14" x14ac:dyDescent="0.25">
      <c r="A154" s="64" t="s">
        <v>46</v>
      </c>
      <c r="B154" s="65" t="s">
        <v>88</v>
      </c>
      <c r="C154" s="66" t="s">
        <v>676</v>
      </c>
      <c r="D154" s="65" t="s">
        <v>152</v>
      </c>
      <c r="E154" s="65" t="s">
        <v>677</v>
      </c>
      <c r="F154" s="67" t="s">
        <v>234</v>
      </c>
      <c r="G154" s="67" t="s">
        <v>234</v>
      </c>
      <c r="H154" s="67" t="s">
        <v>66</v>
      </c>
      <c r="I154" s="67" t="s">
        <v>97</v>
      </c>
      <c r="J154" s="67" t="s">
        <v>234</v>
      </c>
      <c r="K154" s="67" t="s">
        <v>113</v>
      </c>
      <c r="L154" s="67" t="s">
        <v>234</v>
      </c>
      <c r="M154" s="65" t="s">
        <v>46</v>
      </c>
      <c r="N154" s="65" t="s">
        <v>46</v>
      </c>
    </row>
    <row r="155" ht="15" customHeight="1" spans="1:14" x14ac:dyDescent="0.25">
      <c r="A155" s="60" t="s">
        <v>46</v>
      </c>
      <c r="B155" s="61" t="s">
        <v>88</v>
      </c>
      <c r="C155" s="62" t="s">
        <v>696</v>
      </c>
      <c r="D155" s="61" t="s">
        <v>153</v>
      </c>
      <c r="E155" s="61" t="s">
        <v>697</v>
      </c>
      <c r="F155" s="63" t="s">
        <v>234</v>
      </c>
      <c r="G155" s="63" t="s">
        <v>234</v>
      </c>
      <c r="H155" s="63" t="s">
        <v>66</v>
      </c>
      <c r="I155" s="63" t="s">
        <v>97</v>
      </c>
      <c r="J155" s="63" t="s">
        <v>234</v>
      </c>
      <c r="K155" s="63" t="s">
        <v>113</v>
      </c>
      <c r="L155" s="63" t="s">
        <v>234</v>
      </c>
      <c r="M155" s="61" t="s">
        <v>46</v>
      </c>
      <c r="N155" s="61" t="s">
        <v>46</v>
      </c>
    </row>
    <row r="156" ht="15" customHeight="1" spans="1:14" x14ac:dyDescent="0.25">
      <c r="A156" s="64" t="s">
        <v>46</v>
      </c>
      <c r="B156" s="65" t="s">
        <v>88</v>
      </c>
      <c r="C156" s="66" t="s">
        <v>700</v>
      </c>
      <c r="D156" s="65" t="s">
        <v>153</v>
      </c>
      <c r="E156" s="65" t="s">
        <v>701</v>
      </c>
      <c r="F156" s="67" t="s">
        <v>234</v>
      </c>
      <c r="G156" s="67" t="s">
        <v>234</v>
      </c>
      <c r="H156" s="67" t="s">
        <v>66</v>
      </c>
      <c r="I156" s="67" t="s">
        <v>97</v>
      </c>
      <c r="J156" s="67" t="s">
        <v>234</v>
      </c>
      <c r="K156" s="67" t="s">
        <v>113</v>
      </c>
      <c r="L156" s="67" t="s">
        <v>234</v>
      </c>
      <c r="M156" s="65" t="s">
        <v>46</v>
      </c>
      <c r="N156" s="65" t="s">
        <v>46</v>
      </c>
    </row>
    <row r="157" ht="15" customHeight="1" spans="1:14" x14ac:dyDescent="0.25">
      <c r="A157" s="60" t="s">
        <v>46</v>
      </c>
      <c r="B157" s="61" t="s">
        <v>88</v>
      </c>
      <c r="C157" s="62" t="s">
        <v>704</v>
      </c>
      <c r="D157" s="61" t="s">
        <v>153</v>
      </c>
      <c r="E157" s="61" t="s">
        <v>705</v>
      </c>
      <c r="F157" s="63" t="s">
        <v>234</v>
      </c>
      <c r="G157" s="63" t="s">
        <v>234</v>
      </c>
      <c r="H157" s="63" t="s">
        <v>66</v>
      </c>
      <c r="I157" s="63" t="s">
        <v>97</v>
      </c>
      <c r="J157" s="63" t="s">
        <v>234</v>
      </c>
      <c r="K157" s="63" t="s">
        <v>113</v>
      </c>
      <c r="L157" s="63" t="s">
        <v>234</v>
      </c>
      <c r="M157" s="61" t="s">
        <v>46</v>
      </c>
      <c r="N157" s="61" t="s">
        <v>46</v>
      </c>
    </row>
    <row r="158" ht="15" customHeight="1" spans="1:14" x14ac:dyDescent="0.25">
      <c r="A158" s="64" t="s">
        <v>46</v>
      </c>
      <c r="B158" s="65" t="s">
        <v>88</v>
      </c>
      <c r="C158" s="66" t="s">
        <v>911</v>
      </c>
      <c r="D158" s="65" t="s">
        <v>157</v>
      </c>
      <c r="E158" s="65" t="s">
        <v>912</v>
      </c>
      <c r="F158" s="67" t="s">
        <v>234</v>
      </c>
      <c r="G158" s="67" t="s">
        <v>234</v>
      </c>
      <c r="H158" s="67" t="s">
        <v>66</v>
      </c>
      <c r="I158" s="67" t="s">
        <v>97</v>
      </c>
      <c r="J158" s="67" t="s">
        <v>234</v>
      </c>
      <c r="K158" s="67" t="s">
        <v>113</v>
      </c>
      <c r="L158" s="67" t="s">
        <v>234</v>
      </c>
      <c r="M158" s="65" t="s">
        <v>46</v>
      </c>
      <c r="N158" s="65" t="s">
        <v>46</v>
      </c>
    </row>
    <row r="159" ht="15" customHeight="1" spans="1:14" x14ac:dyDescent="0.25">
      <c r="A159" s="60" t="s">
        <v>46</v>
      </c>
      <c r="B159" s="61" t="s">
        <v>88</v>
      </c>
      <c r="C159" s="62" t="s">
        <v>915</v>
      </c>
      <c r="D159" s="61" t="s">
        <v>157</v>
      </c>
      <c r="E159" s="61" t="s">
        <v>916</v>
      </c>
      <c r="F159" s="63" t="s">
        <v>234</v>
      </c>
      <c r="G159" s="63" t="s">
        <v>234</v>
      </c>
      <c r="H159" s="63" t="s">
        <v>66</v>
      </c>
      <c r="I159" s="63" t="s">
        <v>97</v>
      </c>
      <c r="J159" s="63" t="s">
        <v>234</v>
      </c>
      <c r="K159" s="63" t="s">
        <v>113</v>
      </c>
      <c r="L159" s="63" t="s">
        <v>234</v>
      </c>
      <c r="M159" s="61" t="s">
        <v>46</v>
      </c>
      <c r="N159" s="61" t="s">
        <v>46</v>
      </c>
    </row>
    <row r="160" ht="15" customHeight="1" spans="1:14" x14ac:dyDescent="0.25">
      <c r="A160" s="64" t="s">
        <v>46</v>
      </c>
      <c r="B160" s="65" t="s">
        <v>88</v>
      </c>
      <c r="C160" s="66" t="s">
        <v>919</v>
      </c>
      <c r="D160" s="65" t="s">
        <v>157</v>
      </c>
      <c r="E160" s="65" t="s">
        <v>920</v>
      </c>
      <c r="F160" s="67" t="s">
        <v>234</v>
      </c>
      <c r="G160" s="67" t="s">
        <v>234</v>
      </c>
      <c r="H160" s="67" t="s">
        <v>66</v>
      </c>
      <c r="I160" s="67" t="s">
        <v>97</v>
      </c>
      <c r="J160" s="67" t="s">
        <v>234</v>
      </c>
      <c r="K160" s="67" t="s">
        <v>113</v>
      </c>
      <c r="L160" s="67" t="s">
        <v>234</v>
      </c>
      <c r="M160" s="65" t="s">
        <v>46</v>
      </c>
      <c r="N160" s="65" t="s">
        <v>46</v>
      </c>
    </row>
    <row r="161" ht="15" customHeight="1" spans="1:14" x14ac:dyDescent="0.25">
      <c r="A161" s="60" t="s">
        <v>46</v>
      </c>
      <c r="B161" s="61" t="s">
        <v>88</v>
      </c>
      <c r="C161" s="62" t="s">
        <v>923</v>
      </c>
      <c r="D161" s="61" t="s">
        <v>157</v>
      </c>
      <c r="E161" s="61" t="s">
        <v>924</v>
      </c>
      <c r="F161" s="63" t="s">
        <v>234</v>
      </c>
      <c r="G161" s="63" t="s">
        <v>234</v>
      </c>
      <c r="H161" s="63" t="s">
        <v>66</v>
      </c>
      <c r="I161" s="63" t="s">
        <v>97</v>
      </c>
      <c r="J161" s="63" t="s">
        <v>234</v>
      </c>
      <c r="K161" s="63" t="s">
        <v>113</v>
      </c>
      <c r="L161" s="63" t="s">
        <v>234</v>
      </c>
      <c r="M161" s="61" t="s">
        <v>46</v>
      </c>
      <c r="N161" s="61" t="s">
        <v>46</v>
      </c>
    </row>
    <row r="162" ht="15" customHeight="1" spans="1:14" x14ac:dyDescent="0.25">
      <c r="A162" s="64" t="s">
        <v>46</v>
      </c>
      <c r="B162" s="65" t="s">
        <v>88</v>
      </c>
      <c r="C162" s="66" t="s">
        <v>927</v>
      </c>
      <c r="D162" s="65" t="s">
        <v>157</v>
      </c>
      <c r="E162" s="65" t="s">
        <v>928</v>
      </c>
      <c r="F162" s="67" t="s">
        <v>234</v>
      </c>
      <c r="G162" s="67" t="s">
        <v>234</v>
      </c>
      <c r="H162" s="67" t="s">
        <v>66</v>
      </c>
      <c r="I162" s="67" t="s">
        <v>97</v>
      </c>
      <c r="J162" s="67" t="s">
        <v>234</v>
      </c>
      <c r="K162" s="67" t="s">
        <v>113</v>
      </c>
      <c r="L162" s="67" t="s">
        <v>234</v>
      </c>
      <c r="M162" s="65" t="s">
        <v>46</v>
      </c>
      <c r="N162" s="65" t="s">
        <v>46</v>
      </c>
    </row>
    <row r="163" ht="15" customHeight="1" spans="1:14" x14ac:dyDescent="0.25">
      <c r="A163" s="60" t="s">
        <v>46</v>
      </c>
      <c r="B163" s="61" t="s">
        <v>88</v>
      </c>
      <c r="C163" s="62" t="s">
        <v>1177</v>
      </c>
      <c r="D163" s="61" t="s">
        <v>163</v>
      </c>
      <c r="E163" s="61" t="s">
        <v>1180</v>
      </c>
      <c r="F163" s="63" t="s">
        <v>234</v>
      </c>
      <c r="G163" s="63" t="s">
        <v>234</v>
      </c>
      <c r="H163" s="63" t="s">
        <v>66</v>
      </c>
      <c r="I163" s="63" t="s">
        <v>97</v>
      </c>
      <c r="J163" s="63" t="s">
        <v>234</v>
      </c>
      <c r="K163" s="63" t="s">
        <v>113</v>
      </c>
      <c r="L163" s="63" t="s">
        <v>234</v>
      </c>
      <c r="M163" s="61" t="s">
        <v>46</v>
      </c>
      <c r="N163" s="61" t="s">
        <v>46</v>
      </c>
    </row>
    <row r="164" ht="15" customHeight="1" spans="1:14" x14ac:dyDescent="0.25">
      <c r="A164" s="64" t="s">
        <v>46</v>
      </c>
      <c r="B164" s="65" t="s">
        <v>88</v>
      </c>
      <c r="C164" s="66" t="s">
        <v>1185</v>
      </c>
      <c r="D164" s="65" t="s">
        <v>163</v>
      </c>
      <c r="E164" s="65" t="s">
        <v>1186</v>
      </c>
      <c r="F164" s="67" t="s">
        <v>234</v>
      </c>
      <c r="G164" s="67" t="s">
        <v>234</v>
      </c>
      <c r="H164" s="67" t="s">
        <v>66</v>
      </c>
      <c r="I164" s="67" t="s">
        <v>97</v>
      </c>
      <c r="J164" s="67" t="s">
        <v>234</v>
      </c>
      <c r="K164" s="67" t="s">
        <v>113</v>
      </c>
      <c r="L164" s="67" t="s">
        <v>234</v>
      </c>
      <c r="M164" s="65" t="s">
        <v>46</v>
      </c>
      <c r="N164" s="65" t="s">
        <v>46</v>
      </c>
    </row>
    <row r="165" ht="15" customHeight="1" spans="1:14" x14ac:dyDescent="0.25">
      <c r="A165" s="60" t="s">
        <v>46</v>
      </c>
      <c r="B165" s="61" t="s">
        <v>88</v>
      </c>
      <c r="C165" s="62" t="s">
        <v>2077</v>
      </c>
      <c r="D165" s="61" t="s">
        <v>186</v>
      </c>
      <c r="E165" s="61" t="s">
        <v>2078</v>
      </c>
      <c r="F165" s="63" t="s">
        <v>234</v>
      </c>
      <c r="G165" s="63" t="s">
        <v>234</v>
      </c>
      <c r="H165" s="63" t="s">
        <v>66</v>
      </c>
      <c r="I165" s="63" t="s">
        <v>97</v>
      </c>
      <c r="J165" s="63" t="s">
        <v>234</v>
      </c>
      <c r="K165" s="63" t="s">
        <v>113</v>
      </c>
      <c r="L165" s="63" t="s">
        <v>234</v>
      </c>
      <c r="M165" s="61" t="s">
        <v>46</v>
      </c>
      <c r="N165" s="61" t="s">
        <v>46</v>
      </c>
    </row>
    <row r="166" ht="15" customHeight="1" spans="1:14" x14ac:dyDescent="0.25">
      <c r="A166" s="64" t="s">
        <v>46</v>
      </c>
      <c r="B166" s="65" t="s">
        <v>88</v>
      </c>
      <c r="C166" s="66" t="s">
        <v>2081</v>
      </c>
      <c r="D166" s="65" t="s">
        <v>186</v>
      </c>
      <c r="E166" s="65" t="s">
        <v>2082</v>
      </c>
      <c r="F166" s="67" t="s">
        <v>234</v>
      </c>
      <c r="G166" s="67" t="s">
        <v>234</v>
      </c>
      <c r="H166" s="67" t="s">
        <v>66</v>
      </c>
      <c r="I166" s="67" t="s">
        <v>97</v>
      </c>
      <c r="J166" s="67" t="s">
        <v>234</v>
      </c>
      <c r="K166" s="67" t="s">
        <v>113</v>
      </c>
      <c r="L166" s="67" t="s">
        <v>234</v>
      </c>
      <c r="M166" s="65" t="s">
        <v>46</v>
      </c>
      <c r="N166" s="65" t="s">
        <v>46</v>
      </c>
    </row>
    <row r="167" ht="15" customHeight="1" spans="1:14" x14ac:dyDescent="0.25">
      <c r="A167" s="60" t="s">
        <v>46</v>
      </c>
      <c r="B167" s="61" t="s">
        <v>88</v>
      </c>
      <c r="C167" s="62" t="s">
        <v>2085</v>
      </c>
      <c r="D167" s="61" t="s">
        <v>186</v>
      </c>
      <c r="E167" s="61" t="s">
        <v>2086</v>
      </c>
      <c r="F167" s="63" t="s">
        <v>234</v>
      </c>
      <c r="G167" s="63" t="s">
        <v>234</v>
      </c>
      <c r="H167" s="63" t="s">
        <v>66</v>
      </c>
      <c r="I167" s="63" t="s">
        <v>97</v>
      </c>
      <c r="J167" s="63" t="s">
        <v>234</v>
      </c>
      <c r="K167" s="63" t="s">
        <v>113</v>
      </c>
      <c r="L167" s="63" t="s">
        <v>234</v>
      </c>
      <c r="M167" s="61" t="s">
        <v>46</v>
      </c>
      <c r="N167" s="61" t="s">
        <v>46</v>
      </c>
    </row>
    <row r="168" ht="15" customHeight="1" spans="1:14" x14ac:dyDescent="0.25">
      <c r="A168" s="64" t="s">
        <v>46</v>
      </c>
      <c r="B168" s="65" t="s">
        <v>88</v>
      </c>
      <c r="C168" s="66" t="s">
        <v>2201</v>
      </c>
      <c r="D168" s="65" t="s">
        <v>189</v>
      </c>
      <c r="E168" s="65" t="s">
        <v>2202</v>
      </c>
      <c r="F168" s="67" t="s">
        <v>234</v>
      </c>
      <c r="G168" s="67" t="s">
        <v>234</v>
      </c>
      <c r="H168" s="67" t="s">
        <v>66</v>
      </c>
      <c r="I168" s="67" t="s">
        <v>97</v>
      </c>
      <c r="J168" s="67" t="s">
        <v>234</v>
      </c>
      <c r="K168" s="67" t="s">
        <v>113</v>
      </c>
      <c r="L168" s="67" t="s">
        <v>234</v>
      </c>
      <c r="M168" s="65" t="s">
        <v>46</v>
      </c>
      <c r="N168" s="65" t="s">
        <v>46</v>
      </c>
    </row>
    <row r="169" ht="15" customHeight="1" spans="1:14" x14ac:dyDescent="0.25">
      <c r="A169" s="60" t="s">
        <v>46</v>
      </c>
      <c r="B169" s="61" t="s">
        <v>88</v>
      </c>
      <c r="C169" s="62" t="s">
        <v>2206</v>
      </c>
      <c r="D169" s="61" t="s">
        <v>189</v>
      </c>
      <c r="E169" s="61" t="s">
        <v>2207</v>
      </c>
      <c r="F169" s="63" t="s">
        <v>234</v>
      </c>
      <c r="G169" s="63" t="s">
        <v>234</v>
      </c>
      <c r="H169" s="63" t="s">
        <v>66</v>
      </c>
      <c r="I169" s="63" t="s">
        <v>97</v>
      </c>
      <c r="J169" s="63" t="s">
        <v>234</v>
      </c>
      <c r="K169" s="63" t="s">
        <v>113</v>
      </c>
      <c r="L169" s="63" t="s">
        <v>234</v>
      </c>
      <c r="M169" s="61" t="s">
        <v>46</v>
      </c>
      <c r="N169" s="61" t="s">
        <v>46</v>
      </c>
    </row>
    <row r="170" ht="15" customHeight="1" spans="1:14" x14ac:dyDescent="0.25">
      <c r="A170" s="64" t="s">
        <v>46</v>
      </c>
      <c r="B170" s="65" t="s">
        <v>88</v>
      </c>
      <c r="C170" s="66" t="s">
        <v>2211</v>
      </c>
      <c r="D170" s="65" t="s">
        <v>189</v>
      </c>
      <c r="E170" s="65" t="s">
        <v>2212</v>
      </c>
      <c r="F170" s="67" t="s">
        <v>234</v>
      </c>
      <c r="G170" s="67" t="s">
        <v>234</v>
      </c>
      <c r="H170" s="67" t="s">
        <v>66</v>
      </c>
      <c r="I170" s="67" t="s">
        <v>97</v>
      </c>
      <c r="J170" s="67" t="s">
        <v>234</v>
      </c>
      <c r="K170" s="67" t="s">
        <v>113</v>
      </c>
      <c r="L170" s="67" t="s">
        <v>234</v>
      </c>
      <c r="M170" s="65" t="s">
        <v>46</v>
      </c>
      <c r="N170" s="65" t="s">
        <v>46</v>
      </c>
    </row>
    <row r="171" ht="15" customHeight="1" spans="1:14" x14ac:dyDescent="0.25">
      <c r="A171" s="60" t="s">
        <v>46</v>
      </c>
      <c r="B171" s="61" t="s">
        <v>88</v>
      </c>
      <c r="C171" s="62" t="s">
        <v>2396</v>
      </c>
      <c r="D171" s="61" t="s">
        <v>193</v>
      </c>
      <c r="E171" s="61" t="s">
        <v>2397</v>
      </c>
      <c r="F171" s="63" t="s">
        <v>234</v>
      </c>
      <c r="G171" s="63" t="s">
        <v>234</v>
      </c>
      <c r="H171" s="63" t="s">
        <v>66</v>
      </c>
      <c r="I171" s="63" t="s">
        <v>97</v>
      </c>
      <c r="J171" s="63" t="s">
        <v>234</v>
      </c>
      <c r="K171" s="63" t="s">
        <v>113</v>
      </c>
      <c r="L171" s="63" t="s">
        <v>234</v>
      </c>
      <c r="M171" s="61" t="s">
        <v>46</v>
      </c>
      <c r="N171" s="61" t="s">
        <v>46</v>
      </c>
    </row>
    <row r="172" ht="15" customHeight="1" spans="1:14" x14ac:dyDescent="0.25">
      <c r="A172" s="64" t="s">
        <v>46</v>
      </c>
      <c r="B172" s="65" t="s">
        <v>89</v>
      </c>
      <c r="C172" s="66" t="s">
        <v>627</v>
      </c>
      <c r="D172" s="65" t="s">
        <v>151</v>
      </c>
      <c r="E172" s="65" t="s">
        <v>628</v>
      </c>
      <c r="F172" s="67" t="s">
        <v>234</v>
      </c>
      <c r="G172" s="67" t="s">
        <v>234</v>
      </c>
      <c r="H172" s="67" t="s">
        <v>66</v>
      </c>
      <c r="I172" s="67" t="s">
        <v>97</v>
      </c>
      <c r="J172" s="67" t="s">
        <v>234</v>
      </c>
      <c r="K172" s="67" t="s">
        <v>113</v>
      </c>
      <c r="L172" s="67" t="s">
        <v>234</v>
      </c>
      <c r="M172" s="65" t="s">
        <v>46</v>
      </c>
      <c r="N172" s="65" t="s">
        <v>46</v>
      </c>
    </row>
    <row r="173" ht="15" customHeight="1" spans="1:14" x14ac:dyDescent="0.25">
      <c r="A173" s="60" t="s">
        <v>46</v>
      </c>
      <c r="B173" s="61" t="s">
        <v>89</v>
      </c>
      <c r="C173" s="62" t="s">
        <v>631</v>
      </c>
      <c r="D173" s="61" t="s">
        <v>151</v>
      </c>
      <c r="E173" s="61" t="s">
        <v>632</v>
      </c>
      <c r="F173" s="63" t="s">
        <v>234</v>
      </c>
      <c r="G173" s="63" t="s">
        <v>234</v>
      </c>
      <c r="H173" s="63" t="s">
        <v>66</v>
      </c>
      <c r="I173" s="63" t="s">
        <v>97</v>
      </c>
      <c r="J173" s="63" t="s">
        <v>234</v>
      </c>
      <c r="K173" s="63" t="s">
        <v>113</v>
      </c>
      <c r="L173" s="63" t="s">
        <v>234</v>
      </c>
      <c r="M173" s="61" t="s">
        <v>46</v>
      </c>
      <c r="N173" s="61" t="s">
        <v>46</v>
      </c>
    </row>
    <row r="174" ht="15" customHeight="1" spans="1:14" x14ac:dyDescent="0.25">
      <c r="A174" s="64" t="s">
        <v>46</v>
      </c>
      <c r="B174" s="65" t="s">
        <v>89</v>
      </c>
      <c r="C174" s="66" t="s">
        <v>635</v>
      </c>
      <c r="D174" s="65" t="s">
        <v>151</v>
      </c>
      <c r="E174" s="65" t="s">
        <v>636</v>
      </c>
      <c r="F174" s="67" t="s">
        <v>234</v>
      </c>
      <c r="G174" s="67" t="s">
        <v>234</v>
      </c>
      <c r="H174" s="67" t="s">
        <v>66</v>
      </c>
      <c r="I174" s="67" t="s">
        <v>97</v>
      </c>
      <c r="J174" s="67" t="s">
        <v>234</v>
      </c>
      <c r="K174" s="67" t="s">
        <v>113</v>
      </c>
      <c r="L174" s="67" t="s">
        <v>234</v>
      </c>
      <c r="M174" s="65" t="s">
        <v>46</v>
      </c>
      <c r="N174" s="65" t="s">
        <v>46</v>
      </c>
    </row>
    <row r="175" ht="15" customHeight="1" spans="1:14" x14ac:dyDescent="0.25">
      <c r="A175" s="60" t="s">
        <v>46</v>
      </c>
      <c r="B175" s="61" t="s">
        <v>89</v>
      </c>
      <c r="C175" s="62" t="s">
        <v>639</v>
      </c>
      <c r="D175" s="61" t="s">
        <v>151</v>
      </c>
      <c r="E175" s="61" t="s">
        <v>640</v>
      </c>
      <c r="F175" s="63" t="s">
        <v>234</v>
      </c>
      <c r="G175" s="63" t="s">
        <v>234</v>
      </c>
      <c r="H175" s="63" t="s">
        <v>66</v>
      </c>
      <c r="I175" s="63" t="s">
        <v>97</v>
      </c>
      <c r="J175" s="63" t="s">
        <v>234</v>
      </c>
      <c r="K175" s="63" t="s">
        <v>113</v>
      </c>
      <c r="L175" s="63" t="s">
        <v>234</v>
      </c>
      <c r="M175" s="61" t="s">
        <v>46</v>
      </c>
      <c r="N175" s="61" t="s">
        <v>46</v>
      </c>
    </row>
    <row r="176" ht="15" customHeight="1" spans="1:14" x14ac:dyDescent="0.25">
      <c r="A176" s="64" t="s">
        <v>46</v>
      </c>
      <c r="B176" s="65" t="s">
        <v>89</v>
      </c>
      <c r="C176" s="66" t="s">
        <v>644</v>
      </c>
      <c r="D176" s="65" t="s">
        <v>151</v>
      </c>
      <c r="E176" s="65" t="s">
        <v>645</v>
      </c>
      <c r="F176" s="67" t="s">
        <v>234</v>
      </c>
      <c r="G176" s="67" t="s">
        <v>234</v>
      </c>
      <c r="H176" s="67" t="s">
        <v>66</v>
      </c>
      <c r="I176" s="67" t="s">
        <v>97</v>
      </c>
      <c r="J176" s="67" t="s">
        <v>234</v>
      </c>
      <c r="K176" s="67" t="s">
        <v>113</v>
      </c>
      <c r="L176" s="67" t="s">
        <v>234</v>
      </c>
      <c r="M176" s="65" t="s">
        <v>46</v>
      </c>
      <c r="N176" s="65" t="s">
        <v>46</v>
      </c>
    </row>
    <row r="177" ht="15" customHeight="1" spans="1:14" x14ac:dyDescent="0.25">
      <c r="A177" s="60" t="s">
        <v>46</v>
      </c>
      <c r="B177" s="61" t="s">
        <v>89</v>
      </c>
      <c r="C177" s="62" t="s">
        <v>648</v>
      </c>
      <c r="D177" s="61" t="s">
        <v>151</v>
      </c>
      <c r="E177" s="61" t="s">
        <v>649</v>
      </c>
      <c r="F177" s="63" t="s">
        <v>234</v>
      </c>
      <c r="G177" s="63" t="s">
        <v>234</v>
      </c>
      <c r="H177" s="63" t="s">
        <v>66</v>
      </c>
      <c r="I177" s="63" t="s">
        <v>97</v>
      </c>
      <c r="J177" s="63" t="s">
        <v>234</v>
      </c>
      <c r="K177" s="63" t="s">
        <v>113</v>
      </c>
      <c r="L177" s="63" t="s">
        <v>234</v>
      </c>
      <c r="M177" s="61" t="s">
        <v>46</v>
      </c>
      <c r="N177" s="61" t="s">
        <v>46</v>
      </c>
    </row>
    <row r="178" ht="15" customHeight="1" spans="1:14" x14ac:dyDescent="0.25">
      <c r="A178" s="64" t="s">
        <v>46</v>
      </c>
      <c r="B178" s="65" t="s">
        <v>89</v>
      </c>
      <c r="C178" s="66" t="s">
        <v>680</v>
      </c>
      <c r="D178" s="65" t="s">
        <v>152</v>
      </c>
      <c r="E178" s="65" t="s">
        <v>681</v>
      </c>
      <c r="F178" s="67" t="s">
        <v>234</v>
      </c>
      <c r="G178" s="67" t="s">
        <v>234</v>
      </c>
      <c r="H178" s="67" t="s">
        <v>66</v>
      </c>
      <c r="I178" s="67" t="s">
        <v>97</v>
      </c>
      <c r="J178" s="67" t="s">
        <v>234</v>
      </c>
      <c r="K178" s="67" t="s">
        <v>113</v>
      </c>
      <c r="L178" s="67" t="s">
        <v>234</v>
      </c>
      <c r="M178" s="65" t="s">
        <v>46</v>
      </c>
      <c r="N178" s="65" t="s">
        <v>46</v>
      </c>
    </row>
    <row r="179" ht="15" customHeight="1" spans="1:14" x14ac:dyDescent="0.25">
      <c r="A179" s="60" t="s">
        <v>46</v>
      </c>
      <c r="B179" s="61" t="s">
        <v>89</v>
      </c>
      <c r="C179" s="62" t="s">
        <v>685</v>
      </c>
      <c r="D179" s="61" t="s">
        <v>152</v>
      </c>
      <c r="E179" s="61" t="s">
        <v>686</v>
      </c>
      <c r="F179" s="63" t="s">
        <v>234</v>
      </c>
      <c r="G179" s="63" t="s">
        <v>234</v>
      </c>
      <c r="H179" s="63" t="s">
        <v>66</v>
      </c>
      <c r="I179" s="63" t="s">
        <v>97</v>
      </c>
      <c r="J179" s="63" t="s">
        <v>234</v>
      </c>
      <c r="K179" s="63" t="s">
        <v>113</v>
      </c>
      <c r="L179" s="63" t="s">
        <v>234</v>
      </c>
      <c r="M179" s="61" t="s">
        <v>46</v>
      </c>
      <c r="N179" s="61" t="s">
        <v>46</v>
      </c>
    </row>
    <row r="180" ht="15" customHeight="1" spans="1:14" x14ac:dyDescent="0.25">
      <c r="A180" s="64" t="s">
        <v>46</v>
      </c>
      <c r="B180" s="65" t="s">
        <v>89</v>
      </c>
      <c r="C180" s="66" t="s">
        <v>709</v>
      </c>
      <c r="D180" s="65" t="s">
        <v>153</v>
      </c>
      <c r="E180" s="65" t="s">
        <v>710</v>
      </c>
      <c r="F180" s="67" t="s">
        <v>234</v>
      </c>
      <c r="G180" s="67" t="s">
        <v>234</v>
      </c>
      <c r="H180" s="67" t="s">
        <v>66</v>
      </c>
      <c r="I180" s="67" t="s">
        <v>97</v>
      </c>
      <c r="J180" s="67" t="s">
        <v>234</v>
      </c>
      <c r="K180" s="67" t="s">
        <v>113</v>
      </c>
      <c r="L180" s="67" t="s">
        <v>234</v>
      </c>
      <c r="M180" s="65" t="s">
        <v>46</v>
      </c>
      <c r="N180" s="65" t="s">
        <v>46</v>
      </c>
    </row>
    <row r="181" ht="15" customHeight="1" spans="1:14" x14ac:dyDescent="0.25">
      <c r="A181" s="60" t="s">
        <v>46</v>
      </c>
      <c r="B181" s="61" t="s">
        <v>89</v>
      </c>
      <c r="C181" s="62" t="s">
        <v>713</v>
      </c>
      <c r="D181" s="61" t="s">
        <v>153</v>
      </c>
      <c r="E181" s="61" t="s">
        <v>714</v>
      </c>
      <c r="F181" s="63" t="s">
        <v>234</v>
      </c>
      <c r="G181" s="63" t="s">
        <v>234</v>
      </c>
      <c r="H181" s="63" t="s">
        <v>66</v>
      </c>
      <c r="I181" s="63" t="s">
        <v>97</v>
      </c>
      <c r="J181" s="63" t="s">
        <v>234</v>
      </c>
      <c r="K181" s="63" t="s">
        <v>113</v>
      </c>
      <c r="L181" s="63" t="s">
        <v>234</v>
      </c>
      <c r="M181" s="61" t="s">
        <v>46</v>
      </c>
      <c r="N181" s="61" t="s">
        <v>46</v>
      </c>
    </row>
    <row r="182" ht="15" customHeight="1" spans="1:14" x14ac:dyDescent="0.25">
      <c r="A182" s="64" t="s">
        <v>46</v>
      </c>
      <c r="B182" s="65" t="s">
        <v>89</v>
      </c>
      <c r="C182" s="66" t="s">
        <v>718</v>
      </c>
      <c r="D182" s="65" t="s">
        <v>153</v>
      </c>
      <c r="E182" s="65" t="s">
        <v>719</v>
      </c>
      <c r="F182" s="67" t="s">
        <v>234</v>
      </c>
      <c r="G182" s="67" t="s">
        <v>234</v>
      </c>
      <c r="H182" s="67" t="s">
        <v>66</v>
      </c>
      <c r="I182" s="67" t="s">
        <v>97</v>
      </c>
      <c r="J182" s="67" t="s">
        <v>234</v>
      </c>
      <c r="K182" s="67" t="s">
        <v>113</v>
      </c>
      <c r="L182" s="67" t="s">
        <v>234</v>
      </c>
      <c r="M182" s="65" t="s">
        <v>46</v>
      </c>
      <c r="N182" s="65" t="s">
        <v>46</v>
      </c>
    </row>
    <row r="183" ht="15" customHeight="1" spans="1:14" x14ac:dyDescent="0.25">
      <c r="A183" s="60" t="s">
        <v>46</v>
      </c>
      <c r="B183" s="61" t="s">
        <v>89</v>
      </c>
      <c r="C183" s="62" t="s">
        <v>723</v>
      </c>
      <c r="D183" s="61" t="s">
        <v>153</v>
      </c>
      <c r="E183" s="61" t="s">
        <v>724</v>
      </c>
      <c r="F183" s="63" t="s">
        <v>234</v>
      </c>
      <c r="G183" s="63" t="s">
        <v>234</v>
      </c>
      <c r="H183" s="63" t="s">
        <v>66</v>
      </c>
      <c r="I183" s="63" t="s">
        <v>97</v>
      </c>
      <c r="J183" s="63" t="s">
        <v>234</v>
      </c>
      <c r="K183" s="63" t="s">
        <v>113</v>
      </c>
      <c r="L183" s="63" t="s">
        <v>234</v>
      </c>
      <c r="M183" s="61" t="s">
        <v>46</v>
      </c>
      <c r="N183" s="61" t="s">
        <v>46</v>
      </c>
    </row>
    <row r="184" ht="15" customHeight="1" spans="1:14" x14ac:dyDescent="0.25">
      <c r="A184" s="64" t="s">
        <v>46</v>
      </c>
      <c r="B184" s="65" t="s">
        <v>89</v>
      </c>
      <c r="C184" s="66" t="s">
        <v>742</v>
      </c>
      <c r="D184" s="65" t="s">
        <v>155</v>
      </c>
      <c r="E184" s="65" t="s">
        <v>744</v>
      </c>
      <c r="F184" s="67" t="s">
        <v>234</v>
      </c>
      <c r="G184" s="67" t="s">
        <v>234</v>
      </c>
      <c r="H184" s="67" t="s">
        <v>66</v>
      </c>
      <c r="I184" s="67" t="s">
        <v>97</v>
      </c>
      <c r="J184" s="67" t="s">
        <v>234</v>
      </c>
      <c r="K184" s="67" t="s">
        <v>113</v>
      </c>
      <c r="L184" s="67" t="s">
        <v>234</v>
      </c>
      <c r="M184" s="65" t="s">
        <v>46</v>
      </c>
      <c r="N184" s="65" t="s">
        <v>46</v>
      </c>
    </row>
    <row r="185" ht="15" customHeight="1" spans="1:14" x14ac:dyDescent="0.25">
      <c r="A185" s="60" t="s">
        <v>46</v>
      </c>
      <c r="B185" s="61" t="s">
        <v>89</v>
      </c>
      <c r="C185" s="62" t="s">
        <v>749</v>
      </c>
      <c r="D185" s="61" t="s">
        <v>155</v>
      </c>
      <c r="E185" s="61" t="s">
        <v>750</v>
      </c>
      <c r="F185" s="63" t="s">
        <v>234</v>
      </c>
      <c r="G185" s="63" t="s">
        <v>234</v>
      </c>
      <c r="H185" s="63" t="s">
        <v>66</v>
      </c>
      <c r="I185" s="63" t="s">
        <v>97</v>
      </c>
      <c r="J185" s="63" t="s">
        <v>234</v>
      </c>
      <c r="K185" s="63" t="s">
        <v>113</v>
      </c>
      <c r="L185" s="63" t="s">
        <v>234</v>
      </c>
      <c r="M185" s="61" t="s">
        <v>46</v>
      </c>
      <c r="N185" s="61" t="s">
        <v>46</v>
      </c>
    </row>
    <row r="186" ht="15" customHeight="1" spans="1:14" x14ac:dyDescent="0.25">
      <c r="A186" s="64" t="s">
        <v>46</v>
      </c>
      <c r="B186" s="65" t="s">
        <v>89</v>
      </c>
      <c r="C186" s="66" t="s">
        <v>931</v>
      </c>
      <c r="D186" s="65" t="s">
        <v>157</v>
      </c>
      <c r="E186" s="65" t="s">
        <v>932</v>
      </c>
      <c r="F186" s="67" t="s">
        <v>234</v>
      </c>
      <c r="G186" s="67" t="s">
        <v>234</v>
      </c>
      <c r="H186" s="67" t="s">
        <v>66</v>
      </c>
      <c r="I186" s="67" t="s">
        <v>97</v>
      </c>
      <c r="J186" s="67" t="s">
        <v>234</v>
      </c>
      <c r="K186" s="67" t="s">
        <v>113</v>
      </c>
      <c r="L186" s="67" t="s">
        <v>234</v>
      </c>
      <c r="M186" s="65" t="s">
        <v>46</v>
      </c>
      <c r="N186" s="65" t="s">
        <v>46</v>
      </c>
    </row>
    <row r="187" ht="15" customHeight="1" spans="1:14" x14ac:dyDescent="0.25">
      <c r="A187" s="60" t="s">
        <v>46</v>
      </c>
      <c r="B187" s="61" t="s">
        <v>89</v>
      </c>
      <c r="C187" s="62" t="s">
        <v>936</v>
      </c>
      <c r="D187" s="61" t="s">
        <v>157</v>
      </c>
      <c r="E187" s="61" t="s">
        <v>937</v>
      </c>
      <c r="F187" s="63" t="s">
        <v>234</v>
      </c>
      <c r="G187" s="63" t="s">
        <v>234</v>
      </c>
      <c r="H187" s="63" t="s">
        <v>66</v>
      </c>
      <c r="I187" s="63" t="s">
        <v>97</v>
      </c>
      <c r="J187" s="63" t="s">
        <v>234</v>
      </c>
      <c r="K187" s="63" t="s">
        <v>113</v>
      </c>
      <c r="L187" s="63" t="s">
        <v>234</v>
      </c>
      <c r="M187" s="61" t="s">
        <v>46</v>
      </c>
      <c r="N187" s="61" t="s">
        <v>46</v>
      </c>
    </row>
    <row r="188" ht="15" customHeight="1" spans="1:14" x14ac:dyDescent="0.25">
      <c r="A188" s="64" t="s">
        <v>46</v>
      </c>
      <c r="B188" s="65" t="s">
        <v>89</v>
      </c>
      <c r="C188" s="66" t="s">
        <v>940</v>
      </c>
      <c r="D188" s="65" t="s">
        <v>157</v>
      </c>
      <c r="E188" s="65" t="s">
        <v>941</v>
      </c>
      <c r="F188" s="67" t="s">
        <v>234</v>
      </c>
      <c r="G188" s="67" t="s">
        <v>234</v>
      </c>
      <c r="H188" s="67" t="s">
        <v>66</v>
      </c>
      <c r="I188" s="67" t="s">
        <v>97</v>
      </c>
      <c r="J188" s="67" t="s">
        <v>234</v>
      </c>
      <c r="K188" s="67" t="s">
        <v>113</v>
      </c>
      <c r="L188" s="67" t="s">
        <v>234</v>
      </c>
      <c r="M188" s="65" t="s">
        <v>46</v>
      </c>
      <c r="N188" s="65" t="s">
        <v>46</v>
      </c>
    </row>
    <row r="189" ht="15" customHeight="1" spans="1:14" x14ac:dyDescent="0.25">
      <c r="A189" s="60" t="s">
        <v>46</v>
      </c>
      <c r="B189" s="61" t="s">
        <v>89</v>
      </c>
      <c r="C189" s="62" t="s">
        <v>944</v>
      </c>
      <c r="D189" s="61" t="s">
        <v>157</v>
      </c>
      <c r="E189" s="61" t="s">
        <v>945</v>
      </c>
      <c r="F189" s="63" t="s">
        <v>234</v>
      </c>
      <c r="G189" s="63" t="s">
        <v>234</v>
      </c>
      <c r="H189" s="63" t="s">
        <v>66</v>
      </c>
      <c r="I189" s="63" t="s">
        <v>97</v>
      </c>
      <c r="J189" s="63" t="s">
        <v>234</v>
      </c>
      <c r="K189" s="63" t="s">
        <v>113</v>
      </c>
      <c r="L189" s="63" t="s">
        <v>234</v>
      </c>
      <c r="M189" s="61" t="s">
        <v>46</v>
      </c>
      <c r="N189" s="61" t="s">
        <v>46</v>
      </c>
    </row>
    <row r="190" ht="15" customHeight="1" spans="1:14" x14ac:dyDescent="0.25">
      <c r="A190" s="64" t="s">
        <v>46</v>
      </c>
      <c r="B190" s="65" t="s">
        <v>89</v>
      </c>
      <c r="C190" s="66" t="s">
        <v>948</v>
      </c>
      <c r="D190" s="65" t="s">
        <v>157</v>
      </c>
      <c r="E190" s="65" t="s">
        <v>949</v>
      </c>
      <c r="F190" s="67" t="s">
        <v>234</v>
      </c>
      <c r="G190" s="67" t="s">
        <v>234</v>
      </c>
      <c r="H190" s="67" t="s">
        <v>66</v>
      </c>
      <c r="I190" s="67" t="s">
        <v>97</v>
      </c>
      <c r="J190" s="67" t="s">
        <v>234</v>
      </c>
      <c r="K190" s="67" t="s">
        <v>113</v>
      </c>
      <c r="L190" s="67" t="s">
        <v>234</v>
      </c>
      <c r="M190" s="65" t="s">
        <v>46</v>
      </c>
      <c r="N190" s="65" t="s">
        <v>46</v>
      </c>
    </row>
    <row r="191" ht="15" customHeight="1" spans="1:14" x14ac:dyDescent="0.25">
      <c r="A191" s="60" t="s">
        <v>46</v>
      </c>
      <c r="B191" s="61" t="s">
        <v>89</v>
      </c>
      <c r="C191" s="62" t="s">
        <v>1189</v>
      </c>
      <c r="D191" s="61" t="s">
        <v>163</v>
      </c>
      <c r="E191" s="61" t="s">
        <v>1190</v>
      </c>
      <c r="F191" s="63" t="s">
        <v>234</v>
      </c>
      <c r="G191" s="63" t="s">
        <v>234</v>
      </c>
      <c r="H191" s="63" t="s">
        <v>66</v>
      </c>
      <c r="I191" s="63" t="s">
        <v>97</v>
      </c>
      <c r="J191" s="63" t="s">
        <v>234</v>
      </c>
      <c r="K191" s="63" t="s">
        <v>113</v>
      </c>
      <c r="L191" s="63" t="s">
        <v>234</v>
      </c>
      <c r="M191" s="61" t="s">
        <v>46</v>
      </c>
      <c r="N191" s="61" t="s">
        <v>46</v>
      </c>
    </row>
    <row r="192" ht="15" customHeight="1" spans="1:14" x14ac:dyDescent="0.25">
      <c r="A192" s="64" t="s">
        <v>46</v>
      </c>
      <c r="B192" s="65" t="s">
        <v>89</v>
      </c>
      <c r="C192" s="66" t="s">
        <v>1193</v>
      </c>
      <c r="D192" s="65" t="s">
        <v>163</v>
      </c>
      <c r="E192" s="65" t="s">
        <v>1194</v>
      </c>
      <c r="F192" s="67" t="s">
        <v>234</v>
      </c>
      <c r="G192" s="67" t="s">
        <v>234</v>
      </c>
      <c r="H192" s="67" t="s">
        <v>66</v>
      </c>
      <c r="I192" s="67" t="s">
        <v>97</v>
      </c>
      <c r="J192" s="67" t="s">
        <v>234</v>
      </c>
      <c r="K192" s="67" t="s">
        <v>113</v>
      </c>
      <c r="L192" s="67" t="s">
        <v>234</v>
      </c>
      <c r="M192" s="65" t="s">
        <v>46</v>
      </c>
      <c r="N192" s="65" t="s">
        <v>46</v>
      </c>
    </row>
    <row r="193" ht="15" customHeight="1" spans="1:14" x14ac:dyDescent="0.25">
      <c r="A193" s="60" t="s">
        <v>46</v>
      </c>
      <c r="B193" s="61" t="s">
        <v>89</v>
      </c>
      <c r="C193" s="62" t="s">
        <v>1197</v>
      </c>
      <c r="D193" s="61" t="s">
        <v>163</v>
      </c>
      <c r="E193" s="61" t="s">
        <v>1198</v>
      </c>
      <c r="F193" s="63" t="s">
        <v>234</v>
      </c>
      <c r="G193" s="63" t="s">
        <v>234</v>
      </c>
      <c r="H193" s="63" t="s">
        <v>66</v>
      </c>
      <c r="I193" s="63" t="s">
        <v>97</v>
      </c>
      <c r="J193" s="63" t="s">
        <v>234</v>
      </c>
      <c r="K193" s="63" t="s">
        <v>113</v>
      </c>
      <c r="L193" s="63" t="s">
        <v>234</v>
      </c>
      <c r="M193" s="61" t="s">
        <v>46</v>
      </c>
      <c r="N193" s="61" t="s">
        <v>46</v>
      </c>
    </row>
    <row r="194" ht="15" customHeight="1" spans="1:14" x14ac:dyDescent="0.25">
      <c r="A194" s="64" t="s">
        <v>46</v>
      </c>
      <c r="B194" s="65" t="s">
        <v>89</v>
      </c>
      <c r="C194" s="66" t="s">
        <v>1201</v>
      </c>
      <c r="D194" s="65" t="s">
        <v>163</v>
      </c>
      <c r="E194" s="65" t="s">
        <v>1202</v>
      </c>
      <c r="F194" s="67" t="s">
        <v>234</v>
      </c>
      <c r="G194" s="67" t="s">
        <v>234</v>
      </c>
      <c r="H194" s="67" t="s">
        <v>66</v>
      </c>
      <c r="I194" s="67" t="s">
        <v>97</v>
      </c>
      <c r="J194" s="67" t="s">
        <v>234</v>
      </c>
      <c r="K194" s="67" t="s">
        <v>113</v>
      </c>
      <c r="L194" s="67" t="s">
        <v>234</v>
      </c>
      <c r="M194" s="65" t="s">
        <v>46</v>
      </c>
      <c r="N194" s="65" t="s">
        <v>46</v>
      </c>
    </row>
    <row r="195" ht="15" customHeight="1" spans="1:14" x14ac:dyDescent="0.25">
      <c r="A195" s="60" t="s">
        <v>46</v>
      </c>
      <c r="B195" s="61" t="s">
        <v>89</v>
      </c>
      <c r="C195" s="62" t="s">
        <v>2089</v>
      </c>
      <c r="D195" s="61" t="s">
        <v>186</v>
      </c>
      <c r="E195" s="61" t="s">
        <v>2090</v>
      </c>
      <c r="F195" s="63" t="s">
        <v>234</v>
      </c>
      <c r="G195" s="63" t="s">
        <v>234</v>
      </c>
      <c r="H195" s="63" t="s">
        <v>66</v>
      </c>
      <c r="I195" s="63" t="s">
        <v>97</v>
      </c>
      <c r="J195" s="63" t="s">
        <v>234</v>
      </c>
      <c r="K195" s="63" t="s">
        <v>113</v>
      </c>
      <c r="L195" s="63" t="s">
        <v>234</v>
      </c>
      <c r="M195" s="61" t="s">
        <v>46</v>
      </c>
      <c r="N195" s="61" t="s">
        <v>46</v>
      </c>
    </row>
    <row r="196" ht="15" customHeight="1" spans="1:14" x14ac:dyDescent="0.25">
      <c r="A196" s="64" t="s">
        <v>46</v>
      </c>
      <c r="B196" s="65" t="s">
        <v>89</v>
      </c>
      <c r="C196" s="66" t="s">
        <v>2093</v>
      </c>
      <c r="D196" s="65" t="s">
        <v>186</v>
      </c>
      <c r="E196" s="65" t="s">
        <v>2094</v>
      </c>
      <c r="F196" s="67" t="s">
        <v>234</v>
      </c>
      <c r="G196" s="67" t="s">
        <v>234</v>
      </c>
      <c r="H196" s="67" t="s">
        <v>66</v>
      </c>
      <c r="I196" s="67" t="s">
        <v>97</v>
      </c>
      <c r="J196" s="67" t="s">
        <v>234</v>
      </c>
      <c r="K196" s="67" t="s">
        <v>113</v>
      </c>
      <c r="L196" s="67" t="s">
        <v>234</v>
      </c>
      <c r="M196" s="65" t="s">
        <v>46</v>
      </c>
      <c r="N196" s="65" t="s">
        <v>46</v>
      </c>
    </row>
    <row r="197" ht="15" customHeight="1" spans="1:14" x14ac:dyDescent="0.25">
      <c r="A197" s="60" t="s">
        <v>46</v>
      </c>
      <c r="B197" s="61" t="s">
        <v>89</v>
      </c>
      <c r="C197" s="62" t="s">
        <v>2097</v>
      </c>
      <c r="D197" s="61" t="s">
        <v>186</v>
      </c>
      <c r="E197" s="61" t="s">
        <v>2098</v>
      </c>
      <c r="F197" s="63" t="s">
        <v>234</v>
      </c>
      <c r="G197" s="63" t="s">
        <v>234</v>
      </c>
      <c r="H197" s="63" t="s">
        <v>66</v>
      </c>
      <c r="I197" s="63" t="s">
        <v>97</v>
      </c>
      <c r="J197" s="63" t="s">
        <v>234</v>
      </c>
      <c r="K197" s="63" t="s">
        <v>113</v>
      </c>
      <c r="L197" s="63" t="s">
        <v>234</v>
      </c>
      <c r="M197" s="61" t="s">
        <v>46</v>
      </c>
      <c r="N197" s="61" t="s">
        <v>46</v>
      </c>
    </row>
    <row r="198" ht="15" customHeight="1" spans="1:14" x14ac:dyDescent="0.25">
      <c r="A198" s="64" t="s">
        <v>46</v>
      </c>
      <c r="B198" s="65" t="s">
        <v>89</v>
      </c>
      <c r="C198" s="66" t="s">
        <v>2105</v>
      </c>
      <c r="D198" s="65" t="s">
        <v>186</v>
      </c>
      <c r="E198" s="65" t="s">
        <v>2106</v>
      </c>
      <c r="F198" s="67" t="s">
        <v>234</v>
      </c>
      <c r="G198" s="67" t="s">
        <v>234</v>
      </c>
      <c r="H198" s="67" t="s">
        <v>66</v>
      </c>
      <c r="I198" s="67" t="s">
        <v>97</v>
      </c>
      <c r="J198" s="67" t="s">
        <v>234</v>
      </c>
      <c r="K198" s="67" t="s">
        <v>113</v>
      </c>
      <c r="L198" s="67" t="s">
        <v>234</v>
      </c>
      <c r="M198" s="65" t="s">
        <v>46</v>
      </c>
      <c r="N198" s="65" t="s">
        <v>46</v>
      </c>
    </row>
    <row r="199" ht="15" customHeight="1" spans="1:14" x14ac:dyDescent="0.25">
      <c r="A199" s="60" t="s">
        <v>46</v>
      </c>
      <c r="B199" s="61" t="s">
        <v>89</v>
      </c>
      <c r="C199" s="62" t="s">
        <v>2109</v>
      </c>
      <c r="D199" s="61" t="s">
        <v>186</v>
      </c>
      <c r="E199" s="61" t="s">
        <v>2110</v>
      </c>
      <c r="F199" s="63" t="s">
        <v>234</v>
      </c>
      <c r="G199" s="63" t="s">
        <v>234</v>
      </c>
      <c r="H199" s="63" t="s">
        <v>66</v>
      </c>
      <c r="I199" s="63" t="s">
        <v>97</v>
      </c>
      <c r="J199" s="63" t="s">
        <v>234</v>
      </c>
      <c r="K199" s="63" t="s">
        <v>113</v>
      </c>
      <c r="L199" s="63" t="s">
        <v>234</v>
      </c>
      <c r="M199" s="61" t="s">
        <v>46</v>
      </c>
      <c r="N199" s="61" t="s">
        <v>46</v>
      </c>
    </row>
    <row r="200" ht="15" customHeight="1" spans="1:14" x14ac:dyDescent="0.25">
      <c r="A200" s="64" t="s">
        <v>46</v>
      </c>
      <c r="B200" s="65" t="s">
        <v>89</v>
      </c>
      <c r="C200" s="66" t="s">
        <v>2215</v>
      </c>
      <c r="D200" s="65" t="s">
        <v>189</v>
      </c>
      <c r="E200" s="65" t="s">
        <v>2216</v>
      </c>
      <c r="F200" s="67" t="s">
        <v>234</v>
      </c>
      <c r="G200" s="67" t="s">
        <v>234</v>
      </c>
      <c r="H200" s="67" t="s">
        <v>66</v>
      </c>
      <c r="I200" s="67" t="s">
        <v>97</v>
      </c>
      <c r="J200" s="67" t="s">
        <v>234</v>
      </c>
      <c r="K200" s="67" t="s">
        <v>113</v>
      </c>
      <c r="L200" s="67" t="s">
        <v>234</v>
      </c>
      <c r="M200" s="65" t="s">
        <v>46</v>
      </c>
      <c r="N200" s="65" t="s">
        <v>46</v>
      </c>
    </row>
    <row r="201" ht="15" customHeight="1" spans="1:14" x14ac:dyDescent="0.25">
      <c r="A201" s="60" t="s">
        <v>46</v>
      </c>
      <c r="B201" s="61" t="s">
        <v>89</v>
      </c>
      <c r="C201" s="62" t="s">
        <v>2220</v>
      </c>
      <c r="D201" s="61" t="s">
        <v>189</v>
      </c>
      <c r="E201" s="61" t="s">
        <v>2221</v>
      </c>
      <c r="F201" s="63" t="s">
        <v>234</v>
      </c>
      <c r="G201" s="63" t="s">
        <v>234</v>
      </c>
      <c r="H201" s="63" t="s">
        <v>66</v>
      </c>
      <c r="I201" s="63" t="s">
        <v>97</v>
      </c>
      <c r="J201" s="63" t="s">
        <v>234</v>
      </c>
      <c r="K201" s="63" t="s">
        <v>113</v>
      </c>
      <c r="L201" s="63" t="s">
        <v>234</v>
      </c>
      <c r="M201" s="61" t="s">
        <v>46</v>
      </c>
      <c r="N201" s="61" t="s">
        <v>46</v>
      </c>
    </row>
    <row r="202" ht="15" customHeight="1" spans="1:14" x14ac:dyDescent="0.25">
      <c r="A202" s="64" t="s">
        <v>46</v>
      </c>
      <c r="B202" s="65" t="s">
        <v>89</v>
      </c>
      <c r="C202" s="66" t="s">
        <v>2224</v>
      </c>
      <c r="D202" s="65" t="s">
        <v>189</v>
      </c>
      <c r="E202" s="65" t="s">
        <v>2225</v>
      </c>
      <c r="F202" s="67" t="s">
        <v>234</v>
      </c>
      <c r="G202" s="67" t="s">
        <v>234</v>
      </c>
      <c r="H202" s="67" t="s">
        <v>66</v>
      </c>
      <c r="I202" s="67" t="s">
        <v>97</v>
      </c>
      <c r="J202" s="67" t="s">
        <v>234</v>
      </c>
      <c r="K202" s="67" t="s">
        <v>113</v>
      </c>
      <c r="L202" s="67" t="s">
        <v>234</v>
      </c>
      <c r="M202" s="65" t="s">
        <v>46</v>
      </c>
      <c r="N202" s="65" t="s">
        <v>46</v>
      </c>
    </row>
    <row r="203" ht="15" customHeight="1" spans="1:14" x14ac:dyDescent="0.25">
      <c r="A203" s="60" t="s">
        <v>46</v>
      </c>
      <c r="B203" s="61" t="s">
        <v>89</v>
      </c>
      <c r="C203" s="62" t="s">
        <v>2229</v>
      </c>
      <c r="D203" s="61" t="s">
        <v>189</v>
      </c>
      <c r="E203" s="61" t="s">
        <v>2230</v>
      </c>
      <c r="F203" s="63" t="s">
        <v>234</v>
      </c>
      <c r="G203" s="63" t="s">
        <v>234</v>
      </c>
      <c r="H203" s="63" t="s">
        <v>66</v>
      </c>
      <c r="I203" s="63" t="s">
        <v>97</v>
      </c>
      <c r="J203" s="63" t="s">
        <v>234</v>
      </c>
      <c r="K203" s="63" t="s">
        <v>113</v>
      </c>
      <c r="L203" s="63" t="s">
        <v>234</v>
      </c>
      <c r="M203" s="61" t="s">
        <v>46</v>
      </c>
      <c r="N203" s="61" t="s">
        <v>46</v>
      </c>
    </row>
    <row r="204" ht="15" customHeight="1" spans="1:14" x14ac:dyDescent="0.25">
      <c r="A204" s="64" t="s">
        <v>46</v>
      </c>
      <c r="B204" s="65" t="s">
        <v>90</v>
      </c>
      <c r="C204" s="66" t="s">
        <v>727</v>
      </c>
      <c r="D204" s="65" t="s">
        <v>153</v>
      </c>
      <c r="E204" s="65" t="s">
        <v>728</v>
      </c>
      <c r="F204" s="67" t="s">
        <v>234</v>
      </c>
      <c r="G204" s="67" t="s">
        <v>234</v>
      </c>
      <c r="H204" s="67" t="s">
        <v>66</v>
      </c>
      <c r="I204" s="67" t="s">
        <v>97</v>
      </c>
      <c r="J204" s="67" t="s">
        <v>234</v>
      </c>
      <c r="K204" s="67" t="s">
        <v>113</v>
      </c>
      <c r="L204" s="67" t="s">
        <v>234</v>
      </c>
      <c r="M204" s="65" t="s">
        <v>46</v>
      </c>
      <c r="N204" s="65" t="s">
        <v>46</v>
      </c>
    </row>
    <row r="205" ht="15" customHeight="1" spans="1:14" x14ac:dyDescent="0.25">
      <c r="A205" s="60" t="s">
        <v>46</v>
      </c>
      <c r="B205" s="61" t="s">
        <v>90</v>
      </c>
      <c r="C205" s="62" t="s">
        <v>731</v>
      </c>
      <c r="D205" s="61" t="s">
        <v>153</v>
      </c>
      <c r="E205" s="61" t="s">
        <v>732</v>
      </c>
      <c r="F205" s="63" t="s">
        <v>234</v>
      </c>
      <c r="G205" s="63" t="s">
        <v>234</v>
      </c>
      <c r="H205" s="63" t="s">
        <v>66</v>
      </c>
      <c r="I205" s="63" t="s">
        <v>97</v>
      </c>
      <c r="J205" s="63" t="s">
        <v>234</v>
      </c>
      <c r="K205" s="63" t="s">
        <v>113</v>
      </c>
      <c r="L205" s="63" t="s">
        <v>234</v>
      </c>
      <c r="M205" s="61" t="s">
        <v>46</v>
      </c>
      <c r="N205" s="61" t="s">
        <v>46</v>
      </c>
    </row>
    <row r="206" ht="15" customHeight="1" spans="1:14" x14ac:dyDescent="0.25">
      <c r="A206" s="64" t="s">
        <v>46</v>
      </c>
      <c r="B206" s="65" t="s">
        <v>90</v>
      </c>
      <c r="C206" s="66" t="s">
        <v>735</v>
      </c>
      <c r="D206" s="65" t="s">
        <v>153</v>
      </c>
      <c r="E206" s="65" t="s">
        <v>736</v>
      </c>
      <c r="F206" s="67" t="s">
        <v>234</v>
      </c>
      <c r="G206" s="67" t="s">
        <v>234</v>
      </c>
      <c r="H206" s="67" t="s">
        <v>66</v>
      </c>
      <c r="I206" s="67" t="s">
        <v>97</v>
      </c>
      <c r="J206" s="67" t="s">
        <v>234</v>
      </c>
      <c r="K206" s="67" t="s">
        <v>113</v>
      </c>
      <c r="L206" s="67" t="s">
        <v>234</v>
      </c>
      <c r="M206" s="65" t="s">
        <v>46</v>
      </c>
      <c r="N206" s="65" t="s">
        <v>46</v>
      </c>
    </row>
    <row r="207" ht="15" customHeight="1" spans="1:14" x14ac:dyDescent="0.25">
      <c r="A207" s="60" t="s">
        <v>46</v>
      </c>
      <c r="B207" s="61" t="s">
        <v>90</v>
      </c>
      <c r="C207" s="62" t="s">
        <v>739</v>
      </c>
      <c r="D207" s="61" t="s">
        <v>153</v>
      </c>
      <c r="E207" s="61" t="s">
        <v>740</v>
      </c>
      <c r="F207" s="63" t="s">
        <v>234</v>
      </c>
      <c r="G207" s="63" t="s">
        <v>234</v>
      </c>
      <c r="H207" s="63" t="s">
        <v>66</v>
      </c>
      <c r="I207" s="63" t="s">
        <v>97</v>
      </c>
      <c r="J207" s="63" t="s">
        <v>234</v>
      </c>
      <c r="K207" s="63" t="s">
        <v>113</v>
      </c>
      <c r="L207" s="63" t="s">
        <v>234</v>
      </c>
      <c r="M207" s="61" t="s">
        <v>46</v>
      </c>
      <c r="N207" s="61" t="s">
        <v>46</v>
      </c>
    </row>
    <row r="208" ht="15" customHeight="1" spans="1:14" x14ac:dyDescent="0.25">
      <c r="A208" s="64" t="s">
        <v>46</v>
      </c>
      <c r="B208" s="65" t="s">
        <v>90</v>
      </c>
      <c r="C208" s="66" t="s">
        <v>753</v>
      </c>
      <c r="D208" s="65" t="s">
        <v>155</v>
      </c>
      <c r="E208" s="65" t="s">
        <v>754</v>
      </c>
      <c r="F208" s="67" t="s">
        <v>234</v>
      </c>
      <c r="G208" s="67" t="s">
        <v>234</v>
      </c>
      <c r="H208" s="67" t="s">
        <v>66</v>
      </c>
      <c r="I208" s="67" t="s">
        <v>97</v>
      </c>
      <c r="J208" s="67" t="s">
        <v>234</v>
      </c>
      <c r="K208" s="67" t="s">
        <v>113</v>
      </c>
      <c r="L208" s="67" t="s">
        <v>234</v>
      </c>
      <c r="M208" s="65" t="s">
        <v>46</v>
      </c>
      <c r="N208" s="65" t="s">
        <v>46</v>
      </c>
    </row>
    <row r="209" ht="15" customHeight="1" spans="1:14" x14ac:dyDescent="0.25">
      <c r="A209" s="60" t="s">
        <v>46</v>
      </c>
      <c r="B209" s="61" t="s">
        <v>90</v>
      </c>
      <c r="C209" s="62" t="s">
        <v>757</v>
      </c>
      <c r="D209" s="61" t="s">
        <v>155</v>
      </c>
      <c r="E209" s="61" t="s">
        <v>758</v>
      </c>
      <c r="F209" s="63" t="s">
        <v>234</v>
      </c>
      <c r="G209" s="63" t="s">
        <v>234</v>
      </c>
      <c r="H209" s="63" t="s">
        <v>66</v>
      </c>
      <c r="I209" s="63" t="s">
        <v>97</v>
      </c>
      <c r="J209" s="63" t="s">
        <v>234</v>
      </c>
      <c r="K209" s="63" t="s">
        <v>113</v>
      </c>
      <c r="L209" s="63" t="s">
        <v>234</v>
      </c>
      <c r="M209" s="61" t="s">
        <v>46</v>
      </c>
      <c r="N209" s="61" t="s">
        <v>46</v>
      </c>
    </row>
    <row r="210" ht="15" customHeight="1" spans="1:14" x14ac:dyDescent="0.25">
      <c r="A210" s="64" t="s">
        <v>46</v>
      </c>
      <c r="B210" s="65" t="s">
        <v>90</v>
      </c>
      <c r="C210" s="66" t="s">
        <v>761</v>
      </c>
      <c r="D210" s="65" t="s">
        <v>155</v>
      </c>
      <c r="E210" s="65" t="s">
        <v>762</v>
      </c>
      <c r="F210" s="67" t="s">
        <v>234</v>
      </c>
      <c r="G210" s="67" t="s">
        <v>234</v>
      </c>
      <c r="H210" s="67" t="s">
        <v>66</v>
      </c>
      <c r="I210" s="67" t="s">
        <v>97</v>
      </c>
      <c r="J210" s="67" t="s">
        <v>234</v>
      </c>
      <c r="K210" s="67" t="s">
        <v>113</v>
      </c>
      <c r="L210" s="67" t="s">
        <v>234</v>
      </c>
      <c r="M210" s="65" t="s">
        <v>46</v>
      </c>
      <c r="N210" s="65" t="s">
        <v>46</v>
      </c>
    </row>
    <row r="211" ht="15" customHeight="1" spans="1:14" x14ac:dyDescent="0.25">
      <c r="A211" s="60" t="s">
        <v>46</v>
      </c>
      <c r="B211" s="61" t="s">
        <v>90</v>
      </c>
      <c r="C211" s="62" t="s">
        <v>765</v>
      </c>
      <c r="D211" s="61" t="s">
        <v>155</v>
      </c>
      <c r="E211" s="61" t="s">
        <v>766</v>
      </c>
      <c r="F211" s="63" t="s">
        <v>234</v>
      </c>
      <c r="G211" s="63" t="s">
        <v>234</v>
      </c>
      <c r="H211" s="63" t="s">
        <v>66</v>
      </c>
      <c r="I211" s="63" t="s">
        <v>97</v>
      </c>
      <c r="J211" s="63" t="s">
        <v>234</v>
      </c>
      <c r="K211" s="63" t="s">
        <v>113</v>
      </c>
      <c r="L211" s="63" t="s">
        <v>234</v>
      </c>
      <c r="M211" s="61" t="s">
        <v>46</v>
      </c>
      <c r="N211" s="61" t="s">
        <v>46</v>
      </c>
    </row>
    <row r="212" ht="15" customHeight="1" spans="1:14" x14ac:dyDescent="0.25">
      <c r="A212" s="64" t="s">
        <v>46</v>
      </c>
      <c r="B212" s="65" t="s">
        <v>90</v>
      </c>
      <c r="C212" s="66" t="s">
        <v>849</v>
      </c>
      <c r="D212" s="65" t="s">
        <v>156</v>
      </c>
      <c r="E212" s="65" t="s">
        <v>851</v>
      </c>
      <c r="F212" s="67" t="s">
        <v>234</v>
      </c>
      <c r="G212" s="67" t="s">
        <v>234</v>
      </c>
      <c r="H212" s="67" t="s">
        <v>66</v>
      </c>
      <c r="I212" s="67" t="s">
        <v>97</v>
      </c>
      <c r="J212" s="67" t="s">
        <v>234</v>
      </c>
      <c r="K212" s="67" t="s">
        <v>113</v>
      </c>
      <c r="L212" s="67" t="s">
        <v>234</v>
      </c>
      <c r="M212" s="65" t="s">
        <v>46</v>
      </c>
      <c r="N212" s="65" t="s">
        <v>46</v>
      </c>
    </row>
    <row r="213" ht="15" customHeight="1" spans="1:14" x14ac:dyDescent="0.25">
      <c r="A213" s="60" t="s">
        <v>46</v>
      </c>
      <c r="B213" s="61" t="s">
        <v>90</v>
      </c>
      <c r="C213" s="62" t="s">
        <v>952</v>
      </c>
      <c r="D213" s="61" t="s">
        <v>157</v>
      </c>
      <c r="E213" s="61" t="s">
        <v>953</v>
      </c>
      <c r="F213" s="63" t="s">
        <v>234</v>
      </c>
      <c r="G213" s="63" t="s">
        <v>234</v>
      </c>
      <c r="H213" s="63" t="s">
        <v>66</v>
      </c>
      <c r="I213" s="63" t="s">
        <v>97</v>
      </c>
      <c r="J213" s="63" t="s">
        <v>234</v>
      </c>
      <c r="K213" s="63" t="s">
        <v>113</v>
      </c>
      <c r="L213" s="63" t="s">
        <v>234</v>
      </c>
      <c r="M213" s="61" t="s">
        <v>46</v>
      </c>
      <c r="N213" s="61" t="s">
        <v>46</v>
      </c>
    </row>
    <row r="214" ht="15" customHeight="1" spans="1:14" x14ac:dyDescent="0.25">
      <c r="A214" s="64" t="s">
        <v>46</v>
      </c>
      <c r="B214" s="65" t="s">
        <v>90</v>
      </c>
      <c r="C214" s="66" t="s">
        <v>956</v>
      </c>
      <c r="D214" s="65" t="s">
        <v>157</v>
      </c>
      <c r="E214" s="65" t="s">
        <v>957</v>
      </c>
      <c r="F214" s="67" t="s">
        <v>234</v>
      </c>
      <c r="G214" s="67" t="s">
        <v>234</v>
      </c>
      <c r="H214" s="67" t="s">
        <v>66</v>
      </c>
      <c r="I214" s="67" t="s">
        <v>97</v>
      </c>
      <c r="J214" s="67" t="s">
        <v>234</v>
      </c>
      <c r="K214" s="67" t="s">
        <v>113</v>
      </c>
      <c r="L214" s="67" t="s">
        <v>234</v>
      </c>
      <c r="M214" s="65" t="s">
        <v>46</v>
      </c>
      <c r="N214" s="65" t="s">
        <v>46</v>
      </c>
    </row>
    <row r="215" ht="15" customHeight="1" spans="1:14" x14ac:dyDescent="0.25">
      <c r="A215" s="60" t="s">
        <v>46</v>
      </c>
      <c r="B215" s="61" t="s">
        <v>90</v>
      </c>
      <c r="C215" s="62" t="s">
        <v>960</v>
      </c>
      <c r="D215" s="61" t="s">
        <v>157</v>
      </c>
      <c r="E215" s="61" t="s">
        <v>961</v>
      </c>
      <c r="F215" s="63" t="s">
        <v>234</v>
      </c>
      <c r="G215" s="63" t="s">
        <v>234</v>
      </c>
      <c r="H215" s="63" t="s">
        <v>66</v>
      </c>
      <c r="I215" s="63" t="s">
        <v>97</v>
      </c>
      <c r="J215" s="63" t="s">
        <v>234</v>
      </c>
      <c r="K215" s="63" t="s">
        <v>113</v>
      </c>
      <c r="L215" s="63" t="s">
        <v>234</v>
      </c>
      <c r="M215" s="61" t="s">
        <v>46</v>
      </c>
      <c r="N215" s="61" t="s">
        <v>46</v>
      </c>
    </row>
    <row r="216" ht="15" customHeight="1" spans="1:14" x14ac:dyDescent="0.25">
      <c r="A216" s="64" t="s">
        <v>46</v>
      </c>
      <c r="B216" s="65" t="s">
        <v>90</v>
      </c>
      <c r="C216" s="66" t="s">
        <v>965</v>
      </c>
      <c r="D216" s="65" t="s">
        <v>157</v>
      </c>
      <c r="E216" s="65" t="s">
        <v>966</v>
      </c>
      <c r="F216" s="67" t="s">
        <v>234</v>
      </c>
      <c r="G216" s="67" t="s">
        <v>234</v>
      </c>
      <c r="H216" s="67" t="s">
        <v>66</v>
      </c>
      <c r="I216" s="67" t="s">
        <v>97</v>
      </c>
      <c r="J216" s="67" t="s">
        <v>234</v>
      </c>
      <c r="K216" s="67" t="s">
        <v>113</v>
      </c>
      <c r="L216" s="67" t="s">
        <v>234</v>
      </c>
      <c r="M216" s="65" t="s">
        <v>46</v>
      </c>
      <c r="N216" s="65" t="s">
        <v>46</v>
      </c>
    </row>
    <row r="217" ht="15" customHeight="1" spans="1:14" x14ac:dyDescent="0.25">
      <c r="A217" s="60" t="s">
        <v>46</v>
      </c>
      <c r="B217" s="61" t="s">
        <v>90</v>
      </c>
      <c r="C217" s="62" t="s">
        <v>969</v>
      </c>
      <c r="D217" s="61" t="s">
        <v>157</v>
      </c>
      <c r="E217" s="61" t="s">
        <v>970</v>
      </c>
      <c r="F217" s="63" t="s">
        <v>234</v>
      </c>
      <c r="G217" s="63" t="s">
        <v>234</v>
      </c>
      <c r="H217" s="63" t="s">
        <v>66</v>
      </c>
      <c r="I217" s="63" t="s">
        <v>97</v>
      </c>
      <c r="J217" s="63" t="s">
        <v>234</v>
      </c>
      <c r="K217" s="63" t="s">
        <v>113</v>
      </c>
      <c r="L217" s="63" t="s">
        <v>234</v>
      </c>
      <c r="M217" s="61" t="s">
        <v>46</v>
      </c>
      <c r="N217" s="61" t="s">
        <v>46</v>
      </c>
    </row>
    <row r="218" ht="15" customHeight="1" spans="1:14" x14ac:dyDescent="0.25">
      <c r="A218" s="64" t="s">
        <v>46</v>
      </c>
      <c r="B218" s="65" t="s">
        <v>90</v>
      </c>
      <c r="C218" s="66" t="s">
        <v>1205</v>
      </c>
      <c r="D218" s="65" t="s">
        <v>163</v>
      </c>
      <c r="E218" s="65" t="s">
        <v>1206</v>
      </c>
      <c r="F218" s="67" t="s">
        <v>234</v>
      </c>
      <c r="G218" s="67" t="s">
        <v>234</v>
      </c>
      <c r="H218" s="67" t="s">
        <v>66</v>
      </c>
      <c r="I218" s="67" t="s">
        <v>97</v>
      </c>
      <c r="J218" s="67" t="s">
        <v>234</v>
      </c>
      <c r="K218" s="67" t="s">
        <v>113</v>
      </c>
      <c r="L218" s="67" t="s">
        <v>234</v>
      </c>
      <c r="M218" s="65" t="s">
        <v>46</v>
      </c>
      <c r="N218" s="65" t="s">
        <v>46</v>
      </c>
    </row>
    <row r="219" ht="15" customHeight="1" spans="1:14" x14ac:dyDescent="0.25">
      <c r="A219" s="60" t="s">
        <v>46</v>
      </c>
      <c r="B219" s="61" t="s">
        <v>90</v>
      </c>
      <c r="C219" s="62" t="s">
        <v>1209</v>
      </c>
      <c r="D219" s="61" t="s">
        <v>163</v>
      </c>
      <c r="E219" s="61" t="s">
        <v>1210</v>
      </c>
      <c r="F219" s="63" t="s">
        <v>234</v>
      </c>
      <c r="G219" s="63" t="s">
        <v>234</v>
      </c>
      <c r="H219" s="63" t="s">
        <v>66</v>
      </c>
      <c r="I219" s="63" t="s">
        <v>97</v>
      </c>
      <c r="J219" s="63" t="s">
        <v>234</v>
      </c>
      <c r="K219" s="63" t="s">
        <v>113</v>
      </c>
      <c r="L219" s="63" t="s">
        <v>234</v>
      </c>
      <c r="M219" s="61" t="s">
        <v>46</v>
      </c>
      <c r="N219" s="61" t="s">
        <v>46</v>
      </c>
    </row>
    <row r="220" ht="15" customHeight="1" spans="1:14" x14ac:dyDescent="0.25">
      <c r="A220" s="64" t="s">
        <v>46</v>
      </c>
      <c r="B220" s="65" t="s">
        <v>90</v>
      </c>
      <c r="C220" s="66" t="s">
        <v>1213</v>
      </c>
      <c r="D220" s="65" t="s">
        <v>163</v>
      </c>
      <c r="E220" s="65" t="s">
        <v>1214</v>
      </c>
      <c r="F220" s="67" t="s">
        <v>234</v>
      </c>
      <c r="G220" s="67" t="s">
        <v>234</v>
      </c>
      <c r="H220" s="67" t="s">
        <v>66</v>
      </c>
      <c r="I220" s="67" t="s">
        <v>97</v>
      </c>
      <c r="J220" s="67" t="s">
        <v>234</v>
      </c>
      <c r="K220" s="67" t="s">
        <v>113</v>
      </c>
      <c r="L220" s="67" t="s">
        <v>234</v>
      </c>
      <c r="M220" s="65" t="s">
        <v>46</v>
      </c>
      <c r="N220" s="65" t="s">
        <v>46</v>
      </c>
    </row>
    <row r="221" ht="15" customHeight="1" spans="1:14" x14ac:dyDescent="0.25">
      <c r="A221" s="60" t="s">
        <v>46</v>
      </c>
      <c r="B221" s="61" t="s">
        <v>90</v>
      </c>
      <c r="C221" s="62" t="s">
        <v>1217</v>
      </c>
      <c r="D221" s="61" t="s">
        <v>163</v>
      </c>
      <c r="E221" s="61" t="s">
        <v>1218</v>
      </c>
      <c r="F221" s="63" t="s">
        <v>234</v>
      </c>
      <c r="G221" s="63" t="s">
        <v>234</v>
      </c>
      <c r="H221" s="63" t="s">
        <v>66</v>
      </c>
      <c r="I221" s="63" t="s">
        <v>97</v>
      </c>
      <c r="J221" s="63" t="s">
        <v>234</v>
      </c>
      <c r="K221" s="63" t="s">
        <v>113</v>
      </c>
      <c r="L221" s="63" t="s">
        <v>234</v>
      </c>
      <c r="M221" s="61" t="s">
        <v>46</v>
      </c>
      <c r="N221" s="61" t="s">
        <v>46</v>
      </c>
    </row>
    <row r="222" ht="15" customHeight="1" spans="1:14" x14ac:dyDescent="0.25">
      <c r="A222" s="64" t="s">
        <v>46</v>
      </c>
      <c r="B222" s="65" t="s">
        <v>90</v>
      </c>
      <c r="C222" s="66" t="s">
        <v>1234</v>
      </c>
      <c r="D222" s="65" t="s">
        <v>164</v>
      </c>
      <c r="E222" s="65" t="s">
        <v>1236</v>
      </c>
      <c r="F222" s="67" t="s">
        <v>234</v>
      </c>
      <c r="G222" s="67" t="s">
        <v>234</v>
      </c>
      <c r="H222" s="67" t="s">
        <v>66</v>
      </c>
      <c r="I222" s="67" t="s">
        <v>97</v>
      </c>
      <c r="J222" s="67" t="s">
        <v>234</v>
      </c>
      <c r="K222" s="67" t="s">
        <v>113</v>
      </c>
      <c r="L222" s="67" t="s">
        <v>234</v>
      </c>
      <c r="M222" s="65" t="s">
        <v>46</v>
      </c>
      <c r="N222" s="65" t="s">
        <v>46</v>
      </c>
    </row>
    <row r="223" ht="15" customHeight="1" spans="1:14" x14ac:dyDescent="0.25">
      <c r="A223" s="60" t="s">
        <v>46</v>
      </c>
      <c r="B223" s="61" t="s">
        <v>90</v>
      </c>
      <c r="C223" s="62" t="s">
        <v>2112</v>
      </c>
      <c r="D223" s="61" t="s">
        <v>187</v>
      </c>
      <c r="E223" s="61" t="s">
        <v>2114</v>
      </c>
      <c r="F223" s="63" t="s">
        <v>234</v>
      </c>
      <c r="G223" s="63" t="s">
        <v>234</v>
      </c>
      <c r="H223" s="63" t="s">
        <v>66</v>
      </c>
      <c r="I223" s="63" t="s">
        <v>97</v>
      </c>
      <c r="J223" s="63" t="s">
        <v>234</v>
      </c>
      <c r="K223" s="63" t="s">
        <v>113</v>
      </c>
      <c r="L223" s="63" t="s">
        <v>234</v>
      </c>
      <c r="M223" s="61" t="s">
        <v>46</v>
      </c>
      <c r="N223" s="61" t="s">
        <v>46</v>
      </c>
    </row>
    <row r="224" ht="15" customHeight="1" spans="1:14" x14ac:dyDescent="0.25">
      <c r="A224" s="64" t="s">
        <v>46</v>
      </c>
      <c r="B224" s="65" t="s">
        <v>90</v>
      </c>
      <c r="C224" s="66" t="s">
        <v>2119</v>
      </c>
      <c r="D224" s="65" t="s">
        <v>187</v>
      </c>
      <c r="E224" s="65" t="s">
        <v>2120</v>
      </c>
      <c r="F224" s="67" t="s">
        <v>234</v>
      </c>
      <c r="G224" s="67" t="s">
        <v>234</v>
      </c>
      <c r="H224" s="67" t="s">
        <v>66</v>
      </c>
      <c r="I224" s="67" t="s">
        <v>97</v>
      </c>
      <c r="J224" s="67" t="s">
        <v>234</v>
      </c>
      <c r="K224" s="67" t="s">
        <v>113</v>
      </c>
      <c r="L224" s="67" t="s">
        <v>234</v>
      </c>
      <c r="M224" s="65" t="s">
        <v>46</v>
      </c>
      <c r="N224" s="65" t="s">
        <v>46</v>
      </c>
    </row>
    <row r="225" ht="15" customHeight="1" spans="1:14" x14ac:dyDescent="0.25">
      <c r="A225" s="60" t="s">
        <v>46</v>
      </c>
      <c r="B225" s="61" t="s">
        <v>90</v>
      </c>
      <c r="C225" s="62" t="s">
        <v>2233</v>
      </c>
      <c r="D225" s="61" t="s">
        <v>189</v>
      </c>
      <c r="E225" s="61" t="s">
        <v>2234</v>
      </c>
      <c r="F225" s="63" t="s">
        <v>234</v>
      </c>
      <c r="G225" s="63" t="s">
        <v>234</v>
      </c>
      <c r="H225" s="63" t="s">
        <v>66</v>
      </c>
      <c r="I225" s="63" t="s">
        <v>97</v>
      </c>
      <c r="J225" s="63" t="s">
        <v>234</v>
      </c>
      <c r="K225" s="63" t="s">
        <v>113</v>
      </c>
      <c r="L225" s="63" t="s">
        <v>234</v>
      </c>
      <c r="M225" s="61" t="s">
        <v>46</v>
      </c>
      <c r="N225" s="61" t="s">
        <v>46</v>
      </c>
    </row>
    <row r="226" ht="15" customHeight="1" spans="1:14" x14ac:dyDescent="0.25">
      <c r="A226" s="64" t="s">
        <v>46</v>
      </c>
      <c r="B226" s="65" t="s">
        <v>90</v>
      </c>
      <c r="C226" s="66" t="s">
        <v>2237</v>
      </c>
      <c r="D226" s="65" t="s">
        <v>189</v>
      </c>
      <c r="E226" s="65" t="s">
        <v>2238</v>
      </c>
      <c r="F226" s="67" t="s">
        <v>234</v>
      </c>
      <c r="G226" s="67" t="s">
        <v>234</v>
      </c>
      <c r="H226" s="67" t="s">
        <v>66</v>
      </c>
      <c r="I226" s="67" t="s">
        <v>97</v>
      </c>
      <c r="J226" s="67" t="s">
        <v>234</v>
      </c>
      <c r="K226" s="67" t="s">
        <v>113</v>
      </c>
      <c r="L226" s="67" t="s">
        <v>234</v>
      </c>
      <c r="M226" s="65" t="s">
        <v>46</v>
      </c>
      <c r="N226" s="65" t="s">
        <v>46</v>
      </c>
    </row>
    <row r="227" ht="15" customHeight="1" spans="1:14" x14ac:dyDescent="0.25">
      <c r="A227" s="60" t="s">
        <v>46</v>
      </c>
      <c r="B227" s="61" t="s">
        <v>90</v>
      </c>
      <c r="C227" s="62" t="s">
        <v>2241</v>
      </c>
      <c r="D227" s="61" t="s">
        <v>189</v>
      </c>
      <c r="E227" s="61" t="s">
        <v>2242</v>
      </c>
      <c r="F227" s="63" t="s">
        <v>234</v>
      </c>
      <c r="G227" s="63" t="s">
        <v>234</v>
      </c>
      <c r="H227" s="63" t="s">
        <v>66</v>
      </c>
      <c r="I227" s="63" t="s">
        <v>97</v>
      </c>
      <c r="J227" s="63" t="s">
        <v>234</v>
      </c>
      <c r="K227" s="63" t="s">
        <v>113</v>
      </c>
      <c r="L227" s="63" t="s">
        <v>234</v>
      </c>
      <c r="M227" s="61" t="s">
        <v>46</v>
      </c>
      <c r="N227" s="61" t="s">
        <v>46</v>
      </c>
    </row>
    <row r="228" ht="15" customHeight="1" spans="1:14" x14ac:dyDescent="0.25">
      <c r="A228" s="64" t="s">
        <v>46</v>
      </c>
      <c r="B228" s="65" t="s">
        <v>90</v>
      </c>
      <c r="C228" s="66" t="s">
        <v>2245</v>
      </c>
      <c r="D228" s="65" t="s">
        <v>189</v>
      </c>
      <c r="E228" s="65" t="s">
        <v>2246</v>
      </c>
      <c r="F228" s="67" t="s">
        <v>234</v>
      </c>
      <c r="G228" s="67" t="s">
        <v>234</v>
      </c>
      <c r="H228" s="67" t="s">
        <v>66</v>
      </c>
      <c r="I228" s="67" t="s">
        <v>97</v>
      </c>
      <c r="J228" s="67" t="s">
        <v>234</v>
      </c>
      <c r="K228" s="67" t="s">
        <v>113</v>
      </c>
      <c r="L228" s="67" t="s">
        <v>234</v>
      </c>
      <c r="M228" s="65" t="s">
        <v>46</v>
      </c>
      <c r="N228" s="65" t="s">
        <v>46</v>
      </c>
    </row>
    <row r="229" ht="15" customHeight="1" spans="1:14" x14ac:dyDescent="0.25">
      <c r="A229" s="60" t="s">
        <v>46</v>
      </c>
      <c r="B229" s="61" t="s">
        <v>91</v>
      </c>
      <c r="C229" s="62" t="s">
        <v>769</v>
      </c>
      <c r="D229" s="61" t="s">
        <v>155</v>
      </c>
      <c r="E229" s="61" t="s">
        <v>770</v>
      </c>
      <c r="F229" s="63" t="s">
        <v>234</v>
      </c>
      <c r="G229" s="63" t="s">
        <v>234</v>
      </c>
      <c r="H229" s="63" t="s">
        <v>66</v>
      </c>
      <c r="I229" s="63" t="s">
        <v>97</v>
      </c>
      <c r="J229" s="63" t="s">
        <v>234</v>
      </c>
      <c r="K229" s="63" t="s">
        <v>113</v>
      </c>
      <c r="L229" s="63" t="s">
        <v>234</v>
      </c>
      <c r="M229" s="61" t="s">
        <v>46</v>
      </c>
      <c r="N229" s="61" t="s">
        <v>46</v>
      </c>
    </row>
    <row r="230" ht="15" customHeight="1" spans="1:14" x14ac:dyDescent="0.25">
      <c r="A230" s="64" t="s">
        <v>46</v>
      </c>
      <c r="B230" s="65" t="s">
        <v>91</v>
      </c>
      <c r="C230" s="66" t="s">
        <v>773</v>
      </c>
      <c r="D230" s="65" t="s">
        <v>155</v>
      </c>
      <c r="E230" s="65" t="s">
        <v>774</v>
      </c>
      <c r="F230" s="67" t="s">
        <v>234</v>
      </c>
      <c r="G230" s="67" t="s">
        <v>234</v>
      </c>
      <c r="H230" s="67" t="s">
        <v>66</v>
      </c>
      <c r="I230" s="67" t="s">
        <v>97</v>
      </c>
      <c r="J230" s="67" t="s">
        <v>234</v>
      </c>
      <c r="K230" s="67" t="s">
        <v>113</v>
      </c>
      <c r="L230" s="67" t="s">
        <v>234</v>
      </c>
      <c r="M230" s="65" t="s">
        <v>46</v>
      </c>
      <c r="N230" s="65" t="s">
        <v>46</v>
      </c>
    </row>
    <row r="231" ht="15" customHeight="1" spans="1:14" x14ac:dyDescent="0.25">
      <c r="A231" s="60" t="s">
        <v>46</v>
      </c>
      <c r="B231" s="61" t="s">
        <v>91</v>
      </c>
      <c r="C231" s="62" t="s">
        <v>777</v>
      </c>
      <c r="D231" s="61" t="s">
        <v>155</v>
      </c>
      <c r="E231" s="61" t="s">
        <v>778</v>
      </c>
      <c r="F231" s="63" t="s">
        <v>234</v>
      </c>
      <c r="G231" s="63" t="s">
        <v>234</v>
      </c>
      <c r="H231" s="63" t="s">
        <v>66</v>
      </c>
      <c r="I231" s="63" t="s">
        <v>97</v>
      </c>
      <c r="J231" s="63" t="s">
        <v>234</v>
      </c>
      <c r="K231" s="63" t="s">
        <v>113</v>
      </c>
      <c r="L231" s="63" t="s">
        <v>234</v>
      </c>
      <c r="M231" s="61" t="s">
        <v>46</v>
      </c>
      <c r="N231" s="61" t="s">
        <v>46</v>
      </c>
    </row>
    <row r="232" ht="15" customHeight="1" spans="1:14" x14ac:dyDescent="0.25">
      <c r="A232" s="64" t="s">
        <v>46</v>
      </c>
      <c r="B232" s="65" t="s">
        <v>91</v>
      </c>
      <c r="C232" s="66" t="s">
        <v>781</v>
      </c>
      <c r="D232" s="65" t="s">
        <v>155</v>
      </c>
      <c r="E232" s="65" t="s">
        <v>782</v>
      </c>
      <c r="F232" s="67" t="s">
        <v>234</v>
      </c>
      <c r="G232" s="67" t="s">
        <v>234</v>
      </c>
      <c r="H232" s="67" t="s">
        <v>66</v>
      </c>
      <c r="I232" s="67" t="s">
        <v>97</v>
      </c>
      <c r="J232" s="67" t="s">
        <v>234</v>
      </c>
      <c r="K232" s="67" t="s">
        <v>113</v>
      </c>
      <c r="L232" s="67" t="s">
        <v>234</v>
      </c>
      <c r="M232" s="65" t="s">
        <v>46</v>
      </c>
      <c r="N232" s="65" t="s">
        <v>46</v>
      </c>
    </row>
    <row r="233" ht="15" customHeight="1" spans="1:14" x14ac:dyDescent="0.25">
      <c r="A233" s="60" t="s">
        <v>46</v>
      </c>
      <c r="B233" s="61" t="s">
        <v>91</v>
      </c>
      <c r="C233" s="62" t="s">
        <v>785</v>
      </c>
      <c r="D233" s="61" t="s">
        <v>155</v>
      </c>
      <c r="E233" s="61" t="s">
        <v>786</v>
      </c>
      <c r="F233" s="63" t="s">
        <v>234</v>
      </c>
      <c r="G233" s="63" t="s">
        <v>234</v>
      </c>
      <c r="H233" s="63" t="s">
        <v>66</v>
      </c>
      <c r="I233" s="63" t="s">
        <v>97</v>
      </c>
      <c r="J233" s="63" t="s">
        <v>234</v>
      </c>
      <c r="K233" s="63" t="s">
        <v>113</v>
      </c>
      <c r="L233" s="63" t="s">
        <v>234</v>
      </c>
      <c r="M233" s="61" t="s">
        <v>46</v>
      </c>
      <c r="N233" s="61" t="s">
        <v>46</v>
      </c>
    </row>
    <row r="234" ht="15" customHeight="1" spans="1:14" x14ac:dyDescent="0.25">
      <c r="A234" s="64" t="s">
        <v>46</v>
      </c>
      <c r="B234" s="65" t="s">
        <v>91</v>
      </c>
      <c r="C234" s="66" t="s">
        <v>790</v>
      </c>
      <c r="D234" s="65" t="s">
        <v>155</v>
      </c>
      <c r="E234" s="65" t="s">
        <v>791</v>
      </c>
      <c r="F234" s="67" t="s">
        <v>234</v>
      </c>
      <c r="G234" s="67" t="s">
        <v>234</v>
      </c>
      <c r="H234" s="67" t="s">
        <v>66</v>
      </c>
      <c r="I234" s="67" t="s">
        <v>97</v>
      </c>
      <c r="J234" s="67" t="s">
        <v>234</v>
      </c>
      <c r="K234" s="67" t="s">
        <v>113</v>
      </c>
      <c r="L234" s="67" t="s">
        <v>234</v>
      </c>
      <c r="M234" s="65" t="s">
        <v>46</v>
      </c>
      <c r="N234" s="65" t="s">
        <v>46</v>
      </c>
    </row>
    <row r="235" ht="15" customHeight="1" spans="1:14" x14ac:dyDescent="0.25">
      <c r="A235" s="60" t="s">
        <v>46</v>
      </c>
      <c r="B235" s="61" t="s">
        <v>91</v>
      </c>
      <c r="C235" s="62" t="s">
        <v>794</v>
      </c>
      <c r="D235" s="61" t="s">
        <v>155</v>
      </c>
      <c r="E235" s="61" t="s">
        <v>795</v>
      </c>
      <c r="F235" s="63" t="s">
        <v>234</v>
      </c>
      <c r="G235" s="63" t="s">
        <v>234</v>
      </c>
      <c r="H235" s="63" t="s">
        <v>66</v>
      </c>
      <c r="I235" s="63" t="s">
        <v>97</v>
      </c>
      <c r="J235" s="63" t="s">
        <v>234</v>
      </c>
      <c r="K235" s="63" t="s">
        <v>113</v>
      </c>
      <c r="L235" s="63" t="s">
        <v>234</v>
      </c>
      <c r="M235" s="61" t="s">
        <v>46</v>
      </c>
      <c r="N235" s="61" t="s">
        <v>46</v>
      </c>
    </row>
    <row r="236" ht="15" customHeight="1" spans="1:14" x14ac:dyDescent="0.25">
      <c r="A236" s="64" t="s">
        <v>46</v>
      </c>
      <c r="B236" s="65" t="s">
        <v>91</v>
      </c>
      <c r="C236" s="66" t="s">
        <v>856</v>
      </c>
      <c r="D236" s="65" t="s">
        <v>156</v>
      </c>
      <c r="E236" s="65" t="s">
        <v>857</v>
      </c>
      <c r="F236" s="67" t="s">
        <v>234</v>
      </c>
      <c r="G236" s="67" t="s">
        <v>234</v>
      </c>
      <c r="H236" s="67" t="s">
        <v>66</v>
      </c>
      <c r="I236" s="67" t="s">
        <v>97</v>
      </c>
      <c r="J236" s="67" t="s">
        <v>234</v>
      </c>
      <c r="K236" s="67" t="s">
        <v>113</v>
      </c>
      <c r="L236" s="67" t="s">
        <v>234</v>
      </c>
      <c r="M236" s="65" t="s">
        <v>46</v>
      </c>
      <c r="N236" s="65" t="s">
        <v>46</v>
      </c>
    </row>
    <row r="237" ht="15" customHeight="1" spans="1:14" x14ac:dyDescent="0.25">
      <c r="A237" s="60" t="s">
        <v>46</v>
      </c>
      <c r="B237" s="61" t="s">
        <v>91</v>
      </c>
      <c r="C237" s="62" t="s">
        <v>860</v>
      </c>
      <c r="D237" s="61" t="s">
        <v>156</v>
      </c>
      <c r="E237" s="61" t="s">
        <v>861</v>
      </c>
      <c r="F237" s="63" t="s">
        <v>234</v>
      </c>
      <c r="G237" s="63" t="s">
        <v>234</v>
      </c>
      <c r="H237" s="63" t="s">
        <v>66</v>
      </c>
      <c r="I237" s="63" t="s">
        <v>97</v>
      </c>
      <c r="J237" s="63" t="s">
        <v>234</v>
      </c>
      <c r="K237" s="63" t="s">
        <v>113</v>
      </c>
      <c r="L237" s="63" t="s">
        <v>234</v>
      </c>
      <c r="M237" s="61" t="s">
        <v>46</v>
      </c>
      <c r="N237" s="61" t="s">
        <v>46</v>
      </c>
    </row>
    <row r="238" ht="15" customHeight="1" spans="1:14" x14ac:dyDescent="0.25">
      <c r="A238" s="64" t="s">
        <v>46</v>
      </c>
      <c r="B238" s="65" t="s">
        <v>91</v>
      </c>
      <c r="C238" s="66" t="s">
        <v>864</v>
      </c>
      <c r="D238" s="65" t="s">
        <v>156</v>
      </c>
      <c r="E238" s="65" t="s">
        <v>865</v>
      </c>
      <c r="F238" s="67" t="s">
        <v>234</v>
      </c>
      <c r="G238" s="67" t="s">
        <v>234</v>
      </c>
      <c r="H238" s="67" t="s">
        <v>66</v>
      </c>
      <c r="I238" s="67" t="s">
        <v>97</v>
      </c>
      <c r="J238" s="67" t="s">
        <v>234</v>
      </c>
      <c r="K238" s="67" t="s">
        <v>113</v>
      </c>
      <c r="L238" s="67" t="s">
        <v>234</v>
      </c>
      <c r="M238" s="65" t="s">
        <v>46</v>
      </c>
      <c r="N238" s="65" t="s">
        <v>46</v>
      </c>
    </row>
    <row r="239" ht="15" customHeight="1" spans="1:14" x14ac:dyDescent="0.25">
      <c r="A239" s="60" t="s">
        <v>46</v>
      </c>
      <c r="B239" s="61" t="s">
        <v>91</v>
      </c>
      <c r="C239" s="62" t="s">
        <v>868</v>
      </c>
      <c r="D239" s="61" t="s">
        <v>156</v>
      </c>
      <c r="E239" s="61" t="s">
        <v>869</v>
      </c>
      <c r="F239" s="63" t="s">
        <v>234</v>
      </c>
      <c r="G239" s="63" t="s">
        <v>234</v>
      </c>
      <c r="H239" s="63" t="s">
        <v>66</v>
      </c>
      <c r="I239" s="63" t="s">
        <v>97</v>
      </c>
      <c r="J239" s="63" t="s">
        <v>234</v>
      </c>
      <c r="K239" s="63" t="s">
        <v>113</v>
      </c>
      <c r="L239" s="63" t="s">
        <v>234</v>
      </c>
      <c r="M239" s="61" t="s">
        <v>46</v>
      </c>
      <c r="N239" s="61" t="s">
        <v>46</v>
      </c>
    </row>
    <row r="240" ht="15" customHeight="1" spans="1:14" x14ac:dyDescent="0.25">
      <c r="A240" s="64" t="s">
        <v>46</v>
      </c>
      <c r="B240" s="65" t="s">
        <v>91</v>
      </c>
      <c r="C240" s="66" t="s">
        <v>872</v>
      </c>
      <c r="D240" s="65" t="s">
        <v>156</v>
      </c>
      <c r="E240" s="65" t="s">
        <v>873</v>
      </c>
      <c r="F240" s="67" t="s">
        <v>234</v>
      </c>
      <c r="G240" s="67" t="s">
        <v>234</v>
      </c>
      <c r="H240" s="67" t="s">
        <v>66</v>
      </c>
      <c r="I240" s="67" t="s">
        <v>97</v>
      </c>
      <c r="J240" s="67" t="s">
        <v>234</v>
      </c>
      <c r="K240" s="67" t="s">
        <v>113</v>
      </c>
      <c r="L240" s="67" t="s">
        <v>234</v>
      </c>
      <c r="M240" s="65" t="s">
        <v>46</v>
      </c>
      <c r="N240" s="65" t="s">
        <v>46</v>
      </c>
    </row>
    <row r="241" ht="15" customHeight="1" spans="1:14" x14ac:dyDescent="0.25">
      <c r="A241" s="60" t="s">
        <v>46</v>
      </c>
      <c r="B241" s="61" t="s">
        <v>91</v>
      </c>
      <c r="C241" s="62" t="s">
        <v>876</v>
      </c>
      <c r="D241" s="61" t="s">
        <v>156</v>
      </c>
      <c r="E241" s="61" t="s">
        <v>877</v>
      </c>
      <c r="F241" s="63" t="s">
        <v>234</v>
      </c>
      <c r="G241" s="63" t="s">
        <v>234</v>
      </c>
      <c r="H241" s="63" t="s">
        <v>66</v>
      </c>
      <c r="I241" s="63" t="s">
        <v>97</v>
      </c>
      <c r="J241" s="63" t="s">
        <v>234</v>
      </c>
      <c r="K241" s="63" t="s">
        <v>113</v>
      </c>
      <c r="L241" s="63" t="s">
        <v>234</v>
      </c>
      <c r="M241" s="61" t="s">
        <v>46</v>
      </c>
      <c r="N241" s="61" t="s">
        <v>46</v>
      </c>
    </row>
    <row r="242" ht="15" customHeight="1" spans="1:14" x14ac:dyDescent="0.25">
      <c r="A242" s="64" t="s">
        <v>46</v>
      </c>
      <c r="B242" s="65" t="s">
        <v>91</v>
      </c>
      <c r="C242" s="66" t="s">
        <v>974</v>
      </c>
      <c r="D242" s="65" t="s">
        <v>157</v>
      </c>
      <c r="E242" s="65" t="s">
        <v>975</v>
      </c>
      <c r="F242" s="67" t="s">
        <v>234</v>
      </c>
      <c r="G242" s="67" t="s">
        <v>234</v>
      </c>
      <c r="H242" s="67" t="s">
        <v>66</v>
      </c>
      <c r="I242" s="67" t="s">
        <v>97</v>
      </c>
      <c r="J242" s="67" t="s">
        <v>234</v>
      </c>
      <c r="K242" s="67" t="s">
        <v>113</v>
      </c>
      <c r="L242" s="67" t="s">
        <v>234</v>
      </c>
      <c r="M242" s="65" t="s">
        <v>46</v>
      </c>
      <c r="N242" s="65" t="s">
        <v>46</v>
      </c>
    </row>
    <row r="243" ht="15" customHeight="1" spans="1:14" x14ac:dyDescent="0.25">
      <c r="A243" s="60" t="s">
        <v>46</v>
      </c>
      <c r="B243" s="61" t="s">
        <v>91</v>
      </c>
      <c r="C243" s="62" t="s">
        <v>979</v>
      </c>
      <c r="D243" s="61" t="s">
        <v>157</v>
      </c>
      <c r="E243" s="61" t="s">
        <v>980</v>
      </c>
      <c r="F243" s="63" t="s">
        <v>234</v>
      </c>
      <c r="G243" s="63" t="s">
        <v>234</v>
      </c>
      <c r="H243" s="63" t="s">
        <v>66</v>
      </c>
      <c r="I243" s="63" t="s">
        <v>97</v>
      </c>
      <c r="J243" s="63" t="s">
        <v>234</v>
      </c>
      <c r="K243" s="63" t="s">
        <v>113</v>
      </c>
      <c r="L243" s="63" t="s">
        <v>234</v>
      </c>
      <c r="M243" s="61" t="s">
        <v>46</v>
      </c>
      <c r="N243" s="61" t="s">
        <v>46</v>
      </c>
    </row>
    <row r="244" ht="15" customHeight="1" spans="1:14" x14ac:dyDescent="0.25">
      <c r="A244" s="64" t="s">
        <v>46</v>
      </c>
      <c r="B244" s="65" t="s">
        <v>91</v>
      </c>
      <c r="C244" s="66" t="s">
        <v>983</v>
      </c>
      <c r="D244" s="65" t="s">
        <v>157</v>
      </c>
      <c r="E244" s="65" t="s">
        <v>984</v>
      </c>
      <c r="F244" s="67" t="s">
        <v>234</v>
      </c>
      <c r="G244" s="67" t="s">
        <v>234</v>
      </c>
      <c r="H244" s="67" t="s">
        <v>66</v>
      </c>
      <c r="I244" s="67" t="s">
        <v>97</v>
      </c>
      <c r="J244" s="67" t="s">
        <v>234</v>
      </c>
      <c r="K244" s="67" t="s">
        <v>113</v>
      </c>
      <c r="L244" s="67" t="s">
        <v>234</v>
      </c>
      <c r="M244" s="65" t="s">
        <v>46</v>
      </c>
      <c r="N244" s="65" t="s">
        <v>46</v>
      </c>
    </row>
    <row r="245" ht="15" customHeight="1" spans="1:14" x14ac:dyDescent="0.25">
      <c r="A245" s="60" t="s">
        <v>46</v>
      </c>
      <c r="B245" s="61" t="s">
        <v>91</v>
      </c>
      <c r="C245" s="62" t="s">
        <v>987</v>
      </c>
      <c r="D245" s="61" t="s">
        <v>159</v>
      </c>
      <c r="E245" s="61" t="s">
        <v>989</v>
      </c>
      <c r="F245" s="63" t="s">
        <v>234</v>
      </c>
      <c r="G245" s="63" t="s">
        <v>234</v>
      </c>
      <c r="H245" s="63" t="s">
        <v>66</v>
      </c>
      <c r="I245" s="63" t="s">
        <v>97</v>
      </c>
      <c r="J245" s="63" t="s">
        <v>234</v>
      </c>
      <c r="K245" s="63" t="s">
        <v>113</v>
      </c>
      <c r="L245" s="63" t="s">
        <v>234</v>
      </c>
      <c r="M245" s="61" t="s">
        <v>46</v>
      </c>
      <c r="N245" s="61" t="s">
        <v>46</v>
      </c>
    </row>
    <row r="246" ht="15" customHeight="1" spans="1:14" x14ac:dyDescent="0.25">
      <c r="A246" s="64" t="s">
        <v>46</v>
      </c>
      <c r="B246" s="65" t="s">
        <v>91</v>
      </c>
      <c r="C246" s="66" t="s">
        <v>994</v>
      </c>
      <c r="D246" s="65" t="s">
        <v>159</v>
      </c>
      <c r="E246" s="65" t="s">
        <v>995</v>
      </c>
      <c r="F246" s="67" t="s">
        <v>234</v>
      </c>
      <c r="G246" s="67" t="s">
        <v>234</v>
      </c>
      <c r="H246" s="67" t="s">
        <v>66</v>
      </c>
      <c r="I246" s="67" t="s">
        <v>97</v>
      </c>
      <c r="J246" s="67" t="s">
        <v>234</v>
      </c>
      <c r="K246" s="67" t="s">
        <v>113</v>
      </c>
      <c r="L246" s="67" t="s">
        <v>234</v>
      </c>
      <c r="M246" s="65" t="s">
        <v>46</v>
      </c>
      <c r="N246" s="65" t="s">
        <v>46</v>
      </c>
    </row>
    <row r="247" ht="15" customHeight="1" spans="1:14" x14ac:dyDescent="0.25">
      <c r="A247" s="60" t="s">
        <v>46</v>
      </c>
      <c r="B247" s="61" t="s">
        <v>91</v>
      </c>
      <c r="C247" s="62" t="s">
        <v>998</v>
      </c>
      <c r="D247" s="61" t="s">
        <v>159</v>
      </c>
      <c r="E247" s="61" t="s">
        <v>999</v>
      </c>
      <c r="F247" s="63" t="s">
        <v>234</v>
      </c>
      <c r="G247" s="63" t="s">
        <v>234</v>
      </c>
      <c r="H247" s="63" t="s">
        <v>66</v>
      </c>
      <c r="I247" s="63" t="s">
        <v>97</v>
      </c>
      <c r="J247" s="63" t="s">
        <v>234</v>
      </c>
      <c r="K247" s="63" t="s">
        <v>113</v>
      </c>
      <c r="L247" s="63" t="s">
        <v>234</v>
      </c>
      <c r="M247" s="61" t="s">
        <v>46</v>
      </c>
      <c r="N247" s="61" t="s">
        <v>46</v>
      </c>
    </row>
    <row r="248" ht="15" customHeight="1" spans="1:14" x14ac:dyDescent="0.25">
      <c r="A248" s="64" t="s">
        <v>46</v>
      </c>
      <c r="B248" s="65" t="s">
        <v>91</v>
      </c>
      <c r="C248" s="66" t="s">
        <v>1002</v>
      </c>
      <c r="D248" s="65" t="s">
        <v>159</v>
      </c>
      <c r="E248" s="65" t="s">
        <v>1003</v>
      </c>
      <c r="F248" s="67" t="s">
        <v>234</v>
      </c>
      <c r="G248" s="67" t="s">
        <v>234</v>
      </c>
      <c r="H248" s="67" t="s">
        <v>66</v>
      </c>
      <c r="I248" s="67" t="s">
        <v>97</v>
      </c>
      <c r="J248" s="67" t="s">
        <v>234</v>
      </c>
      <c r="K248" s="67" t="s">
        <v>113</v>
      </c>
      <c r="L248" s="67" t="s">
        <v>234</v>
      </c>
      <c r="M248" s="65" t="s">
        <v>46</v>
      </c>
      <c r="N248" s="65" t="s">
        <v>46</v>
      </c>
    </row>
    <row r="249" ht="15" customHeight="1" spans="1:14" x14ac:dyDescent="0.25">
      <c r="A249" s="60" t="s">
        <v>46</v>
      </c>
      <c r="B249" s="61" t="s">
        <v>91</v>
      </c>
      <c r="C249" s="62" t="s">
        <v>1010</v>
      </c>
      <c r="D249" s="61" t="s">
        <v>159</v>
      </c>
      <c r="E249" s="61" t="s">
        <v>1011</v>
      </c>
      <c r="F249" s="63" t="s">
        <v>234</v>
      </c>
      <c r="G249" s="63" t="s">
        <v>234</v>
      </c>
      <c r="H249" s="63" t="s">
        <v>66</v>
      </c>
      <c r="I249" s="63" t="s">
        <v>97</v>
      </c>
      <c r="J249" s="63" t="s">
        <v>234</v>
      </c>
      <c r="K249" s="63" t="s">
        <v>113</v>
      </c>
      <c r="L249" s="63" t="s">
        <v>234</v>
      </c>
      <c r="M249" s="61" t="s">
        <v>46</v>
      </c>
      <c r="N249" s="61" t="s">
        <v>46</v>
      </c>
    </row>
    <row r="250" ht="15" customHeight="1" spans="1:14" x14ac:dyDescent="0.25">
      <c r="A250" s="64" t="s">
        <v>46</v>
      </c>
      <c r="B250" s="65" t="s">
        <v>91</v>
      </c>
      <c r="C250" s="66" t="s">
        <v>1033</v>
      </c>
      <c r="D250" s="65" t="s">
        <v>160</v>
      </c>
      <c r="E250" s="65" t="s">
        <v>1035</v>
      </c>
      <c r="F250" s="67" t="s">
        <v>234</v>
      </c>
      <c r="G250" s="67" t="s">
        <v>234</v>
      </c>
      <c r="H250" s="67" t="s">
        <v>66</v>
      </c>
      <c r="I250" s="67" t="s">
        <v>97</v>
      </c>
      <c r="J250" s="67" t="s">
        <v>234</v>
      </c>
      <c r="K250" s="67" t="s">
        <v>113</v>
      </c>
      <c r="L250" s="67" t="s">
        <v>234</v>
      </c>
      <c r="M250" s="65" t="s">
        <v>46</v>
      </c>
      <c r="N250" s="65" t="s">
        <v>46</v>
      </c>
    </row>
    <row r="251" ht="15" customHeight="1" spans="1:14" x14ac:dyDescent="0.25">
      <c r="A251" s="60" t="s">
        <v>46</v>
      </c>
      <c r="B251" s="61" t="s">
        <v>91</v>
      </c>
      <c r="C251" s="62" t="s">
        <v>1221</v>
      </c>
      <c r="D251" s="61" t="s">
        <v>163</v>
      </c>
      <c r="E251" s="61" t="s">
        <v>1222</v>
      </c>
      <c r="F251" s="63" t="s">
        <v>234</v>
      </c>
      <c r="G251" s="63" t="s">
        <v>234</v>
      </c>
      <c r="H251" s="63" t="s">
        <v>66</v>
      </c>
      <c r="I251" s="63" t="s">
        <v>97</v>
      </c>
      <c r="J251" s="63" t="s">
        <v>234</v>
      </c>
      <c r="K251" s="63" t="s">
        <v>113</v>
      </c>
      <c r="L251" s="63" t="s">
        <v>234</v>
      </c>
      <c r="M251" s="61" t="s">
        <v>46</v>
      </c>
      <c r="N251" s="61" t="s">
        <v>46</v>
      </c>
    </row>
    <row r="252" ht="15" customHeight="1" spans="1:14" x14ac:dyDescent="0.25">
      <c r="A252" s="64" t="s">
        <v>46</v>
      </c>
      <c r="B252" s="65" t="s">
        <v>91</v>
      </c>
      <c r="C252" s="66" t="s">
        <v>1225</v>
      </c>
      <c r="D252" s="65" t="s">
        <v>163</v>
      </c>
      <c r="E252" s="65" t="s">
        <v>1226</v>
      </c>
      <c r="F252" s="67" t="s">
        <v>234</v>
      </c>
      <c r="G252" s="67" t="s">
        <v>234</v>
      </c>
      <c r="H252" s="67" t="s">
        <v>66</v>
      </c>
      <c r="I252" s="67" t="s">
        <v>97</v>
      </c>
      <c r="J252" s="67" t="s">
        <v>234</v>
      </c>
      <c r="K252" s="67" t="s">
        <v>113</v>
      </c>
      <c r="L252" s="67" t="s">
        <v>234</v>
      </c>
      <c r="M252" s="65" t="s">
        <v>46</v>
      </c>
      <c r="N252" s="65" t="s">
        <v>46</v>
      </c>
    </row>
    <row r="253" ht="15" customHeight="1" spans="1:14" x14ac:dyDescent="0.25">
      <c r="A253" s="60" t="s">
        <v>46</v>
      </c>
      <c r="B253" s="61" t="s">
        <v>91</v>
      </c>
      <c r="C253" s="62" t="s">
        <v>1230</v>
      </c>
      <c r="D253" s="61" t="s">
        <v>163</v>
      </c>
      <c r="E253" s="61" t="s">
        <v>1231</v>
      </c>
      <c r="F253" s="63" t="s">
        <v>234</v>
      </c>
      <c r="G253" s="63" t="s">
        <v>234</v>
      </c>
      <c r="H253" s="63" t="s">
        <v>66</v>
      </c>
      <c r="I253" s="63" t="s">
        <v>97</v>
      </c>
      <c r="J253" s="63" t="s">
        <v>234</v>
      </c>
      <c r="K253" s="63" t="s">
        <v>113</v>
      </c>
      <c r="L253" s="63" t="s">
        <v>234</v>
      </c>
      <c r="M253" s="61" t="s">
        <v>46</v>
      </c>
      <c r="N253" s="61" t="s">
        <v>46</v>
      </c>
    </row>
    <row r="254" ht="15" customHeight="1" spans="1:14" x14ac:dyDescent="0.25">
      <c r="A254" s="64" t="s">
        <v>46</v>
      </c>
      <c r="B254" s="65" t="s">
        <v>91</v>
      </c>
      <c r="C254" s="66" t="s">
        <v>1241</v>
      </c>
      <c r="D254" s="65" t="s">
        <v>164</v>
      </c>
      <c r="E254" s="65" t="s">
        <v>1242</v>
      </c>
      <c r="F254" s="67" t="s">
        <v>234</v>
      </c>
      <c r="G254" s="67" t="s">
        <v>234</v>
      </c>
      <c r="H254" s="67" t="s">
        <v>66</v>
      </c>
      <c r="I254" s="67" t="s">
        <v>97</v>
      </c>
      <c r="J254" s="67" t="s">
        <v>234</v>
      </c>
      <c r="K254" s="67" t="s">
        <v>113</v>
      </c>
      <c r="L254" s="67" t="s">
        <v>234</v>
      </c>
      <c r="M254" s="65" t="s">
        <v>46</v>
      </c>
      <c r="N254" s="65" t="s">
        <v>46</v>
      </c>
    </row>
    <row r="255" ht="15" customHeight="1" spans="1:14" x14ac:dyDescent="0.25">
      <c r="A255" s="60" t="s">
        <v>46</v>
      </c>
      <c r="B255" s="61" t="s">
        <v>91</v>
      </c>
      <c r="C255" s="62" t="s">
        <v>1245</v>
      </c>
      <c r="D255" s="61" t="s">
        <v>164</v>
      </c>
      <c r="E255" s="61" t="s">
        <v>1246</v>
      </c>
      <c r="F255" s="63" t="s">
        <v>234</v>
      </c>
      <c r="G255" s="63" t="s">
        <v>234</v>
      </c>
      <c r="H255" s="63" t="s">
        <v>66</v>
      </c>
      <c r="I255" s="63" t="s">
        <v>97</v>
      </c>
      <c r="J255" s="63" t="s">
        <v>234</v>
      </c>
      <c r="K255" s="63" t="s">
        <v>113</v>
      </c>
      <c r="L255" s="63" t="s">
        <v>234</v>
      </c>
      <c r="M255" s="61" t="s">
        <v>46</v>
      </c>
      <c r="N255" s="61" t="s">
        <v>46</v>
      </c>
    </row>
    <row r="256" ht="15" customHeight="1" spans="1:14" x14ac:dyDescent="0.25">
      <c r="A256" s="64" t="s">
        <v>46</v>
      </c>
      <c r="B256" s="65" t="s">
        <v>91</v>
      </c>
      <c r="C256" s="66" t="s">
        <v>1249</v>
      </c>
      <c r="D256" s="65" t="s">
        <v>164</v>
      </c>
      <c r="E256" s="65" t="s">
        <v>1250</v>
      </c>
      <c r="F256" s="67" t="s">
        <v>234</v>
      </c>
      <c r="G256" s="67" t="s">
        <v>234</v>
      </c>
      <c r="H256" s="67" t="s">
        <v>66</v>
      </c>
      <c r="I256" s="67" t="s">
        <v>97</v>
      </c>
      <c r="J256" s="67" t="s">
        <v>234</v>
      </c>
      <c r="K256" s="67" t="s">
        <v>113</v>
      </c>
      <c r="L256" s="67" t="s">
        <v>234</v>
      </c>
      <c r="M256" s="65" t="s">
        <v>46</v>
      </c>
      <c r="N256" s="65" t="s">
        <v>46</v>
      </c>
    </row>
    <row r="257" ht="15" customHeight="1" spans="1:14" x14ac:dyDescent="0.25">
      <c r="A257" s="60" t="s">
        <v>46</v>
      </c>
      <c r="B257" s="61" t="s">
        <v>91</v>
      </c>
      <c r="C257" s="62" t="s">
        <v>1308</v>
      </c>
      <c r="D257" s="61" t="s">
        <v>165</v>
      </c>
      <c r="E257" s="61" t="s">
        <v>1310</v>
      </c>
      <c r="F257" s="63" t="s">
        <v>234</v>
      </c>
      <c r="G257" s="63" t="s">
        <v>234</v>
      </c>
      <c r="H257" s="63" t="s">
        <v>66</v>
      </c>
      <c r="I257" s="63" t="s">
        <v>97</v>
      </c>
      <c r="J257" s="63" t="s">
        <v>234</v>
      </c>
      <c r="K257" s="63" t="s">
        <v>113</v>
      </c>
      <c r="L257" s="63" t="s">
        <v>234</v>
      </c>
      <c r="M257" s="61" t="s">
        <v>46</v>
      </c>
      <c r="N257" s="61" t="s">
        <v>46</v>
      </c>
    </row>
    <row r="258" ht="15" customHeight="1" spans="1:14" x14ac:dyDescent="0.25">
      <c r="A258" s="64" t="s">
        <v>46</v>
      </c>
      <c r="B258" s="65" t="s">
        <v>91</v>
      </c>
      <c r="C258" s="66" t="s">
        <v>2123</v>
      </c>
      <c r="D258" s="65" t="s">
        <v>187</v>
      </c>
      <c r="E258" s="65" t="s">
        <v>2124</v>
      </c>
      <c r="F258" s="67" t="s">
        <v>234</v>
      </c>
      <c r="G258" s="67" t="s">
        <v>234</v>
      </c>
      <c r="H258" s="67" t="s">
        <v>66</v>
      </c>
      <c r="I258" s="67" t="s">
        <v>97</v>
      </c>
      <c r="J258" s="67" t="s">
        <v>234</v>
      </c>
      <c r="K258" s="67" t="s">
        <v>113</v>
      </c>
      <c r="L258" s="67" t="s">
        <v>234</v>
      </c>
      <c r="M258" s="65" t="s">
        <v>46</v>
      </c>
      <c r="N258" s="65" t="s">
        <v>46</v>
      </c>
    </row>
    <row r="259" ht="15" customHeight="1" spans="1:14" x14ac:dyDescent="0.25">
      <c r="A259" s="60" t="s">
        <v>46</v>
      </c>
      <c r="B259" s="61" t="s">
        <v>91</v>
      </c>
      <c r="C259" s="62" t="s">
        <v>2127</v>
      </c>
      <c r="D259" s="61" t="s">
        <v>187</v>
      </c>
      <c r="E259" s="61" t="s">
        <v>2128</v>
      </c>
      <c r="F259" s="63" t="s">
        <v>234</v>
      </c>
      <c r="G259" s="63" t="s">
        <v>234</v>
      </c>
      <c r="H259" s="63" t="s">
        <v>66</v>
      </c>
      <c r="I259" s="63" t="s">
        <v>97</v>
      </c>
      <c r="J259" s="63" t="s">
        <v>234</v>
      </c>
      <c r="K259" s="63" t="s">
        <v>113</v>
      </c>
      <c r="L259" s="63" t="s">
        <v>234</v>
      </c>
      <c r="M259" s="61" t="s">
        <v>46</v>
      </c>
      <c r="N259" s="61" t="s">
        <v>46</v>
      </c>
    </row>
    <row r="260" ht="15" customHeight="1" spans="1:14" x14ac:dyDescent="0.25">
      <c r="A260" s="64" t="s">
        <v>46</v>
      </c>
      <c r="B260" s="65" t="s">
        <v>91</v>
      </c>
      <c r="C260" s="66" t="s">
        <v>2131</v>
      </c>
      <c r="D260" s="65" t="s">
        <v>187</v>
      </c>
      <c r="E260" s="65" t="s">
        <v>2132</v>
      </c>
      <c r="F260" s="67" t="s">
        <v>234</v>
      </c>
      <c r="G260" s="67" t="s">
        <v>234</v>
      </c>
      <c r="H260" s="67" t="s">
        <v>66</v>
      </c>
      <c r="I260" s="67" t="s">
        <v>97</v>
      </c>
      <c r="J260" s="67" t="s">
        <v>234</v>
      </c>
      <c r="K260" s="67" t="s">
        <v>113</v>
      </c>
      <c r="L260" s="67" t="s">
        <v>234</v>
      </c>
      <c r="M260" s="65" t="s">
        <v>46</v>
      </c>
      <c r="N260" s="65" t="s">
        <v>46</v>
      </c>
    </row>
    <row r="261" ht="15" customHeight="1" spans="1:14" x14ac:dyDescent="0.25">
      <c r="A261" s="60" t="s">
        <v>46</v>
      </c>
      <c r="B261" s="61" t="s">
        <v>91</v>
      </c>
      <c r="C261" s="62" t="s">
        <v>2135</v>
      </c>
      <c r="D261" s="61" t="s">
        <v>187</v>
      </c>
      <c r="E261" s="61" t="s">
        <v>2136</v>
      </c>
      <c r="F261" s="63" t="s">
        <v>234</v>
      </c>
      <c r="G261" s="63" t="s">
        <v>234</v>
      </c>
      <c r="H261" s="63" t="s">
        <v>66</v>
      </c>
      <c r="I261" s="63" t="s">
        <v>97</v>
      </c>
      <c r="J261" s="63" t="s">
        <v>234</v>
      </c>
      <c r="K261" s="63" t="s">
        <v>113</v>
      </c>
      <c r="L261" s="63" t="s">
        <v>234</v>
      </c>
      <c r="M261" s="61" t="s">
        <v>46</v>
      </c>
      <c r="N261" s="61" t="s">
        <v>46</v>
      </c>
    </row>
    <row r="262" ht="15" customHeight="1" spans="1:14" x14ac:dyDescent="0.25">
      <c r="A262" s="64" t="s">
        <v>46</v>
      </c>
      <c r="B262" s="65" t="s">
        <v>91</v>
      </c>
      <c r="C262" s="66" t="s">
        <v>2139</v>
      </c>
      <c r="D262" s="65" t="s">
        <v>187</v>
      </c>
      <c r="E262" s="65" t="s">
        <v>2140</v>
      </c>
      <c r="F262" s="67" t="s">
        <v>234</v>
      </c>
      <c r="G262" s="67" t="s">
        <v>234</v>
      </c>
      <c r="H262" s="67" t="s">
        <v>66</v>
      </c>
      <c r="I262" s="67" t="s">
        <v>97</v>
      </c>
      <c r="J262" s="67" t="s">
        <v>234</v>
      </c>
      <c r="K262" s="67" t="s">
        <v>113</v>
      </c>
      <c r="L262" s="67" t="s">
        <v>234</v>
      </c>
      <c r="M262" s="65" t="s">
        <v>46</v>
      </c>
      <c r="N262" s="65" t="s">
        <v>46</v>
      </c>
    </row>
    <row r="263" ht="15" customHeight="1" spans="1:14" x14ac:dyDescent="0.25">
      <c r="A263" s="60" t="s">
        <v>46</v>
      </c>
      <c r="B263" s="61" t="s">
        <v>91</v>
      </c>
      <c r="C263" s="62" t="s">
        <v>2143</v>
      </c>
      <c r="D263" s="61" t="s">
        <v>187</v>
      </c>
      <c r="E263" s="61" t="s">
        <v>2144</v>
      </c>
      <c r="F263" s="63" t="s">
        <v>234</v>
      </c>
      <c r="G263" s="63" t="s">
        <v>234</v>
      </c>
      <c r="H263" s="63" t="s">
        <v>66</v>
      </c>
      <c r="I263" s="63" t="s">
        <v>97</v>
      </c>
      <c r="J263" s="63" t="s">
        <v>234</v>
      </c>
      <c r="K263" s="63" t="s">
        <v>113</v>
      </c>
      <c r="L263" s="63" t="s">
        <v>234</v>
      </c>
      <c r="M263" s="61" t="s">
        <v>46</v>
      </c>
      <c r="N263" s="61" t="s">
        <v>46</v>
      </c>
    </row>
    <row r="264" ht="15" customHeight="1" spans="1:14" x14ac:dyDescent="0.25">
      <c r="A264" s="64" t="s">
        <v>46</v>
      </c>
      <c r="B264" s="65" t="s">
        <v>91</v>
      </c>
      <c r="C264" s="66" t="s">
        <v>2147</v>
      </c>
      <c r="D264" s="65" t="s">
        <v>187</v>
      </c>
      <c r="E264" s="65" t="s">
        <v>2148</v>
      </c>
      <c r="F264" s="67" t="s">
        <v>234</v>
      </c>
      <c r="G264" s="67" t="s">
        <v>234</v>
      </c>
      <c r="H264" s="67" t="s">
        <v>66</v>
      </c>
      <c r="I264" s="67" t="s">
        <v>97</v>
      </c>
      <c r="J264" s="67" t="s">
        <v>234</v>
      </c>
      <c r="K264" s="67" t="s">
        <v>113</v>
      </c>
      <c r="L264" s="67" t="s">
        <v>234</v>
      </c>
      <c r="M264" s="65" t="s">
        <v>46</v>
      </c>
      <c r="N264" s="65" t="s">
        <v>46</v>
      </c>
    </row>
    <row r="265" ht="15" customHeight="1" spans="1:14" x14ac:dyDescent="0.25">
      <c r="A265" s="60" t="s">
        <v>46</v>
      </c>
      <c r="B265" s="61" t="s">
        <v>91</v>
      </c>
      <c r="C265" s="62" t="s">
        <v>2249</v>
      </c>
      <c r="D265" s="61" t="s">
        <v>189</v>
      </c>
      <c r="E265" s="61" t="s">
        <v>2250</v>
      </c>
      <c r="F265" s="63" t="s">
        <v>234</v>
      </c>
      <c r="G265" s="63" t="s">
        <v>234</v>
      </c>
      <c r="H265" s="63" t="s">
        <v>66</v>
      </c>
      <c r="I265" s="63" t="s">
        <v>97</v>
      </c>
      <c r="J265" s="63" t="s">
        <v>234</v>
      </c>
      <c r="K265" s="63" t="s">
        <v>113</v>
      </c>
      <c r="L265" s="63" t="s">
        <v>234</v>
      </c>
      <c r="M265" s="61" t="s">
        <v>46</v>
      </c>
      <c r="N265" s="61" t="s">
        <v>46</v>
      </c>
    </row>
    <row r="266" ht="15" customHeight="1" spans="1:14" x14ac:dyDescent="0.25">
      <c r="A266" s="64" t="s">
        <v>46</v>
      </c>
      <c r="B266" s="65" t="s">
        <v>91</v>
      </c>
      <c r="C266" s="66" t="s">
        <v>2254</v>
      </c>
      <c r="D266" s="65" t="s">
        <v>189</v>
      </c>
      <c r="E266" s="65" t="s">
        <v>2255</v>
      </c>
      <c r="F266" s="67" t="s">
        <v>234</v>
      </c>
      <c r="G266" s="67" t="s">
        <v>234</v>
      </c>
      <c r="H266" s="67" t="s">
        <v>66</v>
      </c>
      <c r="I266" s="67" t="s">
        <v>97</v>
      </c>
      <c r="J266" s="67" t="s">
        <v>234</v>
      </c>
      <c r="K266" s="67" t="s">
        <v>113</v>
      </c>
      <c r="L266" s="67" t="s">
        <v>234</v>
      </c>
      <c r="M266" s="65" t="s">
        <v>46</v>
      </c>
      <c r="N266" s="65" t="s">
        <v>46</v>
      </c>
    </row>
    <row r="267" ht="15" customHeight="1" spans="1:14" x14ac:dyDescent="0.25">
      <c r="A267" s="60" t="s">
        <v>46</v>
      </c>
      <c r="B267" s="61" t="s">
        <v>92</v>
      </c>
      <c r="C267" s="62" t="s">
        <v>798</v>
      </c>
      <c r="D267" s="61" t="s">
        <v>155</v>
      </c>
      <c r="E267" s="61" t="s">
        <v>799</v>
      </c>
      <c r="F267" s="63" t="s">
        <v>234</v>
      </c>
      <c r="G267" s="63" t="s">
        <v>234</v>
      </c>
      <c r="H267" s="63" t="s">
        <v>66</v>
      </c>
      <c r="I267" s="63" t="s">
        <v>97</v>
      </c>
      <c r="J267" s="63" t="s">
        <v>234</v>
      </c>
      <c r="K267" s="63" t="s">
        <v>113</v>
      </c>
      <c r="L267" s="63" t="s">
        <v>234</v>
      </c>
      <c r="M267" s="61" t="s">
        <v>46</v>
      </c>
      <c r="N267" s="61" t="s">
        <v>46</v>
      </c>
    </row>
    <row r="268" ht="15" customHeight="1" spans="1:14" x14ac:dyDescent="0.25">
      <c r="A268" s="64" t="s">
        <v>46</v>
      </c>
      <c r="B268" s="65" t="s">
        <v>92</v>
      </c>
      <c r="C268" s="66" t="s">
        <v>802</v>
      </c>
      <c r="D268" s="65" t="s">
        <v>155</v>
      </c>
      <c r="E268" s="65" t="s">
        <v>803</v>
      </c>
      <c r="F268" s="67" t="s">
        <v>234</v>
      </c>
      <c r="G268" s="67" t="s">
        <v>234</v>
      </c>
      <c r="H268" s="67" t="s">
        <v>66</v>
      </c>
      <c r="I268" s="67" t="s">
        <v>97</v>
      </c>
      <c r="J268" s="67" t="s">
        <v>234</v>
      </c>
      <c r="K268" s="67" t="s">
        <v>113</v>
      </c>
      <c r="L268" s="67" t="s">
        <v>234</v>
      </c>
      <c r="M268" s="65" t="s">
        <v>46</v>
      </c>
      <c r="N268" s="65" t="s">
        <v>46</v>
      </c>
    </row>
    <row r="269" ht="15" customHeight="1" spans="1:14" x14ac:dyDescent="0.25">
      <c r="A269" s="60" t="s">
        <v>46</v>
      </c>
      <c r="B269" s="61" t="s">
        <v>92</v>
      </c>
      <c r="C269" s="62" t="s">
        <v>806</v>
      </c>
      <c r="D269" s="61" t="s">
        <v>155</v>
      </c>
      <c r="E269" s="61" t="s">
        <v>807</v>
      </c>
      <c r="F269" s="63" t="s">
        <v>234</v>
      </c>
      <c r="G269" s="63" t="s">
        <v>234</v>
      </c>
      <c r="H269" s="63" t="s">
        <v>66</v>
      </c>
      <c r="I269" s="63" t="s">
        <v>97</v>
      </c>
      <c r="J269" s="63" t="s">
        <v>234</v>
      </c>
      <c r="K269" s="63" t="s">
        <v>113</v>
      </c>
      <c r="L269" s="63" t="s">
        <v>234</v>
      </c>
      <c r="M269" s="61" t="s">
        <v>46</v>
      </c>
      <c r="N269" s="61" t="s">
        <v>46</v>
      </c>
    </row>
    <row r="270" ht="15" customHeight="1" spans="1:14" x14ac:dyDescent="0.25">
      <c r="A270" s="64" t="s">
        <v>46</v>
      </c>
      <c r="B270" s="65" t="s">
        <v>92</v>
      </c>
      <c r="C270" s="66" t="s">
        <v>811</v>
      </c>
      <c r="D270" s="65" t="s">
        <v>155</v>
      </c>
      <c r="E270" s="65" t="s">
        <v>812</v>
      </c>
      <c r="F270" s="67" t="s">
        <v>234</v>
      </c>
      <c r="G270" s="67" t="s">
        <v>234</v>
      </c>
      <c r="H270" s="67" t="s">
        <v>66</v>
      </c>
      <c r="I270" s="67" t="s">
        <v>97</v>
      </c>
      <c r="J270" s="67" t="s">
        <v>234</v>
      </c>
      <c r="K270" s="67" t="s">
        <v>113</v>
      </c>
      <c r="L270" s="67" t="s">
        <v>234</v>
      </c>
      <c r="M270" s="65" t="s">
        <v>46</v>
      </c>
      <c r="N270" s="65" t="s">
        <v>46</v>
      </c>
    </row>
    <row r="271" ht="15" customHeight="1" spans="1:14" x14ac:dyDescent="0.25">
      <c r="A271" s="60" t="s">
        <v>46</v>
      </c>
      <c r="B271" s="61" t="s">
        <v>92</v>
      </c>
      <c r="C271" s="62" t="s">
        <v>815</v>
      </c>
      <c r="D271" s="61" t="s">
        <v>155</v>
      </c>
      <c r="E271" s="61" t="s">
        <v>816</v>
      </c>
      <c r="F271" s="63" t="s">
        <v>234</v>
      </c>
      <c r="G271" s="63" t="s">
        <v>234</v>
      </c>
      <c r="H271" s="63" t="s">
        <v>66</v>
      </c>
      <c r="I271" s="63" t="s">
        <v>97</v>
      </c>
      <c r="J271" s="63" t="s">
        <v>234</v>
      </c>
      <c r="K271" s="63" t="s">
        <v>113</v>
      </c>
      <c r="L271" s="63" t="s">
        <v>234</v>
      </c>
      <c r="M271" s="61" t="s">
        <v>46</v>
      </c>
      <c r="N271" s="61" t="s">
        <v>46</v>
      </c>
    </row>
    <row r="272" ht="15" customHeight="1" spans="1:14" x14ac:dyDescent="0.25">
      <c r="A272" s="64" t="s">
        <v>46</v>
      </c>
      <c r="B272" s="65" t="s">
        <v>92</v>
      </c>
      <c r="C272" s="66" t="s">
        <v>820</v>
      </c>
      <c r="D272" s="65" t="s">
        <v>155</v>
      </c>
      <c r="E272" s="65" t="s">
        <v>821</v>
      </c>
      <c r="F272" s="67" t="s">
        <v>234</v>
      </c>
      <c r="G272" s="67" t="s">
        <v>234</v>
      </c>
      <c r="H272" s="67" t="s">
        <v>66</v>
      </c>
      <c r="I272" s="67" t="s">
        <v>97</v>
      </c>
      <c r="J272" s="67" t="s">
        <v>234</v>
      </c>
      <c r="K272" s="67" t="s">
        <v>113</v>
      </c>
      <c r="L272" s="67" t="s">
        <v>234</v>
      </c>
      <c r="M272" s="65" t="s">
        <v>46</v>
      </c>
      <c r="N272" s="65" t="s">
        <v>46</v>
      </c>
    </row>
    <row r="273" ht="15" customHeight="1" spans="1:14" x14ac:dyDescent="0.25">
      <c r="A273" s="60" t="s">
        <v>46</v>
      </c>
      <c r="B273" s="61" t="s">
        <v>92</v>
      </c>
      <c r="C273" s="62" t="s">
        <v>824</v>
      </c>
      <c r="D273" s="61" t="s">
        <v>155</v>
      </c>
      <c r="E273" s="61" t="s">
        <v>825</v>
      </c>
      <c r="F273" s="63" t="s">
        <v>234</v>
      </c>
      <c r="G273" s="63" t="s">
        <v>234</v>
      </c>
      <c r="H273" s="63" t="s">
        <v>66</v>
      </c>
      <c r="I273" s="63" t="s">
        <v>97</v>
      </c>
      <c r="J273" s="63" t="s">
        <v>234</v>
      </c>
      <c r="K273" s="63" t="s">
        <v>113</v>
      </c>
      <c r="L273" s="63" t="s">
        <v>234</v>
      </c>
      <c r="M273" s="61" t="s">
        <v>46</v>
      </c>
      <c r="N273" s="61" t="s">
        <v>46</v>
      </c>
    </row>
    <row r="274" ht="15" customHeight="1" spans="1:14" x14ac:dyDescent="0.25">
      <c r="A274" s="64" t="s">
        <v>46</v>
      </c>
      <c r="B274" s="65" t="s">
        <v>92</v>
      </c>
      <c r="C274" s="66" t="s">
        <v>828</v>
      </c>
      <c r="D274" s="65" t="s">
        <v>155</v>
      </c>
      <c r="E274" s="65" t="s">
        <v>829</v>
      </c>
      <c r="F274" s="67" t="s">
        <v>234</v>
      </c>
      <c r="G274" s="67" t="s">
        <v>234</v>
      </c>
      <c r="H274" s="67" t="s">
        <v>66</v>
      </c>
      <c r="I274" s="67" t="s">
        <v>97</v>
      </c>
      <c r="J274" s="67" t="s">
        <v>234</v>
      </c>
      <c r="K274" s="67" t="s">
        <v>113</v>
      </c>
      <c r="L274" s="67" t="s">
        <v>234</v>
      </c>
      <c r="M274" s="65" t="s">
        <v>46</v>
      </c>
      <c r="N274" s="65" t="s">
        <v>46</v>
      </c>
    </row>
    <row r="275" ht="15" customHeight="1" spans="1:14" x14ac:dyDescent="0.25">
      <c r="A275" s="60" t="s">
        <v>46</v>
      </c>
      <c r="B275" s="61" t="s">
        <v>92</v>
      </c>
      <c r="C275" s="62" t="s">
        <v>1006</v>
      </c>
      <c r="D275" s="61" t="s">
        <v>159</v>
      </c>
      <c r="E275" s="61" t="s">
        <v>1007</v>
      </c>
      <c r="F275" s="63" t="s">
        <v>234</v>
      </c>
      <c r="G275" s="63" t="s">
        <v>234</v>
      </c>
      <c r="H275" s="63" t="s">
        <v>66</v>
      </c>
      <c r="I275" s="63" t="s">
        <v>97</v>
      </c>
      <c r="J275" s="63" t="s">
        <v>234</v>
      </c>
      <c r="K275" s="63" t="s">
        <v>113</v>
      </c>
      <c r="L275" s="63" t="s">
        <v>234</v>
      </c>
      <c r="M275" s="61" t="s">
        <v>46</v>
      </c>
      <c r="N275" s="61" t="s">
        <v>46</v>
      </c>
    </row>
    <row r="276" ht="15" customHeight="1" spans="1:14" x14ac:dyDescent="0.25">
      <c r="A276" s="64" t="s">
        <v>46</v>
      </c>
      <c r="B276" s="65" t="s">
        <v>92</v>
      </c>
      <c r="C276" s="66" t="s">
        <v>1014</v>
      </c>
      <c r="D276" s="65" t="s">
        <v>159</v>
      </c>
      <c r="E276" s="65" t="s">
        <v>1015</v>
      </c>
      <c r="F276" s="67" t="s">
        <v>234</v>
      </c>
      <c r="G276" s="67" t="s">
        <v>234</v>
      </c>
      <c r="H276" s="67" t="s">
        <v>66</v>
      </c>
      <c r="I276" s="67" t="s">
        <v>97</v>
      </c>
      <c r="J276" s="67" t="s">
        <v>234</v>
      </c>
      <c r="K276" s="67" t="s">
        <v>113</v>
      </c>
      <c r="L276" s="67" t="s">
        <v>234</v>
      </c>
      <c r="M276" s="65" t="s">
        <v>46</v>
      </c>
      <c r="N276" s="65" t="s">
        <v>46</v>
      </c>
    </row>
    <row r="277" ht="15" customHeight="1" spans="1:14" x14ac:dyDescent="0.25">
      <c r="A277" s="60" t="s">
        <v>46</v>
      </c>
      <c r="B277" s="61" t="s">
        <v>92</v>
      </c>
      <c r="C277" s="62" t="s">
        <v>1018</v>
      </c>
      <c r="D277" s="61" t="s">
        <v>159</v>
      </c>
      <c r="E277" s="61" t="s">
        <v>1019</v>
      </c>
      <c r="F277" s="63" t="s">
        <v>234</v>
      </c>
      <c r="G277" s="63" t="s">
        <v>234</v>
      </c>
      <c r="H277" s="63" t="s">
        <v>66</v>
      </c>
      <c r="I277" s="63" t="s">
        <v>97</v>
      </c>
      <c r="J277" s="63" t="s">
        <v>234</v>
      </c>
      <c r="K277" s="63" t="s">
        <v>113</v>
      </c>
      <c r="L277" s="63" t="s">
        <v>234</v>
      </c>
      <c r="M277" s="61" t="s">
        <v>46</v>
      </c>
      <c r="N277" s="61" t="s">
        <v>46</v>
      </c>
    </row>
    <row r="278" ht="15" customHeight="1" spans="1:14" x14ac:dyDescent="0.25">
      <c r="A278" s="64" t="s">
        <v>46</v>
      </c>
      <c r="B278" s="65" t="s">
        <v>92</v>
      </c>
      <c r="C278" s="66" t="s">
        <v>1029</v>
      </c>
      <c r="D278" s="65" t="s">
        <v>159</v>
      </c>
      <c r="E278" s="65" t="s">
        <v>1030</v>
      </c>
      <c r="F278" s="67" t="s">
        <v>234</v>
      </c>
      <c r="G278" s="67" t="s">
        <v>234</v>
      </c>
      <c r="H278" s="67" t="s">
        <v>66</v>
      </c>
      <c r="I278" s="67" t="s">
        <v>97</v>
      </c>
      <c r="J278" s="67" t="s">
        <v>234</v>
      </c>
      <c r="K278" s="67" t="s">
        <v>113</v>
      </c>
      <c r="L278" s="67" t="s">
        <v>234</v>
      </c>
      <c r="M278" s="65" t="s">
        <v>46</v>
      </c>
      <c r="N278" s="65" t="s">
        <v>46</v>
      </c>
    </row>
    <row r="279" ht="15" customHeight="1" spans="1:14" x14ac:dyDescent="0.25">
      <c r="A279" s="60" t="s">
        <v>46</v>
      </c>
      <c r="B279" s="61" t="s">
        <v>92</v>
      </c>
      <c r="C279" s="62" t="s">
        <v>1040</v>
      </c>
      <c r="D279" s="61" t="s">
        <v>160</v>
      </c>
      <c r="E279" s="61" t="s">
        <v>1041</v>
      </c>
      <c r="F279" s="63" t="s">
        <v>234</v>
      </c>
      <c r="G279" s="63" t="s">
        <v>234</v>
      </c>
      <c r="H279" s="63" t="s">
        <v>66</v>
      </c>
      <c r="I279" s="63" t="s">
        <v>97</v>
      </c>
      <c r="J279" s="63" t="s">
        <v>234</v>
      </c>
      <c r="K279" s="63" t="s">
        <v>113</v>
      </c>
      <c r="L279" s="63" t="s">
        <v>234</v>
      </c>
      <c r="M279" s="61" t="s">
        <v>46</v>
      </c>
      <c r="N279" s="61" t="s">
        <v>46</v>
      </c>
    </row>
    <row r="280" ht="15" customHeight="1" spans="1:14" x14ac:dyDescent="0.25">
      <c r="A280" s="64" t="s">
        <v>46</v>
      </c>
      <c r="B280" s="65" t="s">
        <v>92</v>
      </c>
      <c r="C280" s="66" t="s">
        <v>1042</v>
      </c>
      <c r="D280" s="65" t="s">
        <v>160</v>
      </c>
      <c r="E280" s="65" t="s">
        <v>1043</v>
      </c>
      <c r="F280" s="67" t="s">
        <v>234</v>
      </c>
      <c r="G280" s="67" t="s">
        <v>234</v>
      </c>
      <c r="H280" s="67" t="s">
        <v>66</v>
      </c>
      <c r="I280" s="67" t="s">
        <v>97</v>
      </c>
      <c r="J280" s="67" t="s">
        <v>234</v>
      </c>
      <c r="K280" s="67" t="s">
        <v>113</v>
      </c>
      <c r="L280" s="67" t="s">
        <v>234</v>
      </c>
      <c r="M280" s="65" t="s">
        <v>46</v>
      </c>
      <c r="N280" s="65" t="s">
        <v>46</v>
      </c>
    </row>
    <row r="281" ht="15" customHeight="1" spans="1:14" x14ac:dyDescent="0.25">
      <c r="A281" s="60" t="s">
        <v>46</v>
      </c>
      <c r="B281" s="61" t="s">
        <v>92</v>
      </c>
      <c r="C281" s="62" t="s">
        <v>1046</v>
      </c>
      <c r="D281" s="61" t="s">
        <v>160</v>
      </c>
      <c r="E281" s="61" t="s">
        <v>1047</v>
      </c>
      <c r="F281" s="63" t="s">
        <v>234</v>
      </c>
      <c r="G281" s="63" t="s">
        <v>234</v>
      </c>
      <c r="H281" s="63" t="s">
        <v>66</v>
      </c>
      <c r="I281" s="63" t="s">
        <v>97</v>
      </c>
      <c r="J281" s="63" t="s">
        <v>234</v>
      </c>
      <c r="K281" s="63" t="s">
        <v>113</v>
      </c>
      <c r="L281" s="63" t="s">
        <v>234</v>
      </c>
      <c r="M281" s="61" t="s">
        <v>46</v>
      </c>
      <c r="N281" s="61" t="s">
        <v>46</v>
      </c>
    </row>
    <row r="282" ht="15" customHeight="1" spans="1:14" x14ac:dyDescent="0.25">
      <c r="A282" s="64" t="s">
        <v>46</v>
      </c>
      <c r="B282" s="65" t="s">
        <v>92</v>
      </c>
      <c r="C282" s="66" t="s">
        <v>1050</v>
      </c>
      <c r="D282" s="65" t="s">
        <v>160</v>
      </c>
      <c r="E282" s="65" t="s">
        <v>1051</v>
      </c>
      <c r="F282" s="67" t="s">
        <v>234</v>
      </c>
      <c r="G282" s="67" t="s">
        <v>234</v>
      </c>
      <c r="H282" s="67" t="s">
        <v>66</v>
      </c>
      <c r="I282" s="67" t="s">
        <v>97</v>
      </c>
      <c r="J282" s="67" t="s">
        <v>234</v>
      </c>
      <c r="K282" s="67" t="s">
        <v>113</v>
      </c>
      <c r="L282" s="67" t="s">
        <v>234</v>
      </c>
      <c r="M282" s="65" t="s">
        <v>46</v>
      </c>
      <c r="N282" s="65" t="s">
        <v>46</v>
      </c>
    </row>
    <row r="283" ht="15" customHeight="1" spans="1:14" x14ac:dyDescent="0.25">
      <c r="A283" s="60" t="s">
        <v>46</v>
      </c>
      <c r="B283" s="61" t="s">
        <v>92</v>
      </c>
      <c r="C283" s="62" t="s">
        <v>1084</v>
      </c>
      <c r="D283" s="61" t="s">
        <v>162</v>
      </c>
      <c r="E283" s="61" t="s">
        <v>1086</v>
      </c>
      <c r="F283" s="63" t="s">
        <v>234</v>
      </c>
      <c r="G283" s="63" t="s">
        <v>234</v>
      </c>
      <c r="H283" s="63" t="s">
        <v>66</v>
      </c>
      <c r="I283" s="63" t="s">
        <v>97</v>
      </c>
      <c r="J283" s="63" t="s">
        <v>234</v>
      </c>
      <c r="K283" s="63" t="s">
        <v>113</v>
      </c>
      <c r="L283" s="63" t="s">
        <v>234</v>
      </c>
      <c r="M283" s="61" t="s">
        <v>46</v>
      </c>
      <c r="N283" s="61" t="s">
        <v>46</v>
      </c>
    </row>
    <row r="284" ht="15" customHeight="1" spans="1:14" x14ac:dyDescent="0.25">
      <c r="A284" s="64" t="s">
        <v>46</v>
      </c>
      <c r="B284" s="65" t="s">
        <v>92</v>
      </c>
      <c r="C284" s="66" t="s">
        <v>1253</v>
      </c>
      <c r="D284" s="65" t="s">
        <v>164</v>
      </c>
      <c r="E284" s="65" t="s">
        <v>1254</v>
      </c>
      <c r="F284" s="67" t="s">
        <v>234</v>
      </c>
      <c r="G284" s="67" t="s">
        <v>234</v>
      </c>
      <c r="H284" s="67" t="s">
        <v>66</v>
      </c>
      <c r="I284" s="67" t="s">
        <v>97</v>
      </c>
      <c r="J284" s="67" t="s">
        <v>234</v>
      </c>
      <c r="K284" s="67" t="s">
        <v>113</v>
      </c>
      <c r="L284" s="67" t="s">
        <v>234</v>
      </c>
      <c r="M284" s="65" t="s">
        <v>46</v>
      </c>
      <c r="N284" s="65" t="s">
        <v>46</v>
      </c>
    </row>
    <row r="285" ht="15" customHeight="1" spans="1:14" x14ac:dyDescent="0.25">
      <c r="A285" s="60" t="s">
        <v>46</v>
      </c>
      <c r="B285" s="61" t="s">
        <v>92</v>
      </c>
      <c r="C285" s="62" t="s">
        <v>1257</v>
      </c>
      <c r="D285" s="61" t="s">
        <v>164</v>
      </c>
      <c r="E285" s="61" t="s">
        <v>1258</v>
      </c>
      <c r="F285" s="63" t="s">
        <v>234</v>
      </c>
      <c r="G285" s="63" t="s">
        <v>234</v>
      </c>
      <c r="H285" s="63" t="s">
        <v>66</v>
      </c>
      <c r="I285" s="63" t="s">
        <v>97</v>
      </c>
      <c r="J285" s="63" t="s">
        <v>234</v>
      </c>
      <c r="K285" s="63" t="s">
        <v>113</v>
      </c>
      <c r="L285" s="63" t="s">
        <v>234</v>
      </c>
      <c r="M285" s="61" t="s">
        <v>46</v>
      </c>
      <c r="N285" s="61" t="s">
        <v>46</v>
      </c>
    </row>
    <row r="286" ht="15" customHeight="1" spans="1:14" x14ac:dyDescent="0.25">
      <c r="A286" s="64" t="s">
        <v>46</v>
      </c>
      <c r="B286" s="65" t="s">
        <v>92</v>
      </c>
      <c r="C286" s="66" t="s">
        <v>1261</v>
      </c>
      <c r="D286" s="65" t="s">
        <v>164</v>
      </c>
      <c r="E286" s="65" t="s">
        <v>1262</v>
      </c>
      <c r="F286" s="67" t="s">
        <v>234</v>
      </c>
      <c r="G286" s="67" t="s">
        <v>234</v>
      </c>
      <c r="H286" s="67" t="s">
        <v>66</v>
      </c>
      <c r="I286" s="67" t="s">
        <v>97</v>
      </c>
      <c r="J286" s="67" t="s">
        <v>234</v>
      </c>
      <c r="K286" s="67" t="s">
        <v>113</v>
      </c>
      <c r="L286" s="67" t="s">
        <v>234</v>
      </c>
      <c r="M286" s="65" t="s">
        <v>46</v>
      </c>
      <c r="N286" s="65" t="s">
        <v>46</v>
      </c>
    </row>
    <row r="287" ht="15" customHeight="1" spans="1:14" x14ac:dyDescent="0.25">
      <c r="A287" s="60" t="s">
        <v>46</v>
      </c>
      <c r="B287" s="61" t="s">
        <v>92</v>
      </c>
      <c r="C287" s="62" t="s">
        <v>1265</v>
      </c>
      <c r="D287" s="61" t="s">
        <v>164</v>
      </c>
      <c r="E287" s="61" t="s">
        <v>1266</v>
      </c>
      <c r="F287" s="63" t="s">
        <v>234</v>
      </c>
      <c r="G287" s="63" t="s">
        <v>234</v>
      </c>
      <c r="H287" s="63" t="s">
        <v>66</v>
      </c>
      <c r="I287" s="63" t="s">
        <v>97</v>
      </c>
      <c r="J287" s="63" t="s">
        <v>234</v>
      </c>
      <c r="K287" s="63" t="s">
        <v>113</v>
      </c>
      <c r="L287" s="63" t="s">
        <v>234</v>
      </c>
      <c r="M287" s="61" t="s">
        <v>46</v>
      </c>
      <c r="N287" s="61" t="s">
        <v>46</v>
      </c>
    </row>
    <row r="288" ht="15" customHeight="1" spans="1:14" x14ac:dyDescent="0.25">
      <c r="A288" s="64" t="s">
        <v>46</v>
      </c>
      <c r="B288" s="65" t="s">
        <v>92</v>
      </c>
      <c r="C288" s="66" t="s">
        <v>1269</v>
      </c>
      <c r="D288" s="65" t="s">
        <v>164</v>
      </c>
      <c r="E288" s="65" t="s">
        <v>1270</v>
      </c>
      <c r="F288" s="67" t="s">
        <v>234</v>
      </c>
      <c r="G288" s="67" t="s">
        <v>234</v>
      </c>
      <c r="H288" s="67" t="s">
        <v>66</v>
      </c>
      <c r="I288" s="67" t="s">
        <v>97</v>
      </c>
      <c r="J288" s="67" t="s">
        <v>234</v>
      </c>
      <c r="K288" s="67" t="s">
        <v>113</v>
      </c>
      <c r="L288" s="67" t="s">
        <v>234</v>
      </c>
      <c r="M288" s="65" t="s">
        <v>46</v>
      </c>
      <c r="N288" s="65" t="s">
        <v>46</v>
      </c>
    </row>
    <row r="289" ht="15" customHeight="1" spans="1:14" x14ac:dyDescent="0.25">
      <c r="A289" s="60" t="s">
        <v>46</v>
      </c>
      <c r="B289" s="61" t="s">
        <v>92</v>
      </c>
      <c r="C289" s="62" t="s">
        <v>1273</v>
      </c>
      <c r="D289" s="61" t="s">
        <v>164</v>
      </c>
      <c r="E289" s="61" t="s">
        <v>1274</v>
      </c>
      <c r="F289" s="63" t="s">
        <v>234</v>
      </c>
      <c r="G289" s="63" t="s">
        <v>234</v>
      </c>
      <c r="H289" s="63" t="s">
        <v>66</v>
      </c>
      <c r="I289" s="63" t="s">
        <v>97</v>
      </c>
      <c r="J289" s="63" t="s">
        <v>234</v>
      </c>
      <c r="K289" s="63" t="s">
        <v>113</v>
      </c>
      <c r="L289" s="63" t="s">
        <v>234</v>
      </c>
      <c r="M289" s="61" t="s">
        <v>46</v>
      </c>
      <c r="N289" s="61" t="s">
        <v>46</v>
      </c>
    </row>
    <row r="290" ht="15" customHeight="1" spans="1:14" x14ac:dyDescent="0.25">
      <c r="A290" s="64" t="s">
        <v>46</v>
      </c>
      <c r="B290" s="65" t="s">
        <v>92</v>
      </c>
      <c r="C290" s="66" t="s">
        <v>1314</v>
      </c>
      <c r="D290" s="65" t="s">
        <v>165</v>
      </c>
      <c r="E290" s="65" t="s">
        <v>1315</v>
      </c>
      <c r="F290" s="67" t="s">
        <v>234</v>
      </c>
      <c r="G290" s="67" t="s">
        <v>234</v>
      </c>
      <c r="H290" s="67" t="s">
        <v>66</v>
      </c>
      <c r="I290" s="67" t="s">
        <v>97</v>
      </c>
      <c r="J290" s="67" t="s">
        <v>234</v>
      </c>
      <c r="K290" s="67" t="s">
        <v>113</v>
      </c>
      <c r="L290" s="67" t="s">
        <v>234</v>
      </c>
      <c r="M290" s="65" t="s">
        <v>46</v>
      </c>
      <c r="N290" s="65" t="s">
        <v>46</v>
      </c>
    </row>
    <row r="291" ht="15" customHeight="1" spans="1:14" x14ac:dyDescent="0.25">
      <c r="A291" s="60" t="s">
        <v>46</v>
      </c>
      <c r="B291" s="61" t="s">
        <v>92</v>
      </c>
      <c r="C291" s="62" t="s">
        <v>1318</v>
      </c>
      <c r="D291" s="61" t="s">
        <v>165</v>
      </c>
      <c r="E291" s="61" t="s">
        <v>1319</v>
      </c>
      <c r="F291" s="63" t="s">
        <v>234</v>
      </c>
      <c r="G291" s="63" t="s">
        <v>234</v>
      </c>
      <c r="H291" s="63" t="s">
        <v>66</v>
      </c>
      <c r="I291" s="63" t="s">
        <v>97</v>
      </c>
      <c r="J291" s="63" t="s">
        <v>234</v>
      </c>
      <c r="K291" s="63" t="s">
        <v>113</v>
      </c>
      <c r="L291" s="63" t="s">
        <v>234</v>
      </c>
      <c r="M291" s="61" t="s">
        <v>46</v>
      </c>
      <c r="N291" s="61" t="s">
        <v>46</v>
      </c>
    </row>
    <row r="292" ht="15" customHeight="1" spans="1:14" x14ac:dyDescent="0.25">
      <c r="A292" s="64" t="s">
        <v>46</v>
      </c>
      <c r="B292" s="65" t="s">
        <v>92</v>
      </c>
      <c r="C292" s="66" t="s">
        <v>1322</v>
      </c>
      <c r="D292" s="65" t="s">
        <v>165</v>
      </c>
      <c r="E292" s="65" t="s">
        <v>1323</v>
      </c>
      <c r="F292" s="67" t="s">
        <v>234</v>
      </c>
      <c r="G292" s="67" t="s">
        <v>234</v>
      </c>
      <c r="H292" s="67" t="s">
        <v>66</v>
      </c>
      <c r="I292" s="67" t="s">
        <v>97</v>
      </c>
      <c r="J292" s="67" t="s">
        <v>234</v>
      </c>
      <c r="K292" s="67" t="s">
        <v>113</v>
      </c>
      <c r="L292" s="67" t="s">
        <v>234</v>
      </c>
      <c r="M292" s="65" t="s">
        <v>46</v>
      </c>
      <c r="N292" s="65" t="s">
        <v>46</v>
      </c>
    </row>
    <row r="293" ht="15" customHeight="1" spans="1:14" x14ac:dyDescent="0.25">
      <c r="A293" s="60" t="s">
        <v>46</v>
      </c>
      <c r="B293" s="61" t="s">
        <v>92</v>
      </c>
      <c r="C293" s="62" t="s">
        <v>2151</v>
      </c>
      <c r="D293" s="61" t="s">
        <v>187</v>
      </c>
      <c r="E293" s="61" t="s">
        <v>2152</v>
      </c>
      <c r="F293" s="63" t="s">
        <v>234</v>
      </c>
      <c r="G293" s="63" t="s">
        <v>234</v>
      </c>
      <c r="H293" s="63" t="s">
        <v>66</v>
      </c>
      <c r="I293" s="63" t="s">
        <v>97</v>
      </c>
      <c r="J293" s="63" t="s">
        <v>234</v>
      </c>
      <c r="K293" s="63" t="s">
        <v>113</v>
      </c>
      <c r="L293" s="63" t="s">
        <v>234</v>
      </c>
      <c r="M293" s="61" t="s">
        <v>46</v>
      </c>
      <c r="N293" s="61" t="s">
        <v>46</v>
      </c>
    </row>
    <row r="294" ht="15" customHeight="1" spans="1:14" x14ac:dyDescent="0.25">
      <c r="A294" s="64" t="s">
        <v>46</v>
      </c>
      <c r="B294" s="65" t="s">
        <v>92</v>
      </c>
      <c r="C294" s="66" t="s">
        <v>2258</v>
      </c>
      <c r="D294" s="65" t="s">
        <v>189</v>
      </c>
      <c r="E294" s="65" t="s">
        <v>2259</v>
      </c>
      <c r="F294" s="67" t="s">
        <v>234</v>
      </c>
      <c r="G294" s="67" t="s">
        <v>234</v>
      </c>
      <c r="H294" s="67" t="s">
        <v>66</v>
      </c>
      <c r="I294" s="67" t="s">
        <v>97</v>
      </c>
      <c r="J294" s="67" t="s">
        <v>234</v>
      </c>
      <c r="K294" s="67" t="s">
        <v>113</v>
      </c>
      <c r="L294" s="67" t="s">
        <v>234</v>
      </c>
      <c r="M294" s="65" t="s">
        <v>46</v>
      </c>
      <c r="N294" s="65" t="s">
        <v>46</v>
      </c>
    </row>
    <row r="295" ht="15" customHeight="1" spans="1:14" x14ac:dyDescent="0.25">
      <c r="A295" s="60" t="s">
        <v>46</v>
      </c>
      <c r="B295" s="61" t="s">
        <v>92</v>
      </c>
      <c r="C295" s="62" t="s">
        <v>2400</v>
      </c>
      <c r="D295" s="61" t="s">
        <v>195</v>
      </c>
      <c r="E295" s="61" t="s">
        <v>2402</v>
      </c>
      <c r="F295" s="63" t="s">
        <v>234</v>
      </c>
      <c r="G295" s="63" t="s">
        <v>234</v>
      </c>
      <c r="H295" s="63" t="s">
        <v>66</v>
      </c>
      <c r="I295" s="63" t="s">
        <v>97</v>
      </c>
      <c r="J295" s="63" t="s">
        <v>234</v>
      </c>
      <c r="K295" s="63" t="s">
        <v>113</v>
      </c>
      <c r="L295" s="63" t="s">
        <v>234</v>
      </c>
      <c r="M295" s="61" t="s">
        <v>46</v>
      </c>
      <c r="N295" s="61" t="s">
        <v>46</v>
      </c>
    </row>
    <row r="296" ht="15" customHeight="1" spans="1:14" x14ac:dyDescent="0.25">
      <c r="A296" s="64" t="s">
        <v>46</v>
      </c>
      <c r="B296" s="65" t="s">
        <v>92</v>
      </c>
      <c r="C296" s="66" t="s">
        <v>2406</v>
      </c>
      <c r="D296" s="65" t="s">
        <v>195</v>
      </c>
      <c r="E296" s="65" t="s">
        <v>2407</v>
      </c>
      <c r="F296" s="67" t="s">
        <v>234</v>
      </c>
      <c r="G296" s="67" t="s">
        <v>234</v>
      </c>
      <c r="H296" s="67" t="s">
        <v>66</v>
      </c>
      <c r="I296" s="67" t="s">
        <v>97</v>
      </c>
      <c r="J296" s="67" t="s">
        <v>234</v>
      </c>
      <c r="K296" s="67" t="s">
        <v>113</v>
      </c>
      <c r="L296" s="67" t="s">
        <v>234</v>
      </c>
      <c r="M296" s="65" t="s">
        <v>46</v>
      </c>
      <c r="N296" s="65" t="s">
        <v>46</v>
      </c>
    </row>
    <row r="297" ht="15" customHeight="1" spans="1:14" x14ac:dyDescent="0.25">
      <c r="A297" s="60" t="s">
        <v>46</v>
      </c>
      <c r="B297" s="61" t="s">
        <v>93</v>
      </c>
      <c r="C297" s="62" t="s">
        <v>833</v>
      </c>
      <c r="D297" s="61" t="s">
        <v>155</v>
      </c>
      <c r="E297" s="61" t="s">
        <v>834</v>
      </c>
      <c r="F297" s="63" t="s">
        <v>234</v>
      </c>
      <c r="G297" s="63" t="s">
        <v>234</v>
      </c>
      <c r="H297" s="63" t="s">
        <v>66</v>
      </c>
      <c r="I297" s="63" t="s">
        <v>97</v>
      </c>
      <c r="J297" s="63" t="s">
        <v>234</v>
      </c>
      <c r="K297" s="63" t="s">
        <v>113</v>
      </c>
      <c r="L297" s="63" t="s">
        <v>234</v>
      </c>
      <c r="M297" s="61" t="s">
        <v>46</v>
      </c>
      <c r="N297" s="61" t="s">
        <v>46</v>
      </c>
    </row>
    <row r="298" ht="15" customHeight="1" spans="1:14" x14ac:dyDescent="0.25">
      <c r="A298" s="64" t="s">
        <v>46</v>
      </c>
      <c r="B298" s="65" t="s">
        <v>93</v>
      </c>
      <c r="C298" s="66" t="s">
        <v>837</v>
      </c>
      <c r="D298" s="65" t="s">
        <v>155</v>
      </c>
      <c r="E298" s="65" t="s">
        <v>838</v>
      </c>
      <c r="F298" s="67" t="s">
        <v>234</v>
      </c>
      <c r="G298" s="67" t="s">
        <v>234</v>
      </c>
      <c r="H298" s="67" t="s">
        <v>66</v>
      </c>
      <c r="I298" s="67" t="s">
        <v>97</v>
      </c>
      <c r="J298" s="67" t="s">
        <v>234</v>
      </c>
      <c r="K298" s="67" t="s">
        <v>113</v>
      </c>
      <c r="L298" s="67" t="s">
        <v>234</v>
      </c>
      <c r="M298" s="65" t="s">
        <v>46</v>
      </c>
      <c r="N298" s="65" t="s">
        <v>46</v>
      </c>
    </row>
    <row r="299" ht="15" customHeight="1" spans="1:14" x14ac:dyDescent="0.25">
      <c r="A299" s="60" t="s">
        <v>46</v>
      </c>
      <c r="B299" s="61" t="s">
        <v>93</v>
      </c>
      <c r="C299" s="62" t="s">
        <v>842</v>
      </c>
      <c r="D299" s="61" t="s">
        <v>155</v>
      </c>
      <c r="E299" s="61" t="s">
        <v>843</v>
      </c>
      <c r="F299" s="63" t="s">
        <v>234</v>
      </c>
      <c r="G299" s="63" t="s">
        <v>234</v>
      </c>
      <c r="H299" s="63" t="s">
        <v>66</v>
      </c>
      <c r="I299" s="63" t="s">
        <v>97</v>
      </c>
      <c r="J299" s="63" t="s">
        <v>234</v>
      </c>
      <c r="K299" s="63" t="s">
        <v>113</v>
      </c>
      <c r="L299" s="63" t="s">
        <v>234</v>
      </c>
      <c r="M299" s="61" t="s">
        <v>46</v>
      </c>
      <c r="N299" s="61" t="s">
        <v>46</v>
      </c>
    </row>
    <row r="300" ht="15" customHeight="1" spans="1:14" x14ac:dyDescent="0.25">
      <c r="A300" s="64" t="s">
        <v>46</v>
      </c>
      <c r="B300" s="65" t="s">
        <v>93</v>
      </c>
      <c r="C300" s="66" t="s">
        <v>846</v>
      </c>
      <c r="D300" s="65" t="s">
        <v>155</v>
      </c>
      <c r="E300" s="65" t="s">
        <v>847</v>
      </c>
      <c r="F300" s="67" t="s">
        <v>234</v>
      </c>
      <c r="G300" s="67" t="s">
        <v>234</v>
      </c>
      <c r="H300" s="67" t="s">
        <v>66</v>
      </c>
      <c r="I300" s="67" t="s">
        <v>97</v>
      </c>
      <c r="J300" s="67" t="s">
        <v>234</v>
      </c>
      <c r="K300" s="67" t="s">
        <v>113</v>
      </c>
      <c r="L300" s="67" t="s">
        <v>234</v>
      </c>
      <c r="M300" s="65" t="s">
        <v>46</v>
      </c>
      <c r="N300" s="65" t="s">
        <v>46</v>
      </c>
    </row>
    <row r="301" ht="15" customHeight="1" spans="1:14" x14ac:dyDescent="0.25">
      <c r="A301" s="60" t="s">
        <v>46</v>
      </c>
      <c r="B301" s="61" t="s">
        <v>93</v>
      </c>
      <c r="C301" s="62" t="s">
        <v>1054</v>
      </c>
      <c r="D301" s="61" t="s">
        <v>160</v>
      </c>
      <c r="E301" s="61" t="s">
        <v>1055</v>
      </c>
      <c r="F301" s="63" t="s">
        <v>234</v>
      </c>
      <c r="G301" s="63" t="s">
        <v>234</v>
      </c>
      <c r="H301" s="63" t="s">
        <v>66</v>
      </c>
      <c r="I301" s="63" t="s">
        <v>97</v>
      </c>
      <c r="J301" s="63" t="s">
        <v>234</v>
      </c>
      <c r="K301" s="63" t="s">
        <v>113</v>
      </c>
      <c r="L301" s="63" t="s">
        <v>234</v>
      </c>
      <c r="M301" s="61" t="s">
        <v>46</v>
      </c>
      <c r="N301" s="61" t="s">
        <v>46</v>
      </c>
    </row>
    <row r="302" ht="15" customHeight="1" spans="1:14" x14ac:dyDescent="0.25">
      <c r="A302" s="64" t="s">
        <v>46</v>
      </c>
      <c r="B302" s="65" t="s">
        <v>93</v>
      </c>
      <c r="C302" s="66" t="s">
        <v>1058</v>
      </c>
      <c r="D302" s="65" t="s">
        <v>160</v>
      </c>
      <c r="E302" s="65" t="s">
        <v>1059</v>
      </c>
      <c r="F302" s="67" t="s">
        <v>234</v>
      </c>
      <c r="G302" s="67" t="s">
        <v>234</v>
      </c>
      <c r="H302" s="67" t="s">
        <v>66</v>
      </c>
      <c r="I302" s="67" t="s">
        <v>97</v>
      </c>
      <c r="J302" s="67" t="s">
        <v>234</v>
      </c>
      <c r="K302" s="67" t="s">
        <v>113</v>
      </c>
      <c r="L302" s="67" t="s">
        <v>234</v>
      </c>
      <c r="M302" s="65" t="s">
        <v>46</v>
      </c>
      <c r="N302" s="65" t="s">
        <v>46</v>
      </c>
    </row>
    <row r="303" ht="15" customHeight="1" spans="1:14" x14ac:dyDescent="0.25">
      <c r="A303" s="60" t="s">
        <v>46</v>
      </c>
      <c r="B303" s="61" t="s">
        <v>93</v>
      </c>
      <c r="C303" s="62" t="s">
        <v>1061</v>
      </c>
      <c r="D303" s="61" t="s">
        <v>160</v>
      </c>
      <c r="E303" s="61" t="s">
        <v>1062</v>
      </c>
      <c r="F303" s="63" t="s">
        <v>234</v>
      </c>
      <c r="G303" s="63" t="s">
        <v>234</v>
      </c>
      <c r="H303" s="63" t="s">
        <v>66</v>
      </c>
      <c r="I303" s="63" t="s">
        <v>97</v>
      </c>
      <c r="J303" s="63" t="s">
        <v>234</v>
      </c>
      <c r="K303" s="63" t="s">
        <v>113</v>
      </c>
      <c r="L303" s="63" t="s">
        <v>234</v>
      </c>
      <c r="M303" s="61" t="s">
        <v>46</v>
      </c>
      <c r="N303" s="61" t="s">
        <v>46</v>
      </c>
    </row>
    <row r="304" ht="15" customHeight="1" spans="1:14" x14ac:dyDescent="0.25">
      <c r="A304" s="64" t="s">
        <v>46</v>
      </c>
      <c r="B304" s="65" t="s">
        <v>93</v>
      </c>
      <c r="C304" s="66" t="s">
        <v>1065</v>
      </c>
      <c r="D304" s="65" t="s">
        <v>160</v>
      </c>
      <c r="E304" s="65" t="s">
        <v>1066</v>
      </c>
      <c r="F304" s="67" t="s">
        <v>234</v>
      </c>
      <c r="G304" s="67" t="s">
        <v>234</v>
      </c>
      <c r="H304" s="67" t="s">
        <v>66</v>
      </c>
      <c r="I304" s="67" t="s">
        <v>97</v>
      </c>
      <c r="J304" s="67" t="s">
        <v>234</v>
      </c>
      <c r="K304" s="67" t="s">
        <v>113</v>
      </c>
      <c r="L304" s="67" t="s">
        <v>234</v>
      </c>
      <c r="M304" s="65" t="s">
        <v>46</v>
      </c>
      <c r="N304" s="65" t="s">
        <v>46</v>
      </c>
    </row>
    <row r="305" ht="15" customHeight="1" spans="1:14" x14ac:dyDescent="0.25">
      <c r="A305" s="60" t="s">
        <v>46</v>
      </c>
      <c r="B305" s="61" t="s">
        <v>93</v>
      </c>
      <c r="C305" s="62" t="s">
        <v>1069</v>
      </c>
      <c r="D305" s="61" t="s">
        <v>160</v>
      </c>
      <c r="E305" s="61" t="s">
        <v>1070</v>
      </c>
      <c r="F305" s="63" t="s">
        <v>234</v>
      </c>
      <c r="G305" s="63" t="s">
        <v>234</v>
      </c>
      <c r="H305" s="63" t="s">
        <v>66</v>
      </c>
      <c r="I305" s="63" t="s">
        <v>97</v>
      </c>
      <c r="J305" s="63" t="s">
        <v>234</v>
      </c>
      <c r="K305" s="63" t="s">
        <v>113</v>
      </c>
      <c r="L305" s="63" t="s">
        <v>234</v>
      </c>
      <c r="M305" s="61" t="s">
        <v>46</v>
      </c>
      <c r="N305" s="61" t="s">
        <v>46</v>
      </c>
    </row>
    <row r="306" ht="15" customHeight="1" spans="1:14" x14ac:dyDescent="0.25">
      <c r="A306" s="64" t="s">
        <v>46</v>
      </c>
      <c r="B306" s="65" t="s">
        <v>93</v>
      </c>
      <c r="C306" s="66" t="s">
        <v>1072</v>
      </c>
      <c r="D306" s="65" t="s">
        <v>160</v>
      </c>
      <c r="E306" s="65" t="s">
        <v>1073</v>
      </c>
      <c r="F306" s="67" t="s">
        <v>234</v>
      </c>
      <c r="G306" s="67" t="s">
        <v>234</v>
      </c>
      <c r="H306" s="67" t="s">
        <v>66</v>
      </c>
      <c r="I306" s="67" t="s">
        <v>97</v>
      </c>
      <c r="J306" s="67" t="s">
        <v>234</v>
      </c>
      <c r="K306" s="67" t="s">
        <v>113</v>
      </c>
      <c r="L306" s="67" t="s">
        <v>234</v>
      </c>
      <c r="M306" s="65" t="s">
        <v>46</v>
      </c>
      <c r="N306" s="65" t="s">
        <v>46</v>
      </c>
    </row>
    <row r="307" ht="15" customHeight="1" spans="1:14" x14ac:dyDescent="0.25">
      <c r="A307" s="60" t="s">
        <v>46</v>
      </c>
      <c r="B307" s="61" t="s">
        <v>93</v>
      </c>
      <c r="C307" s="62" t="s">
        <v>1091</v>
      </c>
      <c r="D307" s="61" t="s">
        <v>162</v>
      </c>
      <c r="E307" s="61" t="s">
        <v>1092</v>
      </c>
      <c r="F307" s="63" t="s">
        <v>234</v>
      </c>
      <c r="G307" s="63" t="s">
        <v>234</v>
      </c>
      <c r="H307" s="63" t="s">
        <v>66</v>
      </c>
      <c r="I307" s="63" t="s">
        <v>97</v>
      </c>
      <c r="J307" s="63" t="s">
        <v>234</v>
      </c>
      <c r="K307" s="63" t="s">
        <v>113</v>
      </c>
      <c r="L307" s="63" t="s">
        <v>234</v>
      </c>
      <c r="M307" s="61" t="s">
        <v>46</v>
      </c>
      <c r="N307" s="61" t="s">
        <v>46</v>
      </c>
    </row>
    <row r="308" ht="15" customHeight="1" spans="1:14" x14ac:dyDescent="0.25">
      <c r="A308" s="64" t="s">
        <v>46</v>
      </c>
      <c r="B308" s="65" t="s">
        <v>93</v>
      </c>
      <c r="C308" s="66" t="s">
        <v>1095</v>
      </c>
      <c r="D308" s="65" t="s">
        <v>162</v>
      </c>
      <c r="E308" s="65" t="s">
        <v>1096</v>
      </c>
      <c r="F308" s="67" t="s">
        <v>234</v>
      </c>
      <c r="G308" s="67" t="s">
        <v>234</v>
      </c>
      <c r="H308" s="67" t="s">
        <v>66</v>
      </c>
      <c r="I308" s="67" t="s">
        <v>97</v>
      </c>
      <c r="J308" s="67" t="s">
        <v>234</v>
      </c>
      <c r="K308" s="67" t="s">
        <v>113</v>
      </c>
      <c r="L308" s="67" t="s">
        <v>234</v>
      </c>
      <c r="M308" s="65" t="s">
        <v>46</v>
      </c>
      <c r="N308" s="65" t="s">
        <v>46</v>
      </c>
    </row>
    <row r="309" ht="15" customHeight="1" spans="1:14" x14ac:dyDescent="0.25">
      <c r="A309" s="60" t="s">
        <v>46</v>
      </c>
      <c r="B309" s="61" t="s">
        <v>93</v>
      </c>
      <c r="C309" s="62" t="s">
        <v>1099</v>
      </c>
      <c r="D309" s="61" t="s">
        <v>162</v>
      </c>
      <c r="E309" s="61" t="s">
        <v>1100</v>
      </c>
      <c r="F309" s="63" t="s">
        <v>234</v>
      </c>
      <c r="G309" s="63" t="s">
        <v>234</v>
      </c>
      <c r="H309" s="63" t="s">
        <v>66</v>
      </c>
      <c r="I309" s="63" t="s">
        <v>97</v>
      </c>
      <c r="J309" s="63" t="s">
        <v>234</v>
      </c>
      <c r="K309" s="63" t="s">
        <v>113</v>
      </c>
      <c r="L309" s="63" t="s">
        <v>234</v>
      </c>
      <c r="M309" s="61" t="s">
        <v>46</v>
      </c>
      <c r="N309" s="61" t="s">
        <v>46</v>
      </c>
    </row>
    <row r="310" ht="15" customHeight="1" spans="1:14" x14ac:dyDescent="0.25">
      <c r="A310" s="64" t="s">
        <v>46</v>
      </c>
      <c r="B310" s="65" t="s">
        <v>93</v>
      </c>
      <c r="C310" s="66" t="s">
        <v>1103</v>
      </c>
      <c r="D310" s="65" t="s">
        <v>162</v>
      </c>
      <c r="E310" s="65" t="s">
        <v>1104</v>
      </c>
      <c r="F310" s="67" t="s">
        <v>234</v>
      </c>
      <c r="G310" s="67" t="s">
        <v>234</v>
      </c>
      <c r="H310" s="67" t="s">
        <v>66</v>
      </c>
      <c r="I310" s="67" t="s">
        <v>97</v>
      </c>
      <c r="J310" s="67" t="s">
        <v>234</v>
      </c>
      <c r="K310" s="67" t="s">
        <v>113</v>
      </c>
      <c r="L310" s="67" t="s">
        <v>234</v>
      </c>
      <c r="M310" s="65" t="s">
        <v>46</v>
      </c>
      <c r="N310" s="65" t="s">
        <v>46</v>
      </c>
    </row>
    <row r="311" ht="15" customHeight="1" spans="1:14" x14ac:dyDescent="0.25">
      <c r="A311" s="60" t="s">
        <v>46</v>
      </c>
      <c r="B311" s="61" t="s">
        <v>93</v>
      </c>
      <c r="C311" s="62" t="s">
        <v>1277</v>
      </c>
      <c r="D311" s="61" t="s">
        <v>164</v>
      </c>
      <c r="E311" s="61" t="s">
        <v>1278</v>
      </c>
      <c r="F311" s="63" t="s">
        <v>234</v>
      </c>
      <c r="G311" s="63" t="s">
        <v>234</v>
      </c>
      <c r="H311" s="63" t="s">
        <v>66</v>
      </c>
      <c r="I311" s="63" t="s">
        <v>97</v>
      </c>
      <c r="J311" s="63" t="s">
        <v>234</v>
      </c>
      <c r="K311" s="63" t="s">
        <v>113</v>
      </c>
      <c r="L311" s="63" t="s">
        <v>234</v>
      </c>
      <c r="M311" s="61" t="s">
        <v>46</v>
      </c>
      <c r="N311" s="61" t="s">
        <v>46</v>
      </c>
    </row>
    <row r="312" ht="15" customHeight="1" spans="1:14" x14ac:dyDescent="0.25">
      <c r="A312" s="64" t="s">
        <v>46</v>
      </c>
      <c r="B312" s="65" t="s">
        <v>93</v>
      </c>
      <c r="C312" s="66" t="s">
        <v>1287</v>
      </c>
      <c r="D312" s="65" t="s">
        <v>164</v>
      </c>
      <c r="E312" s="65" t="s">
        <v>1288</v>
      </c>
      <c r="F312" s="67" t="s">
        <v>234</v>
      </c>
      <c r="G312" s="67" t="s">
        <v>234</v>
      </c>
      <c r="H312" s="67" t="s">
        <v>66</v>
      </c>
      <c r="I312" s="67" t="s">
        <v>97</v>
      </c>
      <c r="J312" s="67" t="s">
        <v>234</v>
      </c>
      <c r="K312" s="67" t="s">
        <v>113</v>
      </c>
      <c r="L312" s="67" t="s">
        <v>234</v>
      </c>
      <c r="M312" s="65" t="s">
        <v>46</v>
      </c>
      <c r="N312" s="65" t="s">
        <v>46</v>
      </c>
    </row>
    <row r="313" ht="15" customHeight="1" spans="1:14" x14ac:dyDescent="0.25">
      <c r="A313" s="60" t="s">
        <v>46</v>
      </c>
      <c r="B313" s="61" t="s">
        <v>93</v>
      </c>
      <c r="C313" s="62" t="s">
        <v>1291</v>
      </c>
      <c r="D313" s="61" t="s">
        <v>164</v>
      </c>
      <c r="E313" s="61" t="s">
        <v>1292</v>
      </c>
      <c r="F313" s="63" t="s">
        <v>234</v>
      </c>
      <c r="G313" s="63" t="s">
        <v>234</v>
      </c>
      <c r="H313" s="63" t="s">
        <v>66</v>
      </c>
      <c r="I313" s="63" t="s">
        <v>97</v>
      </c>
      <c r="J313" s="63" t="s">
        <v>234</v>
      </c>
      <c r="K313" s="63" t="s">
        <v>113</v>
      </c>
      <c r="L313" s="63" t="s">
        <v>234</v>
      </c>
      <c r="M313" s="61" t="s">
        <v>46</v>
      </c>
      <c r="N313" s="61" t="s">
        <v>46</v>
      </c>
    </row>
    <row r="314" ht="15" customHeight="1" spans="1:14" x14ac:dyDescent="0.25">
      <c r="A314" s="64" t="s">
        <v>46</v>
      </c>
      <c r="B314" s="65" t="s">
        <v>93</v>
      </c>
      <c r="C314" s="66" t="s">
        <v>1295</v>
      </c>
      <c r="D314" s="65" t="s">
        <v>164</v>
      </c>
      <c r="E314" s="65" t="s">
        <v>1296</v>
      </c>
      <c r="F314" s="67" t="s">
        <v>234</v>
      </c>
      <c r="G314" s="67" t="s">
        <v>234</v>
      </c>
      <c r="H314" s="67" t="s">
        <v>66</v>
      </c>
      <c r="I314" s="67" t="s">
        <v>97</v>
      </c>
      <c r="J314" s="67" t="s">
        <v>234</v>
      </c>
      <c r="K314" s="67" t="s">
        <v>113</v>
      </c>
      <c r="L314" s="67" t="s">
        <v>234</v>
      </c>
      <c r="M314" s="65" t="s">
        <v>46</v>
      </c>
      <c r="N314" s="65" t="s">
        <v>46</v>
      </c>
    </row>
    <row r="315" ht="15" customHeight="1" spans="1:14" x14ac:dyDescent="0.25">
      <c r="A315" s="60" t="s">
        <v>46</v>
      </c>
      <c r="B315" s="61" t="s">
        <v>93</v>
      </c>
      <c r="C315" s="62" t="s">
        <v>1299</v>
      </c>
      <c r="D315" s="61" t="s">
        <v>164</v>
      </c>
      <c r="E315" s="61" t="s">
        <v>1300</v>
      </c>
      <c r="F315" s="63" t="s">
        <v>234</v>
      </c>
      <c r="G315" s="63" t="s">
        <v>234</v>
      </c>
      <c r="H315" s="63" t="s">
        <v>66</v>
      </c>
      <c r="I315" s="63" t="s">
        <v>97</v>
      </c>
      <c r="J315" s="63" t="s">
        <v>234</v>
      </c>
      <c r="K315" s="63" t="s">
        <v>113</v>
      </c>
      <c r="L315" s="63" t="s">
        <v>234</v>
      </c>
      <c r="M315" s="61" t="s">
        <v>46</v>
      </c>
      <c r="N315" s="61" t="s">
        <v>46</v>
      </c>
    </row>
    <row r="316" ht="15" customHeight="1" spans="1:14" x14ac:dyDescent="0.25">
      <c r="A316" s="64" t="s">
        <v>46</v>
      </c>
      <c r="B316" s="65" t="s">
        <v>93</v>
      </c>
      <c r="C316" s="66" t="s">
        <v>1304</v>
      </c>
      <c r="D316" s="65" t="s">
        <v>164</v>
      </c>
      <c r="E316" s="65" t="s">
        <v>1305</v>
      </c>
      <c r="F316" s="67" t="s">
        <v>234</v>
      </c>
      <c r="G316" s="67" t="s">
        <v>234</v>
      </c>
      <c r="H316" s="67" t="s">
        <v>66</v>
      </c>
      <c r="I316" s="67" t="s">
        <v>97</v>
      </c>
      <c r="J316" s="67" t="s">
        <v>234</v>
      </c>
      <c r="K316" s="67" t="s">
        <v>113</v>
      </c>
      <c r="L316" s="67" t="s">
        <v>234</v>
      </c>
      <c r="M316" s="65" t="s">
        <v>46</v>
      </c>
      <c r="N316" s="65" t="s">
        <v>46</v>
      </c>
    </row>
    <row r="317" ht="15" customHeight="1" spans="1:14" x14ac:dyDescent="0.25">
      <c r="A317" s="60" t="s">
        <v>46</v>
      </c>
      <c r="B317" s="61" t="s">
        <v>93</v>
      </c>
      <c r="C317" s="62" t="s">
        <v>1326</v>
      </c>
      <c r="D317" s="61" t="s">
        <v>165</v>
      </c>
      <c r="E317" s="61" t="s">
        <v>1327</v>
      </c>
      <c r="F317" s="63" t="s">
        <v>234</v>
      </c>
      <c r="G317" s="63" t="s">
        <v>234</v>
      </c>
      <c r="H317" s="63" t="s">
        <v>66</v>
      </c>
      <c r="I317" s="63" t="s">
        <v>97</v>
      </c>
      <c r="J317" s="63" t="s">
        <v>234</v>
      </c>
      <c r="K317" s="63" t="s">
        <v>113</v>
      </c>
      <c r="L317" s="63" t="s">
        <v>234</v>
      </c>
      <c r="M317" s="61" t="s">
        <v>46</v>
      </c>
      <c r="N317" s="61" t="s">
        <v>46</v>
      </c>
    </row>
    <row r="318" ht="15" customHeight="1" spans="1:14" x14ac:dyDescent="0.25">
      <c r="A318" s="64" t="s">
        <v>46</v>
      </c>
      <c r="B318" s="65" t="s">
        <v>93</v>
      </c>
      <c r="C318" s="66" t="s">
        <v>1330</v>
      </c>
      <c r="D318" s="65" t="s">
        <v>165</v>
      </c>
      <c r="E318" s="65" t="s">
        <v>1331</v>
      </c>
      <c r="F318" s="67" t="s">
        <v>234</v>
      </c>
      <c r="G318" s="67" t="s">
        <v>234</v>
      </c>
      <c r="H318" s="67" t="s">
        <v>66</v>
      </c>
      <c r="I318" s="67" t="s">
        <v>97</v>
      </c>
      <c r="J318" s="67" t="s">
        <v>234</v>
      </c>
      <c r="K318" s="67" t="s">
        <v>113</v>
      </c>
      <c r="L318" s="67" t="s">
        <v>234</v>
      </c>
      <c r="M318" s="65" t="s">
        <v>46</v>
      </c>
      <c r="N318" s="65" t="s">
        <v>46</v>
      </c>
    </row>
    <row r="319" ht="15" customHeight="1" spans="1:14" x14ac:dyDescent="0.25">
      <c r="A319" s="60" t="s">
        <v>46</v>
      </c>
      <c r="B319" s="61" t="s">
        <v>93</v>
      </c>
      <c r="C319" s="62" t="s">
        <v>1333</v>
      </c>
      <c r="D319" s="61" t="s">
        <v>166</v>
      </c>
      <c r="E319" s="61" t="s">
        <v>1335</v>
      </c>
      <c r="F319" s="63" t="s">
        <v>234</v>
      </c>
      <c r="G319" s="63" t="s">
        <v>234</v>
      </c>
      <c r="H319" s="63" t="s">
        <v>66</v>
      </c>
      <c r="I319" s="63" t="s">
        <v>97</v>
      </c>
      <c r="J319" s="63" t="s">
        <v>234</v>
      </c>
      <c r="K319" s="63" t="s">
        <v>113</v>
      </c>
      <c r="L319" s="63" t="s">
        <v>234</v>
      </c>
      <c r="M319" s="61" t="s">
        <v>46</v>
      </c>
      <c r="N319" s="61" t="s">
        <v>46</v>
      </c>
    </row>
    <row r="320" ht="15" customHeight="1" spans="1:14" x14ac:dyDescent="0.25">
      <c r="A320" s="64" t="s">
        <v>46</v>
      </c>
      <c r="B320" s="65" t="s">
        <v>93</v>
      </c>
      <c r="C320" s="66" t="s">
        <v>2410</v>
      </c>
      <c r="D320" s="65" t="s">
        <v>195</v>
      </c>
      <c r="E320" s="65" t="s">
        <v>2411</v>
      </c>
      <c r="F320" s="67" t="s">
        <v>234</v>
      </c>
      <c r="G320" s="67" t="s">
        <v>234</v>
      </c>
      <c r="H320" s="67" t="s">
        <v>66</v>
      </c>
      <c r="I320" s="67" t="s">
        <v>97</v>
      </c>
      <c r="J320" s="67" t="s">
        <v>234</v>
      </c>
      <c r="K320" s="67" t="s">
        <v>113</v>
      </c>
      <c r="L320" s="67" t="s">
        <v>234</v>
      </c>
      <c r="M320" s="65" t="s">
        <v>46</v>
      </c>
      <c r="N320" s="65" t="s">
        <v>46</v>
      </c>
    </row>
    <row r="321" ht="15" customHeight="1" spans="1:14" x14ac:dyDescent="0.25">
      <c r="A321" s="60" t="s">
        <v>46</v>
      </c>
      <c r="B321" s="61" t="s">
        <v>93</v>
      </c>
      <c r="C321" s="62" t="s">
        <v>2414</v>
      </c>
      <c r="D321" s="61" t="s">
        <v>195</v>
      </c>
      <c r="E321" s="61" t="s">
        <v>2415</v>
      </c>
      <c r="F321" s="63" t="s">
        <v>234</v>
      </c>
      <c r="G321" s="63" t="s">
        <v>234</v>
      </c>
      <c r="H321" s="63" t="s">
        <v>66</v>
      </c>
      <c r="I321" s="63" t="s">
        <v>97</v>
      </c>
      <c r="J321" s="63" t="s">
        <v>234</v>
      </c>
      <c r="K321" s="63" t="s">
        <v>113</v>
      </c>
      <c r="L321" s="63" t="s">
        <v>234</v>
      </c>
      <c r="M321" s="61" t="s">
        <v>46</v>
      </c>
      <c r="N321" s="61" t="s">
        <v>46</v>
      </c>
    </row>
    <row r="322" ht="15" customHeight="1" spans="1:14" x14ac:dyDescent="0.25">
      <c r="A322" s="64" t="s">
        <v>46</v>
      </c>
      <c r="B322" s="65" t="s">
        <v>93</v>
      </c>
      <c r="C322" s="66" t="s">
        <v>2418</v>
      </c>
      <c r="D322" s="65" t="s">
        <v>195</v>
      </c>
      <c r="E322" s="65" t="s">
        <v>2419</v>
      </c>
      <c r="F322" s="67" t="s">
        <v>234</v>
      </c>
      <c r="G322" s="67" t="s">
        <v>234</v>
      </c>
      <c r="H322" s="67" t="s">
        <v>66</v>
      </c>
      <c r="I322" s="67" t="s">
        <v>97</v>
      </c>
      <c r="J322" s="67" t="s">
        <v>234</v>
      </c>
      <c r="K322" s="67" t="s">
        <v>113</v>
      </c>
      <c r="L322" s="67" t="s">
        <v>234</v>
      </c>
      <c r="M322" s="65" t="s">
        <v>46</v>
      </c>
      <c r="N322" s="65" t="s">
        <v>46</v>
      </c>
    </row>
    <row r="323" ht="15" customHeight="1" spans="1:14" x14ac:dyDescent="0.25">
      <c r="A323" s="60" t="s">
        <v>46</v>
      </c>
      <c r="B323" s="61" t="s">
        <v>94</v>
      </c>
      <c r="C323" s="62" t="s">
        <v>1077</v>
      </c>
      <c r="D323" s="61" t="s">
        <v>160</v>
      </c>
      <c r="E323" s="61" t="s">
        <v>1078</v>
      </c>
      <c r="F323" s="63" t="s">
        <v>234</v>
      </c>
      <c r="G323" s="63" t="s">
        <v>234</v>
      </c>
      <c r="H323" s="63" t="s">
        <v>66</v>
      </c>
      <c r="I323" s="63" t="s">
        <v>97</v>
      </c>
      <c r="J323" s="63" t="s">
        <v>234</v>
      </c>
      <c r="K323" s="63" t="s">
        <v>113</v>
      </c>
      <c r="L323" s="63" t="s">
        <v>234</v>
      </c>
      <c r="M323" s="61" t="s">
        <v>46</v>
      </c>
      <c r="N323" s="61" t="s">
        <v>46</v>
      </c>
    </row>
    <row r="324" ht="15" customHeight="1" spans="1:14" x14ac:dyDescent="0.25">
      <c r="A324" s="64" t="s">
        <v>46</v>
      </c>
      <c r="B324" s="65" t="s">
        <v>94</v>
      </c>
      <c r="C324" s="66" t="s">
        <v>1081</v>
      </c>
      <c r="D324" s="65" t="s">
        <v>160</v>
      </c>
      <c r="E324" s="65" t="s">
        <v>1082</v>
      </c>
      <c r="F324" s="67" t="s">
        <v>234</v>
      </c>
      <c r="G324" s="67" t="s">
        <v>234</v>
      </c>
      <c r="H324" s="67" t="s">
        <v>66</v>
      </c>
      <c r="I324" s="67" t="s">
        <v>97</v>
      </c>
      <c r="J324" s="67" t="s">
        <v>234</v>
      </c>
      <c r="K324" s="67" t="s">
        <v>113</v>
      </c>
      <c r="L324" s="67" t="s">
        <v>234</v>
      </c>
      <c r="M324" s="65" t="s">
        <v>46</v>
      </c>
      <c r="N324" s="65" t="s">
        <v>46</v>
      </c>
    </row>
    <row r="325" ht="15" customHeight="1" spans="1:14" x14ac:dyDescent="0.25">
      <c r="A325" s="60" t="s">
        <v>46</v>
      </c>
      <c r="B325" s="61" t="s">
        <v>94</v>
      </c>
      <c r="C325" s="62" t="s">
        <v>1107</v>
      </c>
      <c r="D325" s="61" t="s">
        <v>162</v>
      </c>
      <c r="E325" s="61" t="s">
        <v>1108</v>
      </c>
      <c r="F325" s="63" t="s">
        <v>234</v>
      </c>
      <c r="G325" s="63" t="s">
        <v>234</v>
      </c>
      <c r="H325" s="63" t="s">
        <v>66</v>
      </c>
      <c r="I325" s="63" t="s">
        <v>97</v>
      </c>
      <c r="J325" s="63" t="s">
        <v>234</v>
      </c>
      <c r="K325" s="63" t="s">
        <v>113</v>
      </c>
      <c r="L325" s="63" t="s">
        <v>234</v>
      </c>
      <c r="M325" s="61" t="s">
        <v>46</v>
      </c>
      <c r="N325" s="61" t="s">
        <v>46</v>
      </c>
    </row>
    <row r="326" ht="15" customHeight="1" spans="1:14" x14ac:dyDescent="0.25">
      <c r="A326" s="64" t="s">
        <v>46</v>
      </c>
      <c r="B326" s="65" t="s">
        <v>94</v>
      </c>
      <c r="C326" s="66" t="s">
        <v>1111</v>
      </c>
      <c r="D326" s="65" t="s">
        <v>162</v>
      </c>
      <c r="E326" s="65" t="s">
        <v>1112</v>
      </c>
      <c r="F326" s="67" t="s">
        <v>234</v>
      </c>
      <c r="G326" s="67" t="s">
        <v>234</v>
      </c>
      <c r="H326" s="67" t="s">
        <v>66</v>
      </c>
      <c r="I326" s="67" t="s">
        <v>97</v>
      </c>
      <c r="J326" s="67" t="s">
        <v>234</v>
      </c>
      <c r="K326" s="67" t="s">
        <v>113</v>
      </c>
      <c r="L326" s="67" t="s">
        <v>234</v>
      </c>
      <c r="M326" s="65" t="s">
        <v>46</v>
      </c>
      <c r="N326" s="65" t="s">
        <v>46</v>
      </c>
    </row>
    <row r="327" ht="15" customHeight="1" spans="1:14" x14ac:dyDescent="0.25">
      <c r="A327" s="60" t="s">
        <v>46</v>
      </c>
      <c r="B327" s="61" t="s">
        <v>94</v>
      </c>
      <c r="C327" s="62" t="s">
        <v>1115</v>
      </c>
      <c r="D327" s="61" t="s">
        <v>162</v>
      </c>
      <c r="E327" s="61" t="s">
        <v>1116</v>
      </c>
      <c r="F327" s="63" t="s">
        <v>234</v>
      </c>
      <c r="G327" s="63" t="s">
        <v>234</v>
      </c>
      <c r="H327" s="63" t="s">
        <v>66</v>
      </c>
      <c r="I327" s="63" t="s">
        <v>97</v>
      </c>
      <c r="J327" s="63" t="s">
        <v>234</v>
      </c>
      <c r="K327" s="63" t="s">
        <v>113</v>
      </c>
      <c r="L327" s="63" t="s">
        <v>234</v>
      </c>
      <c r="M327" s="61" t="s">
        <v>46</v>
      </c>
      <c r="N327" s="61" t="s">
        <v>46</v>
      </c>
    </row>
    <row r="328" ht="15" customHeight="1" spans="1:14" x14ac:dyDescent="0.25">
      <c r="A328" s="64" t="s">
        <v>46</v>
      </c>
      <c r="B328" s="65" t="s">
        <v>94</v>
      </c>
      <c r="C328" s="66" t="s">
        <v>1119</v>
      </c>
      <c r="D328" s="65" t="s">
        <v>162</v>
      </c>
      <c r="E328" s="65" t="s">
        <v>1120</v>
      </c>
      <c r="F328" s="67" t="s">
        <v>234</v>
      </c>
      <c r="G328" s="67" t="s">
        <v>234</v>
      </c>
      <c r="H328" s="67" t="s">
        <v>66</v>
      </c>
      <c r="I328" s="67" t="s">
        <v>97</v>
      </c>
      <c r="J328" s="67" t="s">
        <v>234</v>
      </c>
      <c r="K328" s="67" t="s">
        <v>113</v>
      </c>
      <c r="L328" s="67" t="s">
        <v>234</v>
      </c>
      <c r="M328" s="65" t="s">
        <v>46</v>
      </c>
      <c r="N328" s="65" t="s">
        <v>46</v>
      </c>
    </row>
    <row r="329" ht="15" customHeight="1" spans="1:14" x14ac:dyDescent="0.25">
      <c r="A329" s="60" t="s">
        <v>46</v>
      </c>
      <c r="B329" s="61" t="s">
        <v>94</v>
      </c>
      <c r="C329" s="62" t="s">
        <v>1124</v>
      </c>
      <c r="D329" s="61" t="s">
        <v>162</v>
      </c>
      <c r="E329" s="61" t="s">
        <v>1125</v>
      </c>
      <c r="F329" s="63" t="s">
        <v>234</v>
      </c>
      <c r="G329" s="63" t="s">
        <v>234</v>
      </c>
      <c r="H329" s="63" t="s">
        <v>66</v>
      </c>
      <c r="I329" s="63" t="s">
        <v>97</v>
      </c>
      <c r="J329" s="63" t="s">
        <v>234</v>
      </c>
      <c r="K329" s="63" t="s">
        <v>113</v>
      </c>
      <c r="L329" s="63" t="s">
        <v>234</v>
      </c>
      <c r="M329" s="61" t="s">
        <v>46</v>
      </c>
      <c r="N329" s="61" t="s">
        <v>46</v>
      </c>
    </row>
    <row r="330" ht="15" customHeight="1" spans="1:14" x14ac:dyDescent="0.25">
      <c r="A330" s="64" t="s">
        <v>46</v>
      </c>
      <c r="B330" s="65" t="s">
        <v>94</v>
      </c>
      <c r="C330" s="66" t="s">
        <v>1128</v>
      </c>
      <c r="D330" s="65" t="s">
        <v>162</v>
      </c>
      <c r="E330" s="65" t="s">
        <v>1129</v>
      </c>
      <c r="F330" s="67" t="s">
        <v>234</v>
      </c>
      <c r="G330" s="67" t="s">
        <v>234</v>
      </c>
      <c r="H330" s="67" t="s">
        <v>66</v>
      </c>
      <c r="I330" s="67" t="s">
        <v>97</v>
      </c>
      <c r="J330" s="67" t="s">
        <v>234</v>
      </c>
      <c r="K330" s="67" t="s">
        <v>113</v>
      </c>
      <c r="L330" s="67" t="s">
        <v>234</v>
      </c>
      <c r="M330" s="65" t="s">
        <v>46</v>
      </c>
      <c r="N330" s="65" t="s">
        <v>46</v>
      </c>
    </row>
    <row r="331" ht="15" customHeight="1" spans="1:14" x14ac:dyDescent="0.25">
      <c r="A331" s="60" t="s">
        <v>46</v>
      </c>
      <c r="B331" s="61" t="s">
        <v>94</v>
      </c>
      <c r="C331" s="62" t="s">
        <v>1132</v>
      </c>
      <c r="D331" s="61" t="s">
        <v>162</v>
      </c>
      <c r="E331" s="61" t="s">
        <v>1133</v>
      </c>
      <c r="F331" s="63" t="s">
        <v>234</v>
      </c>
      <c r="G331" s="63" t="s">
        <v>234</v>
      </c>
      <c r="H331" s="63" t="s">
        <v>66</v>
      </c>
      <c r="I331" s="63" t="s">
        <v>97</v>
      </c>
      <c r="J331" s="63" t="s">
        <v>234</v>
      </c>
      <c r="K331" s="63" t="s">
        <v>113</v>
      </c>
      <c r="L331" s="63" t="s">
        <v>234</v>
      </c>
      <c r="M331" s="61" t="s">
        <v>46</v>
      </c>
      <c r="N331" s="61" t="s">
        <v>46</v>
      </c>
    </row>
    <row r="332" ht="15" customHeight="1" spans="1:14" x14ac:dyDescent="0.25">
      <c r="A332" s="64" t="s">
        <v>46</v>
      </c>
      <c r="B332" s="65" t="s">
        <v>94</v>
      </c>
      <c r="C332" s="66" t="s">
        <v>1136</v>
      </c>
      <c r="D332" s="65" t="s">
        <v>162</v>
      </c>
      <c r="E332" s="65" t="s">
        <v>1137</v>
      </c>
      <c r="F332" s="67" t="s">
        <v>234</v>
      </c>
      <c r="G332" s="67" t="s">
        <v>234</v>
      </c>
      <c r="H332" s="67" t="s">
        <v>66</v>
      </c>
      <c r="I332" s="67" t="s">
        <v>97</v>
      </c>
      <c r="J332" s="67" t="s">
        <v>234</v>
      </c>
      <c r="K332" s="67" t="s">
        <v>113</v>
      </c>
      <c r="L332" s="67" t="s">
        <v>234</v>
      </c>
      <c r="M332" s="65" t="s">
        <v>46</v>
      </c>
      <c r="N332" s="65" t="s">
        <v>46</v>
      </c>
    </row>
    <row r="333" ht="15" customHeight="1" spans="1:14" x14ac:dyDescent="0.25">
      <c r="A333" s="60" t="s">
        <v>46</v>
      </c>
      <c r="B333" s="61" t="s">
        <v>94</v>
      </c>
      <c r="C333" s="62" t="s">
        <v>1140</v>
      </c>
      <c r="D333" s="61" t="s">
        <v>162</v>
      </c>
      <c r="E333" s="61" t="s">
        <v>1141</v>
      </c>
      <c r="F333" s="63" t="s">
        <v>234</v>
      </c>
      <c r="G333" s="63" t="s">
        <v>234</v>
      </c>
      <c r="H333" s="63" t="s">
        <v>66</v>
      </c>
      <c r="I333" s="63" t="s">
        <v>97</v>
      </c>
      <c r="J333" s="63" t="s">
        <v>234</v>
      </c>
      <c r="K333" s="63" t="s">
        <v>113</v>
      </c>
      <c r="L333" s="63" t="s">
        <v>234</v>
      </c>
      <c r="M333" s="61" t="s">
        <v>46</v>
      </c>
      <c r="N333" s="61" t="s">
        <v>46</v>
      </c>
    </row>
    <row r="334" ht="15" customHeight="1" spans="1:14" x14ac:dyDescent="0.25">
      <c r="A334" s="64" t="s">
        <v>46</v>
      </c>
      <c r="B334" s="65" t="s">
        <v>94</v>
      </c>
      <c r="C334" s="66" t="s">
        <v>1144</v>
      </c>
      <c r="D334" s="65" t="s">
        <v>162</v>
      </c>
      <c r="E334" s="65" t="s">
        <v>1145</v>
      </c>
      <c r="F334" s="67" t="s">
        <v>234</v>
      </c>
      <c r="G334" s="67" t="s">
        <v>234</v>
      </c>
      <c r="H334" s="67" t="s">
        <v>66</v>
      </c>
      <c r="I334" s="67" t="s">
        <v>97</v>
      </c>
      <c r="J334" s="67" t="s">
        <v>234</v>
      </c>
      <c r="K334" s="67" t="s">
        <v>113</v>
      </c>
      <c r="L334" s="67" t="s">
        <v>234</v>
      </c>
      <c r="M334" s="65" t="s">
        <v>46</v>
      </c>
      <c r="N334" s="65" t="s">
        <v>46</v>
      </c>
    </row>
    <row r="335" ht="15" customHeight="1" spans="1:14" x14ac:dyDescent="0.25">
      <c r="A335" s="60" t="s">
        <v>46</v>
      </c>
      <c r="B335" s="61" t="s">
        <v>94</v>
      </c>
      <c r="C335" s="62" t="s">
        <v>1148</v>
      </c>
      <c r="D335" s="61" t="s">
        <v>162</v>
      </c>
      <c r="E335" s="61" t="s">
        <v>1149</v>
      </c>
      <c r="F335" s="63" t="s">
        <v>234</v>
      </c>
      <c r="G335" s="63" t="s">
        <v>234</v>
      </c>
      <c r="H335" s="63" t="s">
        <v>66</v>
      </c>
      <c r="I335" s="63" t="s">
        <v>97</v>
      </c>
      <c r="J335" s="63" t="s">
        <v>234</v>
      </c>
      <c r="K335" s="63" t="s">
        <v>113</v>
      </c>
      <c r="L335" s="63" t="s">
        <v>234</v>
      </c>
      <c r="M335" s="61" t="s">
        <v>46</v>
      </c>
      <c r="N335" s="61" t="s">
        <v>46</v>
      </c>
    </row>
    <row r="336" ht="15" customHeight="1" spans="1:14" x14ac:dyDescent="0.25">
      <c r="A336" s="64" t="s">
        <v>46</v>
      </c>
      <c r="B336" s="65" t="s">
        <v>94</v>
      </c>
      <c r="C336" s="66" t="s">
        <v>1170</v>
      </c>
      <c r="D336" s="65" t="s">
        <v>162</v>
      </c>
      <c r="E336" s="65" t="s">
        <v>1171</v>
      </c>
      <c r="F336" s="67" t="s">
        <v>234</v>
      </c>
      <c r="G336" s="67" t="s">
        <v>234</v>
      </c>
      <c r="H336" s="67" t="s">
        <v>66</v>
      </c>
      <c r="I336" s="67" t="s">
        <v>97</v>
      </c>
      <c r="J336" s="67" t="s">
        <v>234</v>
      </c>
      <c r="K336" s="67" t="s">
        <v>113</v>
      </c>
      <c r="L336" s="67" t="s">
        <v>234</v>
      </c>
      <c r="M336" s="65" t="s">
        <v>46</v>
      </c>
      <c r="N336" s="65" t="s">
        <v>46</v>
      </c>
    </row>
    <row r="337" ht="15" customHeight="1" spans="1:14" x14ac:dyDescent="0.25">
      <c r="A337" s="60" t="s">
        <v>46</v>
      </c>
      <c r="B337" s="61" t="s">
        <v>94</v>
      </c>
      <c r="C337" s="62" t="s">
        <v>1339</v>
      </c>
      <c r="D337" s="61" t="s">
        <v>166</v>
      </c>
      <c r="E337" s="61" t="s">
        <v>1340</v>
      </c>
      <c r="F337" s="63" t="s">
        <v>234</v>
      </c>
      <c r="G337" s="63" t="s">
        <v>234</v>
      </c>
      <c r="H337" s="63" t="s">
        <v>66</v>
      </c>
      <c r="I337" s="63" t="s">
        <v>97</v>
      </c>
      <c r="J337" s="63" t="s">
        <v>234</v>
      </c>
      <c r="K337" s="63" t="s">
        <v>113</v>
      </c>
      <c r="L337" s="63" t="s">
        <v>234</v>
      </c>
      <c r="M337" s="61" t="s">
        <v>46</v>
      </c>
      <c r="N337" s="61" t="s">
        <v>46</v>
      </c>
    </row>
    <row r="338" ht="15" customHeight="1" spans="1:14" x14ac:dyDescent="0.25">
      <c r="A338" s="64" t="s">
        <v>46</v>
      </c>
      <c r="B338" s="65" t="s">
        <v>94</v>
      </c>
      <c r="C338" s="66" t="s">
        <v>1342</v>
      </c>
      <c r="D338" s="65" t="s">
        <v>166</v>
      </c>
      <c r="E338" s="65" t="s">
        <v>1343</v>
      </c>
      <c r="F338" s="67" t="s">
        <v>234</v>
      </c>
      <c r="G338" s="67" t="s">
        <v>234</v>
      </c>
      <c r="H338" s="67" t="s">
        <v>66</v>
      </c>
      <c r="I338" s="67" t="s">
        <v>97</v>
      </c>
      <c r="J338" s="67" t="s">
        <v>234</v>
      </c>
      <c r="K338" s="67" t="s">
        <v>113</v>
      </c>
      <c r="L338" s="67" t="s">
        <v>234</v>
      </c>
      <c r="M338" s="65" t="s">
        <v>46</v>
      </c>
      <c r="N338" s="65" t="s">
        <v>46</v>
      </c>
    </row>
    <row r="339" ht="15" customHeight="1" spans="1:14" x14ac:dyDescent="0.25">
      <c r="A339" s="60" t="s">
        <v>46</v>
      </c>
      <c r="B339" s="61" t="s">
        <v>94</v>
      </c>
      <c r="C339" s="62" t="s">
        <v>1346</v>
      </c>
      <c r="D339" s="61" t="s">
        <v>166</v>
      </c>
      <c r="E339" s="61" t="s">
        <v>1347</v>
      </c>
      <c r="F339" s="63" t="s">
        <v>234</v>
      </c>
      <c r="G339" s="63" t="s">
        <v>234</v>
      </c>
      <c r="H339" s="63" t="s">
        <v>66</v>
      </c>
      <c r="I339" s="63" t="s">
        <v>97</v>
      </c>
      <c r="J339" s="63" t="s">
        <v>234</v>
      </c>
      <c r="K339" s="63" t="s">
        <v>113</v>
      </c>
      <c r="L339" s="63" t="s">
        <v>234</v>
      </c>
      <c r="M339" s="61" t="s">
        <v>46</v>
      </c>
      <c r="N339" s="61" t="s">
        <v>46</v>
      </c>
    </row>
    <row r="340" ht="15" customHeight="1" spans="1:14" x14ac:dyDescent="0.25">
      <c r="A340" s="64" t="s">
        <v>46</v>
      </c>
      <c r="B340" s="65" t="s">
        <v>94</v>
      </c>
      <c r="C340" s="66" t="s">
        <v>1382</v>
      </c>
      <c r="D340" s="65" t="s">
        <v>168</v>
      </c>
      <c r="E340" s="65" t="s">
        <v>1384</v>
      </c>
      <c r="F340" s="67" t="s">
        <v>234</v>
      </c>
      <c r="G340" s="67" t="s">
        <v>234</v>
      </c>
      <c r="H340" s="67" t="s">
        <v>66</v>
      </c>
      <c r="I340" s="67" t="s">
        <v>97</v>
      </c>
      <c r="J340" s="67" t="s">
        <v>234</v>
      </c>
      <c r="K340" s="67" t="s">
        <v>113</v>
      </c>
      <c r="L340" s="67" t="s">
        <v>234</v>
      </c>
      <c r="M340" s="65" t="s">
        <v>46</v>
      </c>
      <c r="N340" s="65" t="s">
        <v>46</v>
      </c>
    </row>
    <row r="341" ht="15" customHeight="1" spans="1:14" x14ac:dyDescent="0.25">
      <c r="A341" s="60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</row>
    <row r="342" ht="15" customHeight="1" spans="1:14" x14ac:dyDescent="0.25">
      <c r="A342" s="64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</row>
    <row r="343" ht="15" customHeight="1" spans="1:14" x14ac:dyDescent="0.25">
      <c r="A343" s="60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</row>
    <row r="344" ht="15" customHeight="1" spans="1:14" x14ac:dyDescent="0.25">
      <c r="A344" s="64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</row>
    <row r="345" ht="15" customHeight="1" spans="1:14" x14ac:dyDescent="0.25">
      <c r="A345" s="60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</row>
    <row r="346" ht="15" customHeight="1" spans="1:14" x14ac:dyDescent="0.25">
      <c r="A346" s="64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</row>
    <row r="347" ht="15" customHeight="1" spans="1:14" x14ac:dyDescent="0.25">
      <c r="A347" s="60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</row>
    <row r="348" ht="15" customHeight="1" spans="1:14" x14ac:dyDescent="0.25">
      <c r="A348" s="64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</row>
    <row r="349" ht="15" customHeight="1" spans="1:14" x14ac:dyDescent="0.25">
      <c r="A349" s="60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</row>
    <row r="350" ht="15" customHeight="1" spans="1:14" x14ac:dyDescent="0.25">
      <c r="A350" s="64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</row>
    <row r="351" ht="15" customHeight="1" spans="1:14" x14ac:dyDescent="0.25">
      <c r="A351" s="60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</row>
    <row r="352" ht="15" customHeight="1" spans="1:14" x14ac:dyDescent="0.25">
      <c r="A352" s="64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</row>
    <row r="353" ht="15" customHeight="1" spans="1:14" x14ac:dyDescent="0.25">
      <c r="A353" s="60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</row>
    <row r="354" ht="15" customHeight="1" spans="1:14" x14ac:dyDescent="0.25">
      <c r="A354" s="64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</row>
    <row r="355" ht="15" customHeight="1" spans="1:14" x14ac:dyDescent="0.25">
      <c r="A355" s="60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</row>
    <row r="356" ht="15" customHeight="1" spans="1:14" x14ac:dyDescent="0.25">
      <c r="A356" s="64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</row>
    <row r="357" ht="15" customHeight="1" spans="1:14" x14ac:dyDescent="0.25">
      <c r="A357" s="60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</row>
    <row r="358" ht="15" customHeight="1" spans="1:14" x14ac:dyDescent="0.25">
      <c r="A358" s="64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</row>
    <row r="359" ht="15" customHeight="1" spans="1:14" x14ac:dyDescent="0.25">
      <c r="A359" s="60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</row>
    <row r="360" ht="15" customHeight="1" spans="1:14" x14ac:dyDescent="0.25">
      <c r="A360" s="64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</row>
    <row r="361" ht="15" customHeight="1" spans="1:14" x14ac:dyDescent="0.25">
      <c r="A361" s="60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</row>
    <row r="362" ht="15" customHeight="1" spans="1:14" x14ac:dyDescent="0.25">
      <c r="A362" s="64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</row>
    <row r="363" ht="15" customHeight="1" spans="1:14" x14ac:dyDescent="0.25">
      <c r="A363" s="60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</row>
    <row r="364" ht="15" customHeight="1" spans="1:14" x14ac:dyDescent="0.25">
      <c r="A364" s="64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</row>
    <row r="365" ht="15" customHeight="1" spans="1:14" x14ac:dyDescent="0.25">
      <c r="A365" s="60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</row>
    <row r="366" ht="15" customHeight="1" spans="1:14" x14ac:dyDescent="0.25">
      <c r="A366" s="64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</row>
    <row r="367" ht="15" customHeight="1" spans="1:14" x14ac:dyDescent="0.25">
      <c r="A367" s="60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</row>
    <row r="368" ht="15" customHeight="1" spans="1:14" x14ac:dyDescent="0.25">
      <c r="A368" s="64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</row>
    <row r="369" ht="15" customHeight="1" spans="1:14" x14ac:dyDescent="0.25">
      <c r="A369" s="60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</row>
    <row r="370" ht="15" customHeight="1" spans="1:14" x14ac:dyDescent="0.25">
      <c r="A370" s="64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</row>
    <row r="371" ht="15" customHeight="1" spans="1:14" x14ac:dyDescent="0.25">
      <c r="A371" s="60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</row>
    <row r="372" ht="15" customHeight="1" spans="1:14" x14ac:dyDescent="0.25">
      <c r="A372" s="64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</row>
    <row r="373" ht="15" customHeight="1" spans="1:14" x14ac:dyDescent="0.25">
      <c r="A373" s="60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</row>
    <row r="374" ht="15" customHeight="1" spans="1:14" x14ac:dyDescent="0.25">
      <c r="A374" s="64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</row>
    <row r="375" ht="15" customHeight="1" spans="1:14" x14ac:dyDescent="0.25">
      <c r="A375" s="60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</row>
    <row r="376" ht="15" customHeight="1" spans="1:14" x14ac:dyDescent="0.25">
      <c r="A376" s="64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</row>
    <row r="377" ht="15" customHeight="1" spans="1:14" x14ac:dyDescent="0.25">
      <c r="A377" s="60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</row>
    <row r="378" ht="15" customHeight="1" spans="1:14" x14ac:dyDescent="0.25">
      <c r="A378" s="64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</row>
    <row r="379" ht="15" customHeight="1" spans="1:14" x14ac:dyDescent="0.25">
      <c r="A379" s="60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</row>
    <row r="380" ht="15" customHeight="1" spans="1:14" x14ac:dyDescent="0.25">
      <c r="A380" s="64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</row>
    <row r="381" ht="15" customHeight="1" spans="1:14" x14ac:dyDescent="0.25">
      <c r="A381" s="60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</row>
    <row r="382" ht="15" customHeight="1" spans="1:14" x14ac:dyDescent="0.25">
      <c r="A382" s="64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</row>
    <row r="383" ht="15" customHeight="1" spans="1:14" x14ac:dyDescent="0.25">
      <c r="A383" s="60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</row>
    <row r="384" ht="15" customHeight="1" spans="1:14" x14ac:dyDescent="0.25">
      <c r="A384" s="64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</row>
    <row r="385" ht="15" customHeight="1" spans="1:14" x14ac:dyDescent="0.25">
      <c r="A385" s="60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</row>
    <row r="386" ht="15" customHeight="1" spans="1:14" x14ac:dyDescent="0.25">
      <c r="A386" s="64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</row>
    <row r="387" ht="15" customHeight="1" spans="1:14" x14ac:dyDescent="0.25">
      <c r="A387" s="60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</row>
    <row r="388" ht="15" customHeight="1" spans="1:14" x14ac:dyDescent="0.25">
      <c r="A388" s="64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</row>
    <row r="389" ht="15" customHeight="1" spans="1:14" x14ac:dyDescent="0.25">
      <c r="A389" s="60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</row>
    <row r="390" ht="15" customHeight="1" spans="1:14" x14ac:dyDescent="0.25">
      <c r="A390" s="64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</row>
    <row r="391" ht="15" customHeight="1" spans="1:14" x14ac:dyDescent="0.25">
      <c r="A391" s="60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</row>
    <row r="392" ht="15" customHeight="1" spans="1:14" x14ac:dyDescent="0.25">
      <c r="A392" s="64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</row>
    <row r="393" ht="15" customHeight="1" spans="1:14" x14ac:dyDescent="0.25">
      <c r="A393" s="60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</row>
    <row r="394" ht="15" customHeight="1" spans="1:14" x14ac:dyDescent="0.25">
      <c r="A394" s="64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</row>
    <row r="395" ht="15" customHeight="1" spans="1:14" x14ac:dyDescent="0.25">
      <c r="A395" s="60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</row>
    <row r="396" ht="15" customHeight="1" spans="1:14" x14ac:dyDescent="0.25">
      <c r="A396" s="64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</row>
    <row r="397" ht="15" customHeight="1" spans="1:14" x14ac:dyDescent="0.25">
      <c r="A397" s="60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</row>
    <row r="398" ht="15" customHeight="1" spans="1:14" x14ac:dyDescent="0.25">
      <c r="A398" s="64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</row>
    <row r="399" ht="15" customHeight="1" spans="1:14" x14ac:dyDescent="0.25">
      <c r="A399" s="60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</row>
    <row r="400" ht="15" customHeight="1" spans="1:14" x14ac:dyDescent="0.25">
      <c r="A400" s="64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</row>
    <row r="401" ht="15" customHeight="1" spans="1:14" x14ac:dyDescent="0.25">
      <c r="A401" s="60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</row>
    <row r="402" ht="15" customHeight="1" spans="1:14" x14ac:dyDescent="0.25">
      <c r="A402" s="64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</row>
    <row r="403" ht="15" customHeight="1" spans="1:14" x14ac:dyDescent="0.25">
      <c r="A403" s="60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</row>
    <row r="404" ht="15" customHeight="1" spans="1:14" x14ac:dyDescent="0.25">
      <c r="A404" s="64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</row>
    <row r="405" ht="15" customHeight="1" spans="1:14" x14ac:dyDescent="0.25">
      <c r="A405" s="60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</row>
    <row r="406" ht="15" customHeight="1" spans="1:14" x14ac:dyDescent="0.25">
      <c r="A406" s="64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</row>
    <row r="407" ht="15" customHeight="1" spans="1:14" x14ac:dyDescent="0.25">
      <c r="A407" s="60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</row>
    <row r="408" ht="15" customHeight="1" spans="1:14" x14ac:dyDescent="0.25">
      <c r="A408" s="64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</row>
    <row r="409" ht="15" customHeight="1" spans="1:14" x14ac:dyDescent="0.25">
      <c r="A409" s="60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</row>
    <row r="410" ht="15" customHeight="1" spans="1:14" x14ac:dyDescent="0.25">
      <c r="A410" s="64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</row>
    <row r="411" ht="15" customHeight="1" spans="1:14" x14ac:dyDescent="0.25">
      <c r="A411" s="60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</row>
    <row r="412" ht="15" customHeight="1" spans="1:14" x14ac:dyDescent="0.25">
      <c r="A412" s="64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</row>
    <row r="413" ht="15" customHeight="1" spans="1:14" x14ac:dyDescent="0.25">
      <c r="A413" s="60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</row>
    <row r="414" ht="15" customHeight="1" spans="1:14" x14ac:dyDescent="0.25">
      <c r="A414" s="64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</row>
    <row r="415" ht="15" customHeight="1" spans="1:14" x14ac:dyDescent="0.25">
      <c r="A415" s="60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</row>
    <row r="416" ht="15" customHeight="1" spans="1:14" x14ac:dyDescent="0.25">
      <c r="A416" s="64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</row>
    <row r="417" ht="15" customHeight="1" spans="1:14" x14ac:dyDescent="0.25">
      <c r="A417" s="60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</row>
    <row r="418" ht="15" customHeight="1" spans="1:14" x14ac:dyDescent="0.25">
      <c r="A418" s="64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</row>
    <row r="419" ht="15" customHeight="1" spans="1:14" x14ac:dyDescent="0.25">
      <c r="A419" s="60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</row>
    <row r="420" ht="15" customHeight="1" spans="1:14" x14ac:dyDescent="0.25">
      <c r="A420" s="64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</row>
    <row r="421" ht="15" customHeight="1" spans="1:14" x14ac:dyDescent="0.25">
      <c r="A421" s="60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</row>
    <row r="422" ht="15" customHeight="1" spans="1:14" x14ac:dyDescent="0.25">
      <c r="A422" s="64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</row>
    <row r="423" ht="15" customHeight="1" spans="1:14" x14ac:dyDescent="0.25">
      <c r="A423" s="60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</row>
    <row r="424" ht="15" customHeight="1" spans="1:14" x14ac:dyDescent="0.25">
      <c r="A424" s="64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</row>
    <row r="425" ht="15" customHeight="1" spans="1:14" x14ac:dyDescent="0.25">
      <c r="A425" s="60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</row>
    <row r="426" ht="15" customHeight="1" spans="1:14" x14ac:dyDescent="0.25">
      <c r="A426" s="64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</row>
    <row r="427" ht="15" customHeight="1" spans="1:14" x14ac:dyDescent="0.25">
      <c r="A427" s="60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</row>
    <row r="428" ht="15" customHeight="1" spans="1:14" x14ac:dyDescent="0.25">
      <c r="A428" s="64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</row>
    <row r="429" ht="15" customHeight="1" spans="1:14" x14ac:dyDescent="0.25">
      <c r="A429" s="60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</row>
    <row r="430" ht="15" customHeight="1" spans="1:14" x14ac:dyDescent="0.25">
      <c r="A430" s="64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</row>
    <row r="431" ht="15" customHeight="1" spans="1:14" x14ac:dyDescent="0.25">
      <c r="A431" s="60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</row>
    <row r="432" ht="15" customHeight="1" spans="1:14" x14ac:dyDescent="0.25">
      <c r="A432" s="64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</row>
    <row r="433" ht="15" customHeight="1" spans="1:14" x14ac:dyDescent="0.25">
      <c r="A433" s="60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</row>
    <row r="434" ht="15" customHeight="1" spans="1:14" x14ac:dyDescent="0.25">
      <c r="A434" s="64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</row>
    <row r="435" ht="15" customHeight="1" spans="1:14" x14ac:dyDescent="0.25">
      <c r="A435" s="60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</row>
    <row r="436" ht="15" customHeight="1" spans="1:14" x14ac:dyDescent="0.25">
      <c r="A436" s="64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</row>
    <row r="437" ht="15" customHeight="1" spans="1:14" x14ac:dyDescent="0.25">
      <c r="A437" s="60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</row>
    <row r="438" ht="15" customHeight="1" spans="1:14" x14ac:dyDescent="0.25">
      <c r="A438" s="64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</row>
    <row r="439" ht="15" customHeight="1" spans="1:14" x14ac:dyDescent="0.25">
      <c r="A439" s="60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</row>
    <row r="440" ht="15" customHeight="1" spans="1:14" x14ac:dyDescent="0.25">
      <c r="A440" s="64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</row>
    <row r="441" ht="15" customHeight="1" spans="1:14" x14ac:dyDescent="0.25">
      <c r="A441" s="60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</row>
    <row r="442" ht="15" customHeight="1" spans="1:14" x14ac:dyDescent="0.25">
      <c r="A442" s="64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</row>
    <row r="443" ht="15" customHeight="1" spans="1:14" x14ac:dyDescent="0.25">
      <c r="A443" s="60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</row>
    <row r="444" ht="15" customHeight="1" spans="1:14" x14ac:dyDescent="0.25">
      <c r="A444" s="64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</row>
    <row r="445" ht="15" customHeight="1" spans="1:14" x14ac:dyDescent="0.25">
      <c r="A445" s="60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</row>
    <row r="446" ht="15" customHeight="1" spans="1:14" x14ac:dyDescent="0.25">
      <c r="A446" s="64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</row>
    <row r="447" ht="15" customHeight="1" spans="1:14" x14ac:dyDescent="0.25">
      <c r="A447" s="60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</row>
    <row r="448" ht="15" customHeight="1" spans="1:14" x14ac:dyDescent="0.25">
      <c r="A448" s="64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</row>
    <row r="449" ht="15" customHeight="1" spans="1:14" x14ac:dyDescent="0.25">
      <c r="A449" s="60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</row>
    <row r="450" ht="15" customHeight="1" spans="1:14" x14ac:dyDescent="0.25">
      <c r="A450" s="64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</row>
    <row r="451" ht="15" customHeight="1" spans="1:14" x14ac:dyDescent="0.25">
      <c r="A451" s="60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</row>
    <row r="452" ht="15" customHeight="1" spans="1:14" x14ac:dyDescent="0.25">
      <c r="A452" s="64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</row>
    <row r="453" ht="15" customHeight="1" spans="1:14" x14ac:dyDescent="0.25">
      <c r="A453" s="60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</row>
    <row r="454" ht="15" customHeight="1" spans="1:14" x14ac:dyDescent="0.25">
      <c r="A454" s="64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</row>
    <row r="455" ht="15" customHeight="1" spans="1:14" x14ac:dyDescent="0.25">
      <c r="A455" s="60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</row>
    <row r="456" ht="15" customHeight="1" spans="1:14" x14ac:dyDescent="0.25">
      <c r="A456" s="64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</row>
    <row r="457" ht="15" customHeight="1" spans="1:14" x14ac:dyDescent="0.25">
      <c r="A457" s="60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</row>
    <row r="458" ht="15" customHeight="1" spans="1:14" x14ac:dyDescent="0.25">
      <c r="A458" s="64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</row>
    <row r="459" ht="15" customHeight="1" spans="1:14" x14ac:dyDescent="0.25">
      <c r="A459" s="60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</row>
    <row r="460" ht="15" customHeight="1" spans="1:14" x14ac:dyDescent="0.25">
      <c r="A460" s="64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</row>
  </sheetData>
  <autoFilter ref="A4:N460"/>
  <mergeCells count="3">
    <mergeCell ref="A1:N1"/>
    <mergeCell ref="A2:N2"/>
    <mergeCell ref="A3:N3"/>
  </mergeCells>
  <conditionalFormatting sqref="A5:N460">
    <cfRule type="expression" dxfId="27" priority="1">
      <formula>$H5="Blocked"</formula>
    </cfRule>
    <cfRule type="expression" dxfId="28" priority="2">
      <formula>$H5="Completed"</formula>
    </cfRule>
    <cfRule type="expression" dxfId="29" priority="3">
      <formula>LEN($M5)&gt;0</formula>
    </cfRule>
  </conditionalFormatting>
  <dataValidations count="6">
    <dataValidation type="list" allowBlank="1" showErrorMessage="1" errorStyle="warning" errorTitle="Value not in list" error="Pick a value from the drop-down, or override deliberately." sqref="B5:B460">
      <formula1>'13_Dropdowns'!$Q$2:$Q$18</formula1>
    </dataValidation>
    <dataValidation type="list" allowBlank="1" showErrorMessage="1" errorStyle="warning" errorTitle="Value not in list" error="Pick a value from the drop-down, or override deliberately." sqref="F5:G460">
      <formula1>'13_Dropdowns'!$F$2:$F$4</formula1>
    </dataValidation>
    <dataValidation type="list" allowBlank="1" showErrorMessage="1" errorStyle="warning" errorTitle="Value not in list" error="Pick a value from the drop-down, or override deliberately." sqref="H5:H460">
      <formula1>'13_Dropdowns'!$A$2:$A$14</formula1>
    </dataValidation>
    <dataValidation type="list" allowBlank="1" showErrorMessage="1" errorStyle="warning" errorTitle="Value not in list" error="Pick a value from the drop-down, or override deliberately." sqref="J5:J460">
      <formula1>'13_Dropdowns'!$F$2:$F$4</formula1>
    </dataValidation>
    <dataValidation type="list" allowBlank="1" showErrorMessage="1" errorStyle="warning" errorTitle="Value not in list" error="Pick a value from the drop-down, or override deliberately." sqref="K5:K460">
      <formula1>'13_Dropdowns'!$H$2:$H$6</formula1>
    </dataValidation>
    <dataValidation type="list" allowBlank="1" showErrorMessage="1" errorStyle="warning" errorTitle="Value not in list" error="Pick a value from the drop-down, or override deliberately." sqref="L5:L460">
      <formula1>'13_Dropdowns'!$F$2:$F$4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672"/>
  </sheetPr>
  <dimension ref="A1:L30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13" customWidth="1"/>
    <col min="2" max="2" width="12" customWidth="1"/>
    <col min="3" max="3" width="10" customWidth="1"/>
    <col min="4" max="4" width="15" customWidth="1"/>
    <col min="5" max="5" width="32" customWidth="1"/>
    <col min="6" max="6" width="20" customWidth="1"/>
    <col min="7" max="7" width="52" customWidth="1"/>
    <col min="8" max="8" width="20" customWidth="1"/>
    <col min="9" max="9" width="18" customWidth="1"/>
    <col min="10" max="10" width="13" customWidth="1"/>
    <col min="11" max="11" width="14" customWidth="1"/>
    <col min="12" max="12" width="40" customWidth="1"/>
  </cols>
  <sheetData>
    <row r="1" ht="26" customHeight="1" spans="1:12" x14ac:dyDescent="0.25">
      <c r="A1" s="33" t="s">
        <v>2464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ht="18" customHeight="1" spans="1:12" x14ac:dyDescent="0.25">
      <c r="A2" s="34" t="s">
        <v>2465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</row>
    <row r="3" ht="16" customHeight="1" spans="1:12" x14ac:dyDescent="0.25">
      <c r="A3" s="59" t="s">
        <v>2459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</row>
    <row r="4" ht="32" customHeight="1" spans="1:12" x14ac:dyDescent="0.25">
      <c r="A4" s="37" t="s">
        <v>2466</v>
      </c>
      <c r="B4" s="37" t="s">
        <v>2460</v>
      </c>
      <c r="C4" s="37" t="s">
        <v>76</v>
      </c>
      <c r="D4" s="37" t="s">
        <v>209</v>
      </c>
      <c r="E4" s="37" t="s">
        <v>138</v>
      </c>
      <c r="F4" s="37" t="s">
        <v>222</v>
      </c>
      <c r="G4" s="37" t="s">
        <v>2467</v>
      </c>
      <c r="H4" s="37" t="s">
        <v>2468</v>
      </c>
      <c r="I4" s="37" t="s">
        <v>2469</v>
      </c>
      <c r="J4" s="37" t="s">
        <v>2470</v>
      </c>
      <c r="K4" s="37" t="s">
        <v>63</v>
      </c>
      <c r="L4" s="37" t="s">
        <v>225</v>
      </c>
    </row>
    <row r="5" ht="15" customHeight="1" spans="1:12" x14ac:dyDescent="0.25">
      <c r="A5" s="61"/>
      <c r="B5" s="60"/>
      <c r="C5" s="61"/>
      <c r="D5" s="61"/>
      <c r="E5" s="61"/>
      <c r="F5" s="61"/>
      <c r="G5" s="61"/>
      <c r="H5" s="61"/>
      <c r="I5" s="61"/>
      <c r="J5" s="68"/>
      <c r="K5" s="61"/>
      <c r="L5" s="61"/>
    </row>
    <row r="6" ht="15" customHeight="1" spans="1:12" x14ac:dyDescent="0.25">
      <c r="A6" s="65"/>
      <c r="B6" s="64"/>
      <c r="C6" s="65"/>
      <c r="D6" s="65"/>
      <c r="E6" s="65"/>
      <c r="F6" s="65"/>
      <c r="G6" s="65"/>
      <c r="H6" s="65"/>
      <c r="I6" s="65"/>
      <c r="J6" s="69"/>
      <c r="K6" s="65"/>
      <c r="L6" s="65"/>
    </row>
    <row r="7" ht="15" customHeight="1" spans="1:12" x14ac:dyDescent="0.25">
      <c r="A7" s="61"/>
      <c r="B7" s="60"/>
      <c r="C7" s="61"/>
      <c r="D7" s="61"/>
      <c r="E7" s="61"/>
      <c r="F7" s="61"/>
      <c r="G7" s="61"/>
      <c r="H7" s="61"/>
      <c r="I7" s="61"/>
      <c r="J7" s="68"/>
      <c r="K7" s="61"/>
      <c r="L7" s="61"/>
    </row>
    <row r="8" ht="15" customHeight="1" spans="1:12" x14ac:dyDescent="0.25">
      <c r="A8" s="65"/>
      <c r="B8" s="64"/>
      <c r="C8" s="65"/>
      <c r="D8" s="65"/>
      <c r="E8" s="65"/>
      <c r="F8" s="65"/>
      <c r="G8" s="65"/>
      <c r="H8" s="65"/>
      <c r="I8" s="65"/>
      <c r="J8" s="69"/>
      <c r="K8" s="65"/>
      <c r="L8" s="65"/>
    </row>
    <row r="9" ht="15" customHeight="1" spans="1:12" x14ac:dyDescent="0.25">
      <c r="A9" s="61"/>
      <c r="B9" s="60"/>
      <c r="C9" s="61"/>
      <c r="D9" s="61"/>
      <c r="E9" s="61"/>
      <c r="F9" s="61"/>
      <c r="G9" s="61"/>
      <c r="H9" s="61"/>
      <c r="I9" s="61"/>
      <c r="J9" s="68"/>
      <c r="K9" s="61"/>
      <c r="L9" s="61"/>
    </row>
    <row r="10" ht="15" customHeight="1" spans="1:12" x14ac:dyDescent="0.25">
      <c r="A10" s="65"/>
      <c r="B10" s="64"/>
      <c r="C10" s="65"/>
      <c r="D10" s="65"/>
      <c r="E10" s="65"/>
      <c r="F10" s="65"/>
      <c r="G10" s="65"/>
      <c r="H10" s="65"/>
      <c r="I10" s="65"/>
      <c r="J10" s="69"/>
      <c r="K10" s="65"/>
      <c r="L10" s="65"/>
    </row>
    <row r="11" ht="15" customHeight="1" spans="1:12" x14ac:dyDescent="0.25">
      <c r="A11" s="61"/>
      <c r="B11" s="60"/>
      <c r="C11" s="61"/>
      <c r="D11" s="61"/>
      <c r="E11" s="61"/>
      <c r="F11" s="61"/>
      <c r="G11" s="61"/>
      <c r="H11" s="61"/>
      <c r="I11" s="61"/>
      <c r="J11" s="68"/>
      <c r="K11" s="61"/>
      <c r="L11" s="61"/>
    </row>
    <row r="12" ht="15" customHeight="1" spans="1:12" x14ac:dyDescent="0.25">
      <c r="A12" s="65"/>
      <c r="B12" s="64"/>
      <c r="C12" s="65"/>
      <c r="D12" s="65"/>
      <c r="E12" s="65"/>
      <c r="F12" s="65"/>
      <c r="G12" s="65"/>
      <c r="H12" s="65"/>
      <c r="I12" s="65"/>
      <c r="J12" s="69"/>
      <c r="K12" s="65"/>
      <c r="L12" s="65"/>
    </row>
    <row r="13" ht="15" customHeight="1" spans="1:12" x14ac:dyDescent="0.25">
      <c r="A13" s="61"/>
      <c r="B13" s="60"/>
      <c r="C13" s="61"/>
      <c r="D13" s="61"/>
      <c r="E13" s="61"/>
      <c r="F13" s="61"/>
      <c r="G13" s="61"/>
      <c r="H13" s="61"/>
      <c r="I13" s="61"/>
      <c r="J13" s="68"/>
      <c r="K13" s="61"/>
      <c r="L13" s="61"/>
    </row>
    <row r="14" ht="15" customHeight="1" spans="1:12" x14ac:dyDescent="0.25">
      <c r="A14" s="65"/>
      <c r="B14" s="64"/>
      <c r="C14" s="65"/>
      <c r="D14" s="65"/>
      <c r="E14" s="65"/>
      <c r="F14" s="65"/>
      <c r="G14" s="65"/>
      <c r="H14" s="65"/>
      <c r="I14" s="65"/>
      <c r="J14" s="69"/>
      <c r="K14" s="65"/>
      <c r="L14" s="65"/>
    </row>
    <row r="15" ht="15" customHeight="1" spans="1:12" x14ac:dyDescent="0.25">
      <c r="A15" s="61"/>
      <c r="B15" s="60"/>
      <c r="C15" s="61"/>
      <c r="D15" s="61"/>
      <c r="E15" s="61"/>
      <c r="F15" s="61"/>
      <c r="G15" s="61"/>
      <c r="H15" s="61"/>
      <c r="I15" s="61"/>
      <c r="J15" s="68"/>
      <c r="K15" s="61"/>
      <c r="L15" s="61"/>
    </row>
    <row r="16" ht="15" customHeight="1" spans="1:12" x14ac:dyDescent="0.25">
      <c r="A16" s="65"/>
      <c r="B16" s="64"/>
      <c r="C16" s="65"/>
      <c r="D16" s="65"/>
      <c r="E16" s="65"/>
      <c r="F16" s="65"/>
      <c r="G16" s="65"/>
      <c r="H16" s="65"/>
      <c r="I16" s="65"/>
      <c r="J16" s="69"/>
      <c r="K16" s="65"/>
      <c r="L16" s="65"/>
    </row>
    <row r="17" ht="15" customHeight="1" spans="1:12" x14ac:dyDescent="0.25">
      <c r="A17" s="61"/>
      <c r="B17" s="60"/>
      <c r="C17" s="61"/>
      <c r="D17" s="61"/>
      <c r="E17" s="61"/>
      <c r="F17" s="61"/>
      <c r="G17" s="61"/>
      <c r="H17" s="61"/>
      <c r="I17" s="61"/>
      <c r="J17" s="68"/>
      <c r="K17" s="61"/>
      <c r="L17" s="61"/>
    </row>
    <row r="18" ht="15" customHeight="1" spans="1:12" x14ac:dyDescent="0.25">
      <c r="A18" s="65"/>
      <c r="B18" s="64"/>
      <c r="C18" s="65"/>
      <c r="D18" s="65"/>
      <c r="E18" s="65"/>
      <c r="F18" s="65"/>
      <c r="G18" s="65"/>
      <c r="H18" s="65"/>
      <c r="I18" s="65"/>
      <c r="J18" s="69"/>
      <c r="K18" s="65"/>
      <c r="L18" s="65"/>
    </row>
    <row r="19" ht="15" customHeight="1" spans="1:12" x14ac:dyDescent="0.25">
      <c r="A19" s="61"/>
      <c r="B19" s="60"/>
      <c r="C19" s="61"/>
      <c r="D19" s="61"/>
      <c r="E19" s="61"/>
      <c r="F19" s="61"/>
      <c r="G19" s="61"/>
      <c r="H19" s="61"/>
      <c r="I19" s="61"/>
      <c r="J19" s="68"/>
      <c r="K19" s="61"/>
      <c r="L19" s="61"/>
    </row>
    <row r="20" ht="15" customHeight="1" spans="1:12" x14ac:dyDescent="0.25">
      <c r="A20" s="65"/>
      <c r="B20" s="64"/>
      <c r="C20" s="65"/>
      <c r="D20" s="65"/>
      <c r="E20" s="65"/>
      <c r="F20" s="65"/>
      <c r="G20" s="65"/>
      <c r="H20" s="65"/>
      <c r="I20" s="65"/>
      <c r="J20" s="69"/>
      <c r="K20" s="65"/>
      <c r="L20" s="65"/>
    </row>
    <row r="21" ht="15" customHeight="1" spans="1:12" x14ac:dyDescent="0.25">
      <c r="A21" s="61"/>
      <c r="B21" s="60"/>
      <c r="C21" s="61"/>
      <c r="D21" s="61"/>
      <c r="E21" s="61"/>
      <c r="F21" s="61"/>
      <c r="G21" s="61"/>
      <c r="H21" s="61"/>
      <c r="I21" s="61"/>
      <c r="J21" s="68"/>
      <c r="K21" s="61"/>
      <c r="L21" s="61"/>
    </row>
    <row r="22" ht="15" customHeight="1" spans="1:12" x14ac:dyDescent="0.25">
      <c r="A22" s="65"/>
      <c r="B22" s="64"/>
      <c r="C22" s="65"/>
      <c r="D22" s="65"/>
      <c r="E22" s="65"/>
      <c r="F22" s="65"/>
      <c r="G22" s="65"/>
      <c r="H22" s="65"/>
      <c r="I22" s="65"/>
      <c r="J22" s="69"/>
      <c r="K22" s="65"/>
      <c r="L22" s="65"/>
    </row>
    <row r="23" ht="15" customHeight="1" spans="1:12" x14ac:dyDescent="0.25">
      <c r="A23" s="61"/>
      <c r="B23" s="60"/>
      <c r="C23" s="61"/>
      <c r="D23" s="61"/>
      <c r="E23" s="61"/>
      <c r="F23" s="61"/>
      <c r="G23" s="61"/>
      <c r="H23" s="61"/>
      <c r="I23" s="61"/>
      <c r="J23" s="68"/>
      <c r="K23" s="61"/>
      <c r="L23" s="61"/>
    </row>
    <row r="24" ht="15" customHeight="1" spans="1:12" x14ac:dyDescent="0.25">
      <c r="A24" s="65"/>
      <c r="B24" s="64"/>
      <c r="C24" s="65"/>
      <c r="D24" s="65"/>
      <c r="E24" s="65"/>
      <c r="F24" s="65"/>
      <c r="G24" s="65"/>
      <c r="H24" s="65"/>
      <c r="I24" s="65"/>
      <c r="J24" s="69"/>
      <c r="K24" s="65"/>
      <c r="L24" s="65"/>
    </row>
    <row r="25" ht="15" customHeight="1" spans="1:12" x14ac:dyDescent="0.25">
      <c r="A25" s="61"/>
      <c r="B25" s="60"/>
      <c r="C25" s="61"/>
      <c r="D25" s="61"/>
      <c r="E25" s="61"/>
      <c r="F25" s="61"/>
      <c r="G25" s="61"/>
      <c r="H25" s="61"/>
      <c r="I25" s="61"/>
      <c r="J25" s="68"/>
      <c r="K25" s="61"/>
      <c r="L25" s="61"/>
    </row>
    <row r="26" ht="15" customHeight="1" spans="1:12" x14ac:dyDescent="0.25">
      <c r="A26" s="65"/>
      <c r="B26" s="64"/>
      <c r="C26" s="65"/>
      <c r="D26" s="65"/>
      <c r="E26" s="65"/>
      <c r="F26" s="65"/>
      <c r="G26" s="65"/>
      <c r="H26" s="65"/>
      <c r="I26" s="65"/>
      <c r="J26" s="69"/>
      <c r="K26" s="65"/>
      <c r="L26" s="65"/>
    </row>
    <row r="27" ht="15" customHeight="1" spans="1:12" x14ac:dyDescent="0.25">
      <c r="A27" s="61"/>
      <c r="B27" s="60"/>
      <c r="C27" s="61"/>
      <c r="D27" s="61"/>
      <c r="E27" s="61"/>
      <c r="F27" s="61"/>
      <c r="G27" s="61"/>
      <c r="H27" s="61"/>
      <c r="I27" s="61"/>
      <c r="J27" s="68"/>
      <c r="K27" s="61"/>
      <c r="L27" s="61"/>
    </row>
    <row r="28" ht="15" customHeight="1" spans="1:12" x14ac:dyDescent="0.25">
      <c r="A28" s="65"/>
      <c r="B28" s="64"/>
      <c r="C28" s="65"/>
      <c r="D28" s="65"/>
      <c r="E28" s="65"/>
      <c r="F28" s="65"/>
      <c r="G28" s="65"/>
      <c r="H28" s="65"/>
      <c r="I28" s="65"/>
      <c r="J28" s="69"/>
      <c r="K28" s="65"/>
      <c r="L28" s="65"/>
    </row>
    <row r="29" ht="15" customHeight="1" spans="1:12" x14ac:dyDescent="0.25">
      <c r="A29" s="61"/>
      <c r="B29" s="60"/>
      <c r="C29" s="61"/>
      <c r="D29" s="61"/>
      <c r="E29" s="61"/>
      <c r="F29" s="61"/>
      <c r="G29" s="61"/>
      <c r="H29" s="61"/>
      <c r="I29" s="61"/>
      <c r="J29" s="68"/>
      <c r="K29" s="61"/>
      <c r="L29" s="61"/>
    </row>
    <row r="30" ht="15" customHeight="1" spans="1:12" x14ac:dyDescent="0.25">
      <c r="A30" s="65"/>
      <c r="B30" s="64"/>
      <c r="C30" s="65"/>
      <c r="D30" s="65"/>
      <c r="E30" s="65"/>
      <c r="F30" s="65"/>
      <c r="G30" s="65"/>
      <c r="H30" s="65"/>
      <c r="I30" s="65"/>
      <c r="J30" s="69"/>
      <c r="K30" s="65"/>
      <c r="L30" s="65"/>
    </row>
    <row r="31" ht="15" customHeight="1" spans="1:12" x14ac:dyDescent="0.25">
      <c r="A31" s="61"/>
      <c r="B31" s="60"/>
      <c r="C31" s="61"/>
      <c r="D31" s="61"/>
      <c r="E31" s="61"/>
      <c r="F31" s="61"/>
      <c r="G31" s="61"/>
      <c r="H31" s="61"/>
      <c r="I31" s="61"/>
      <c r="J31" s="68"/>
      <c r="K31" s="61"/>
      <c r="L31" s="61"/>
    </row>
    <row r="32" ht="15" customHeight="1" spans="1:12" x14ac:dyDescent="0.25">
      <c r="A32" s="65"/>
      <c r="B32" s="64"/>
      <c r="C32" s="65"/>
      <c r="D32" s="65"/>
      <c r="E32" s="65"/>
      <c r="F32" s="65"/>
      <c r="G32" s="65"/>
      <c r="H32" s="65"/>
      <c r="I32" s="65"/>
      <c r="J32" s="69"/>
      <c r="K32" s="65"/>
      <c r="L32" s="65"/>
    </row>
    <row r="33" ht="15" customHeight="1" spans="1:12" x14ac:dyDescent="0.25">
      <c r="A33" s="61"/>
      <c r="B33" s="60"/>
      <c r="C33" s="61"/>
      <c r="D33" s="61"/>
      <c r="E33" s="61"/>
      <c r="F33" s="61"/>
      <c r="G33" s="61"/>
      <c r="H33" s="61"/>
      <c r="I33" s="61"/>
      <c r="J33" s="68"/>
      <c r="K33" s="61"/>
      <c r="L33" s="61"/>
    </row>
    <row r="34" ht="15" customHeight="1" spans="1:12" x14ac:dyDescent="0.25">
      <c r="A34" s="65"/>
      <c r="B34" s="64"/>
      <c r="C34" s="65"/>
      <c r="D34" s="65"/>
      <c r="E34" s="65"/>
      <c r="F34" s="65"/>
      <c r="G34" s="65"/>
      <c r="H34" s="65"/>
      <c r="I34" s="65"/>
      <c r="J34" s="69"/>
      <c r="K34" s="65"/>
      <c r="L34" s="65"/>
    </row>
    <row r="35" ht="15" customHeight="1" spans="1:12" x14ac:dyDescent="0.25">
      <c r="A35" s="61"/>
      <c r="B35" s="60"/>
      <c r="C35" s="61"/>
      <c r="D35" s="61"/>
      <c r="E35" s="61"/>
      <c r="F35" s="61"/>
      <c r="G35" s="61"/>
      <c r="H35" s="61"/>
      <c r="I35" s="61"/>
      <c r="J35" s="68"/>
      <c r="K35" s="61"/>
      <c r="L35" s="61"/>
    </row>
    <row r="36" ht="15" customHeight="1" spans="1:12" x14ac:dyDescent="0.25">
      <c r="A36" s="65"/>
      <c r="B36" s="64"/>
      <c r="C36" s="65"/>
      <c r="D36" s="65"/>
      <c r="E36" s="65"/>
      <c r="F36" s="65"/>
      <c r="G36" s="65"/>
      <c r="H36" s="65"/>
      <c r="I36" s="65"/>
      <c r="J36" s="69"/>
      <c r="K36" s="65"/>
      <c r="L36" s="65"/>
    </row>
    <row r="37" ht="15" customHeight="1" spans="1:12" x14ac:dyDescent="0.25">
      <c r="A37" s="61"/>
      <c r="B37" s="60"/>
      <c r="C37" s="61"/>
      <c r="D37" s="61"/>
      <c r="E37" s="61"/>
      <c r="F37" s="61"/>
      <c r="G37" s="61"/>
      <c r="H37" s="61"/>
      <c r="I37" s="61"/>
      <c r="J37" s="68"/>
      <c r="K37" s="61"/>
      <c r="L37" s="61"/>
    </row>
    <row r="38" ht="15" customHeight="1" spans="1:12" x14ac:dyDescent="0.25">
      <c r="A38" s="65"/>
      <c r="B38" s="64"/>
      <c r="C38" s="65"/>
      <c r="D38" s="65"/>
      <c r="E38" s="65"/>
      <c r="F38" s="65"/>
      <c r="G38" s="65"/>
      <c r="H38" s="65"/>
      <c r="I38" s="65"/>
      <c r="J38" s="69"/>
      <c r="K38" s="65"/>
      <c r="L38" s="65"/>
    </row>
    <row r="39" ht="15" customHeight="1" spans="1:12" x14ac:dyDescent="0.25">
      <c r="A39" s="61"/>
      <c r="B39" s="60"/>
      <c r="C39" s="61"/>
      <c r="D39" s="61"/>
      <c r="E39" s="61"/>
      <c r="F39" s="61"/>
      <c r="G39" s="61"/>
      <c r="H39" s="61"/>
      <c r="I39" s="61"/>
      <c r="J39" s="68"/>
      <c r="K39" s="61"/>
      <c r="L39" s="61"/>
    </row>
    <row r="40" ht="15" customHeight="1" spans="1:12" x14ac:dyDescent="0.25">
      <c r="A40" s="65"/>
      <c r="B40" s="64"/>
      <c r="C40" s="65"/>
      <c r="D40" s="65"/>
      <c r="E40" s="65"/>
      <c r="F40" s="65"/>
      <c r="G40" s="65"/>
      <c r="H40" s="65"/>
      <c r="I40" s="65"/>
      <c r="J40" s="69"/>
      <c r="K40" s="65"/>
      <c r="L40" s="65"/>
    </row>
    <row r="41" ht="15" customHeight="1" spans="1:12" x14ac:dyDescent="0.25">
      <c r="A41" s="61"/>
      <c r="B41" s="60"/>
      <c r="C41" s="61"/>
      <c r="D41" s="61"/>
      <c r="E41" s="61"/>
      <c r="F41" s="61"/>
      <c r="G41" s="61"/>
      <c r="H41" s="61"/>
      <c r="I41" s="61"/>
      <c r="J41" s="68"/>
      <c r="K41" s="61"/>
      <c r="L41" s="61"/>
    </row>
    <row r="42" ht="15" customHeight="1" spans="1:12" x14ac:dyDescent="0.25">
      <c r="A42" s="65"/>
      <c r="B42" s="64"/>
      <c r="C42" s="65"/>
      <c r="D42" s="65"/>
      <c r="E42" s="65"/>
      <c r="F42" s="65"/>
      <c r="G42" s="65"/>
      <c r="H42" s="65"/>
      <c r="I42" s="65"/>
      <c r="J42" s="69"/>
      <c r="K42" s="65"/>
      <c r="L42" s="65"/>
    </row>
    <row r="43" ht="15" customHeight="1" spans="1:12" x14ac:dyDescent="0.25">
      <c r="A43" s="61"/>
      <c r="B43" s="60"/>
      <c r="C43" s="61"/>
      <c r="D43" s="61"/>
      <c r="E43" s="61"/>
      <c r="F43" s="61"/>
      <c r="G43" s="61"/>
      <c r="H43" s="61"/>
      <c r="I43" s="61"/>
      <c r="J43" s="68"/>
      <c r="K43" s="61"/>
      <c r="L43" s="61"/>
    </row>
    <row r="44" ht="15" customHeight="1" spans="1:12" x14ac:dyDescent="0.25">
      <c r="A44" s="65"/>
      <c r="B44" s="64"/>
      <c r="C44" s="65"/>
      <c r="D44" s="65"/>
      <c r="E44" s="65"/>
      <c r="F44" s="65"/>
      <c r="G44" s="65"/>
      <c r="H44" s="65"/>
      <c r="I44" s="65"/>
      <c r="J44" s="69"/>
      <c r="K44" s="65"/>
      <c r="L44" s="65"/>
    </row>
    <row r="45" ht="15" customHeight="1" spans="1:12" x14ac:dyDescent="0.25">
      <c r="A45" s="61"/>
      <c r="B45" s="60"/>
      <c r="C45" s="61"/>
      <c r="D45" s="61"/>
      <c r="E45" s="61"/>
      <c r="F45" s="61"/>
      <c r="G45" s="61"/>
      <c r="H45" s="61"/>
      <c r="I45" s="61"/>
      <c r="J45" s="68"/>
      <c r="K45" s="61"/>
      <c r="L45" s="61"/>
    </row>
    <row r="46" ht="15" customHeight="1" spans="1:12" x14ac:dyDescent="0.25">
      <c r="A46" s="65"/>
      <c r="B46" s="64"/>
      <c r="C46" s="65"/>
      <c r="D46" s="65"/>
      <c r="E46" s="65"/>
      <c r="F46" s="65"/>
      <c r="G46" s="65"/>
      <c r="H46" s="65"/>
      <c r="I46" s="65"/>
      <c r="J46" s="69"/>
      <c r="K46" s="65"/>
      <c r="L46" s="65"/>
    </row>
    <row r="47" ht="15" customHeight="1" spans="1:12" x14ac:dyDescent="0.25">
      <c r="A47" s="61"/>
      <c r="B47" s="60"/>
      <c r="C47" s="61"/>
      <c r="D47" s="61"/>
      <c r="E47" s="61"/>
      <c r="F47" s="61"/>
      <c r="G47" s="61"/>
      <c r="H47" s="61"/>
      <c r="I47" s="61"/>
      <c r="J47" s="68"/>
      <c r="K47" s="61"/>
      <c r="L47" s="61"/>
    </row>
    <row r="48" ht="15" customHeight="1" spans="1:12" x14ac:dyDescent="0.25">
      <c r="A48" s="65"/>
      <c r="B48" s="64"/>
      <c r="C48" s="65"/>
      <c r="D48" s="65"/>
      <c r="E48" s="65"/>
      <c r="F48" s="65"/>
      <c r="G48" s="65"/>
      <c r="H48" s="65"/>
      <c r="I48" s="65"/>
      <c r="J48" s="69"/>
      <c r="K48" s="65"/>
      <c r="L48" s="65"/>
    </row>
    <row r="49" ht="15" customHeight="1" spans="1:12" x14ac:dyDescent="0.25">
      <c r="A49" s="61"/>
      <c r="B49" s="60"/>
      <c r="C49" s="61"/>
      <c r="D49" s="61"/>
      <c r="E49" s="61"/>
      <c r="F49" s="61"/>
      <c r="G49" s="61"/>
      <c r="H49" s="61"/>
      <c r="I49" s="61"/>
      <c r="J49" s="68"/>
      <c r="K49" s="61"/>
      <c r="L49" s="61"/>
    </row>
    <row r="50" ht="15" customHeight="1" spans="1:12" x14ac:dyDescent="0.25">
      <c r="A50" s="65"/>
      <c r="B50" s="64"/>
      <c r="C50" s="65"/>
      <c r="D50" s="65"/>
      <c r="E50" s="65"/>
      <c r="F50" s="65"/>
      <c r="G50" s="65"/>
      <c r="H50" s="65"/>
      <c r="I50" s="65"/>
      <c r="J50" s="69"/>
      <c r="K50" s="65"/>
      <c r="L50" s="65"/>
    </row>
    <row r="51" ht="15" customHeight="1" spans="1:12" x14ac:dyDescent="0.25">
      <c r="A51" s="61"/>
      <c r="B51" s="60"/>
      <c r="C51" s="61"/>
      <c r="D51" s="61"/>
      <c r="E51" s="61"/>
      <c r="F51" s="61"/>
      <c r="G51" s="61"/>
      <c r="H51" s="61"/>
      <c r="I51" s="61"/>
      <c r="J51" s="68"/>
      <c r="K51" s="61"/>
      <c r="L51" s="61"/>
    </row>
    <row r="52" ht="15" customHeight="1" spans="1:12" x14ac:dyDescent="0.25">
      <c r="A52" s="65"/>
      <c r="B52" s="64"/>
      <c r="C52" s="65"/>
      <c r="D52" s="65"/>
      <c r="E52" s="65"/>
      <c r="F52" s="65"/>
      <c r="G52" s="65"/>
      <c r="H52" s="65"/>
      <c r="I52" s="65"/>
      <c r="J52" s="69"/>
      <c r="K52" s="65"/>
      <c r="L52" s="65"/>
    </row>
    <row r="53" ht="15" customHeight="1" spans="1:12" x14ac:dyDescent="0.25">
      <c r="A53" s="61"/>
      <c r="B53" s="60"/>
      <c r="C53" s="61"/>
      <c r="D53" s="61"/>
      <c r="E53" s="61"/>
      <c r="F53" s="61"/>
      <c r="G53" s="61"/>
      <c r="H53" s="61"/>
      <c r="I53" s="61"/>
      <c r="J53" s="68"/>
      <c r="K53" s="61"/>
      <c r="L53" s="61"/>
    </row>
    <row r="54" ht="15" customHeight="1" spans="1:12" x14ac:dyDescent="0.25">
      <c r="A54" s="65"/>
      <c r="B54" s="64"/>
      <c r="C54" s="65"/>
      <c r="D54" s="65"/>
      <c r="E54" s="65"/>
      <c r="F54" s="65"/>
      <c r="G54" s="65"/>
      <c r="H54" s="65"/>
      <c r="I54" s="65"/>
      <c r="J54" s="69"/>
      <c r="K54" s="65"/>
      <c r="L54" s="65"/>
    </row>
    <row r="55" ht="15" customHeight="1" spans="1:12" x14ac:dyDescent="0.25">
      <c r="A55" s="61"/>
      <c r="B55" s="60"/>
      <c r="C55" s="61"/>
      <c r="D55" s="61"/>
      <c r="E55" s="61"/>
      <c r="F55" s="61"/>
      <c r="G55" s="61"/>
      <c r="H55" s="61"/>
      <c r="I55" s="61"/>
      <c r="J55" s="68"/>
      <c r="K55" s="61"/>
      <c r="L55" s="61"/>
    </row>
    <row r="56" ht="15" customHeight="1" spans="1:12" x14ac:dyDescent="0.25">
      <c r="A56" s="65"/>
      <c r="B56" s="64"/>
      <c r="C56" s="65"/>
      <c r="D56" s="65"/>
      <c r="E56" s="65"/>
      <c r="F56" s="65"/>
      <c r="G56" s="65"/>
      <c r="H56" s="65"/>
      <c r="I56" s="65"/>
      <c r="J56" s="69"/>
      <c r="K56" s="65"/>
      <c r="L56" s="65"/>
    </row>
    <row r="57" ht="15" customHeight="1" spans="1:12" x14ac:dyDescent="0.25">
      <c r="A57" s="61"/>
      <c r="B57" s="60"/>
      <c r="C57" s="61"/>
      <c r="D57" s="61"/>
      <c r="E57" s="61"/>
      <c r="F57" s="61"/>
      <c r="G57" s="61"/>
      <c r="H57" s="61"/>
      <c r="I57" s="61"/>
      <c r="J57" s="68"/>
      <c r="K57" s="61"/>
      <c r="L57" s="61"/>
    </row>
    <row r="58" ht="15" customHeight="1" spans="1:12" x14ac:dyDescent="0.25">
      <c r="A58" s="65"/>
      <c r="B58" s="64"/>
      <c r="C58" s="65"/>
      <c r="D58" s="65"/>
      <c r="E58" s="65"/>
      <c r="F58" s="65"/>
      <c r="G58" s="65"/>
      <c r="H58" s="65"/>
      <c r="I58" s="65"/>
      <c r="J58" s="69"/>
      <c r="K58" s="65"/>
      <c r="L58" s="65"/>
    </row>
    <row r="59" ht="15" customHeight="1" spans="1:12" x14ac:dyDescent="0.25">
      <c r="A59" s="61"/>
      <c r="B59" s="60"/>
      <c r="C59" s="61"/>
      <c r="D59" s="61"/>
      <c r="E59" s="61"/>
      <c r="F59" s="61"/>
      <c r="G59" s="61"/>
      <c r="H59" s="61"/>
      <c r="I59" s="61"/>
      <c r="J59" s="68"/>
      <c r="K59" s="61"/>
      <c r="L59" s="61"/>
    </row>
    <row r="60" ht="15" customHeight="1" spans="1:12" x14ac:dyDescent="0.25">
      <c r="A60" s="65"/>
      <c r="B60" s="64"/>
      <c r="C60" s="65"/>
      <c r="D60" s="65"/>
      <c r="E60" s="65"/>
      <c r="F60" s="65"/>
      <c r="G60" s="65"/>
      <c r="H60" s="65"/>
      <c r="I60" s="65"/>
      <c r="J60" s="69"/>
      <c r="K60" s="65"/>
      <c r="L60" s="65"/>
    </row>
    <row r="61" ht="15" customHeight="1" spans="1:12" x14ac:dyDescent="0.25">
      <c r="A61" s="61"/>
      <c r="B61" s="60"/>
      <c r="C61" s="61"/>
      <c r="D61" s="61"/>
      <c r="E61" s="61"/>
      <c r="F61" s="61"/>
      <c r="G61" s="61"/>
      <c r="H61" s="61"/>
      <c r="I61" s="61"/>
      <c r="J61" s="68"/>
      <c r="K61" s="61"/>
      <c r="L61" s="61"/>
    </row>
    <row r="62" ht="15" customHeight="1" spans="1:12" x14ac:dyDescent="0.25">
      <c r="A62" s="65"/>
      <c r="B62" s="64"/>
      <c r="C62" s="65"/>
      <c r="D62" s="65"/>
      <c r="E62" s="65"/>
      <c r="F62" s="65"/>
      <c r="G62" s="65"/>
      <c r="H62" s="65"/>
      <c r="I62" s="65"/>
      <c r="J62" s="69"/>
      <c r="K62" s="65"/>
      <c r="L62" s="65"/>
    </row>
    <row r="63" ht="15" customHeight="1" spans="1:12" x14ac:dyDescent="0.25">
      <c r="A63" s="61"/>
      <c r="B63" s="60"/>
      <c r="C63" s="61"/>
      <c r="D63" s="61"/>
      <c r="E63" s="61"/>
      <c r="F63" s="61"/>
      <c r="G63" s="61"/>
      <c r="H63" s="61"/>
      <c r="I63" s="61"/>
      <c r="J63" s="68"/>
      <c r="K63" s="61"/>
      <c r="L63" s="61"/>
    </row>
    <row r="64" ht="15" customHeight="1" spans="1:12" x14ac:dyDescent="0.25">
      <c r="A64" s="65"/>
      <c r="B64" s="64"/>
      <c r="C64" s="65"/>
      <c r="D64" s="65"/>
      <c r="E64" s="65"/>
      <c r="F64" s="65"/>
      <c r="G64" s="65"/>
      <c r="H64" s="65"/>
      <c r="I64" s="65"/>
      <c r="J64" s="69"/>
      <c r="K64" s="65"/>
      <c r="L64" s="65"/>
    </row>
    <row r="65" ht="15" customHeight="1" spans="1:12" x14ac:dyDescent="0.25">
      <c r="A65" s="61"/>
      <c r="B65" s="60"/>
      <c r="C65" s="61"/>
      <c r="D65" s="61"/>
      <c r="E65" s="61"/>
      <c r="F65" s="61"/>
      <c r="G65" s="61"/>
      <c r="H65" s="61"/>
      <c r="I65" s="61"/>
      <c r="J65" s="68"/>
      <c r="K65" s="61"/>
      <c r="L65" s="61"/>
    </row>
    <row r="66" ht="15" customHeight="1" spans="1:12" x14ac:dyDescent="0.25">
      <c r="A66" s="65"/>
      <c r="B66" s="64"/>
      <c r="C66" s="65"/>
      <c r="D66" s="65"/>
      <c r="E66" s="65"/>
      <c r="F66" s="65"/>
      <c r="G66" s="65"/>
      <c r="H66" s="65"/>
      <c r="I66" s="65"/>
      <c r="J66" s="69"/>
      <c r="K66" s="65"/>
      <c r="L66" s="65"/>
    </row>
    <row r="67" ht="15" customHeight="1" spans="1:12" x14ac:dyDescent="0.25">
      <c r="A67" s="61"/>
      <c r="B67" s="60"/>
      <c r="C67" s="61"/>
      <c r="D67" s="61"/>
      <c r="E67" s="61"/>
      <c r="F67" s="61"/>
      <c r="G67" s="61"/>
      <c r="H67" s="61"/>
      <c r="I67" s="61"/>
      <c r="J67" s="68"/>
      <c r="K67" s="61"/>
      <c r="L67" s="61"/>
    </row>
    <row r="68" ht="15" customHeight="1" spans="1:12" x14ac:dyDescent="0.25">
      <c r="A68" s="65"/>
      <c r="B68" s="64"/>
      <c r="C68" s="65"/>
      <c r="D68" s="65"/>
      <c r="E68" s="65"/>
      <c r="F68" s="65"/>
      <c r="G68" s="65"/>
      <c r="H68" s="65"/>
      <c r="I68" s="65"/>
      <c r="J68" s="69"/>
      <c r="K68" s="65"/>
      <c r="L68" s="65"/>
    </row>
    <row r="69" ht="15" customHeight="1" spans="1:12" x14ac:dyDescent="0.25">
      <c r="A69" s="61"/>
      <c r="B69" s="60"/>
      <c r="C69" s="61"/>
      <c r="D69" s="61"/>
      <c r="E69" s="61"/>
      <c r="F69" s="61"/>
      <c r="G69" s="61"/>
      <c r="H69" s="61"/>
      <c r="I69" s="61"/>
      <c r="J69" s="68"/>
      <c r="K69" s="61"/>
      <c r="L69" s="61"/>
    </row>
    <row r="70" ht="15" customHeight="1" spans="1:12" x14ac:dyDescent="0.25">
      <c r="A70" s="65"/>
      <c r="B70" s="64"/>
      <c r="C70" s="65"/>
      <c r="D70" s="65"/>
      <c r="E70" s="65"/>
      <c r="F70" s="65"/>
      <c r="G70" s="65"/>
      <c r="H70" s="65"/>
      <c r="I70" s="65"/>
      <c r="J70" s="69"/>
      <c r="K70" s="65"/>
      <c r="L70" s="65"/>
    </row>
    <row r="71" ht="15" customHeight="1" spans="1:12" x14ac:dyDescent="0.25">
      <c r="A71" s="61"/>
      <c r="B71" s="60"/>
      <c r="C71" s="61"/>
      <c r="D71" s="61"/>
      <c r="E71" s="61"/>
      <c r="F71" s="61"/>
      <c r="G71" s="61"/>
      <c r="H71" s="61"/>
      <c r="I71" s="61"/>
      <c r="J71" s="68"/>
      <c r="K71" s="61"/>
      <c r="L71" s="61"/>
    </row>
    <row r="72" ht="15" customHeight="1" spans="1:12" x14ac:dyDescent="0.25">
      <c r="A72" s="65"/>
      <c r="B72" s="64"/>
      <c r="C72" s="65"/>
      <c r="D72" s="65"/>
      <c r="E72" s="65"/>
      <c r="F72" s="65"/>
      <c r="G72" s="65"/>
      <c r="H72" s="65"/>
      <c r="I72" s="65"/>
      <c r="J72" s="69"/>
      <c r="K72" s="65"/>
      <c r="L72" s="65"/>
    </row>
    <row r="73" ht="15" customHeight="1" spans="1:12" x14ac:dyDescent="0.25">
      <c r="A73" s="61"/>
      <c r="B73" s="60"/>
      <c r="C73" s="61"/>
      <c r="D73" s="61"/>
      <c r="E73" s="61"/>
      <c r="F73" s="61"/>
      <c r="G73" s="61"/>
      <c r="H73" s="61"/>
      <c r="I73" s="61"/>
      <c r="J73" s="68"/>
      <c r="K73" s="61"/>
      <c r="L73" s="61"/>
    </row>
    <row r="74" ht="15" customHeight="1" spans="1:12" x14ac:dyDescent="0.25">
      <c r="A74" s="65"/>
      <c r="B74" s="64"/>
      <c r="C74" s="65"/>
      <c r="D74" s="65"/>
      <c r="E74" s="65"/>
      <c r="F74" s="65"/>
      <c r="G74" s="65"/>
      <c r="H74" s="65"/>
      <c r="I74" s="65"/>
      <c r="J74" s="69"/>
      <c r="K74" s="65"/>
      <c r="L74" s="65"/>
    </row>
    <row r="75" ht="15" customHeight="1" spans="1:12" x14ac:dyDescent="0.25">
      <c r="A75" s="61"/>
      <c r="B75" s="60"/>
      <c r="C75" s="61"/>
      <c r="D75" s="61"/>
      <c r="E75" s="61"/>
      <c r="F75" s="61"/>
      <c r="G75" s="61"/>
      <c r="H75" s="61"/>
      <c r="I75" s="61"/>
      <c r="J75" s="68"/>
      <c r="K75" s="61"/>
      <c r="L75" s="61"/>
    </row>
    <row r="76" ht="15" customHeight="1" spans="1:12" x14ac:dyDescent="0.25">
      <c r="A76" s="65"/>
      <c r="B76" s="64"/>
      <c r="C76" s="65"/>
      <c r="D76" s="65"/>
      <c r="E76" s="65"/>
      <c r="F76" s="65"/>
      <c r="G76" s="65"/>
      <c r="H76" s="65"/>
      <c r="I76" s="65"/>
      <c r="J76" s="69"/>
      <c r="K76" s="65"/>
      <c r="L76" s="65"/>
    </row>
    <row r="77" ht="15" customHeight="1" spans="1:12" x14ac:dyDescent="0.25">
      <c r="A77" s="61"/>
      <c r="B77" s="60"/>
      <c r="C77" s="61"/>
      <c r="D77" s="61"/>
      <c r="E77" s="61"/>
      <c r="F77" s="61"/>
      <c r="G77" s="61"/>
      <c r="H77" s="61"/>
      <c r="I77" s="61"/>
      <c r="J77" s="68"/>
      <c r="K77" s="61"/>
      <c r="L77" s="61"/>
    </row>
    <row r="78" ht="15" customHeight="1" spans="1:12" x14ac:dyDescent="0.25">
      <c r="A78" s="65"/>
      <c r="B78" s="64"/>
      <c r="C78" s="65"/>
      <c r="D78" s="65"/>
      <c r="E78" s="65"/>
      <c r="F78" s="65"/>
      <c r="G78" s="65"/>
      <c r="H78" s="65"/>
      <c r="I78" s="65"/>
      <c r="J78" s="69"/>
      <c r="K78" s="65"/>
      <c r="L78" s="65"/>
    </row>
    <row r="79" ht="15" customHeight="1" spans="1:12" x14ac:dyDescent="0.25">
      <c r="A79" s="61"/>
      <c r="B79" s="60"/>
      <c r="C79" s="61"/>
      <c r="D79" s="61"/>
      <c r="E79" s="61"/>
      <c r="F79" s="61"/>
      <c r="G79" s="61"/>
      <c r="H79" s="61"/>
      <c r="I79" s="61"/>
      <c r="J79" s="68"/>
      <c r="K79" s="61"/>
      <c r="L79" s="61"/>
    </row>
    <row r="80" ht="15" customHeight="1" spans="1:12" x14ac:dyDescent="0.25">
      <c r="A80" s="65"/>
      <c r="B80" s="64"/>
      <c r="C80" s="65"/>
      <c r="D80" s="65"/>
      <c r="E80" s="65"/>
      <c r="F80" s="65"/>
      <c r="G80" s="65"/>
      <c r="H80" s="65"/>
      <c r="I80" s="65"/>
      <c r="J80" s="69"/>
      <c r="K80" s="65"/>
      <c r="L80" s="65"/>
    </row>
    <row r="81" ht="15" customHeight="1" spans="1:12" x14ac:dyDescent="0.25">
      <c r="A81" s="61"/>
      <c r="B81" s="60"/>
      <c r="C81" s="61"/>
      <c r="D81" s="61"/>
      <c r="E81" s="61"/>
      <c r="F81" s="61"/>
      <c r="G81" s="61"/>
      <c r="H81" s="61"/>
      <c r="I81" s="61"/>
      <c r="J81" s="68"/>
      <c r="K81" s="61"/>
      <c r="L81" s="61"/>
    </row>
    <row r="82" ht="15" customHeight="1" spans="1:12" x14ac:dyDescent="0.25">
      <c r="A82" s="65"/>
      <c r="B82" s="64"/>
      <c r="C82" s="65"/>
      <c r="D82" s="65"/>
      <c r="E82" s="65"/>
      <c r="F82" s="65"/>
      <c r="G82" s="65"/>
      <c r="H82" s="65"/>
      <c r="I82" s="65"/>
      <c r="J82" s="69"/>
      <c r="K82" s="65"/>
      <c r="L82" s="65"/>
    </row>
    <row r="83" ht="15" customHeight="1" spans="1:12" x14ac:dyDescent="0.25">
      <c r="A83" s="61"/>
      <c r="B83" s="60"/>
      <c r="C83" s="61"/>
      <c r="D83" s="61"/>
      <c r="E83" s="61"/>
      <c r="F83" s="61"/>
      <c r="G83" s="61"/>
      <c r="H83" s="61"/>
      <c r="I83" s="61"/>
      <c r="J83" s="68"/>
      <c r="K83" s="61"/>
      <c r="L83" s="61"/>
    </row>
    <row r="84" ht="15" customHeight="1" spans="1:12" x14ac:dyDescent="0.25">
      <c r="A84" s="65"/>
      <c r="B84" s="64"/>
      <c r="C84" s="65"/>
      <c r="D84" s="65"/>
      <c r="E84" s="65"/>
      <c r="F84" s="65"/>
      <c r="G84" s="65"/>
      <c r="H84" s="65"/>
      <c r="I84" s="65"/>
      <c r="J84" s="69"/>
      <c r="K84" s="65"/>
      <c r="L84" s="65"/>
    </row>
    <row r="85" ht="15" customHeight="1" spans="1:12" x14ac:dyDescent="0.25">
      <c r="A85" s="61"/>
      <c r="B85" s="60"/>
      <c r="C85" s="61"/>
      <c r="D85" s="61"/>
      <c r="E85" s="61"/>
      <c r="F85" s="61"/>
      <c r="G85" s="61"/>
      <c r="H85" s="61"/>
      <c r="I85" s="61"/>
      <c r="J85" s="68"/>
      <c r="K85" s="61"/>
      <c r="L85" s="61"/>
    </row>
    <row r="86" ht="15" customHeight="1" spans="1:12" x14ac:dyDescent="0.25">
      <c r="A86" s="65"/>
      <c r="B86" s="64"/>
      <c r="C86" s="65"/>
      <c r="D86" s="65"/>
      <c r="E86" s="65"/>
      <c r="F86" s="65"/>
      <c r="G86" s="65"/>
      <c r="H86" s="65"/>
      <c r="I86" s="65"/>
      <c r="J86" s="69"/>
      <c r="K86" s="65"/>
      <c r="L86" s="65"/>
    </row>
    <row r="87" ht="15" customHeight="1" spans="1:12" x14ac:dyDescent="0.25">
      <c r="A87" s="61"/>
      <c r="B87" s="60"/>
      <c r="C87" s="61"/>
      <c r="D87" s="61"/>
      <c r="E87" s="61"/>
      <c r="F87" s="61"/>
      <c r="G87" s="61"/>
      <c r="H87" s="61"/>
      <c r="I87" s="61"/>
      <c r="J87" s="68"/>
      <c r="K87" s="61"/>
      <c r="L87" s="61"/>
    </row>
    <row r="88" ht="15" customHeight="1" spans="1:12" x14ac:dyDescent="0.25">
      <c r="A88" s="65"/>
      <c r="B88" s="64"/>
      <c r="C88" s="65"/>
      <c r="D88" s="65"/>
      <c r="E88" s="65"/>
      <c r="F88" s="65"/>
      <c r="G88" s="65"/>
      <c r="H88" s="65"/>
      <c r="I88" s="65"/>
      <c r="J88" s="69"/>
      <c r="K88" s="65"/>
      <c r="L88" s="65"/>
    </row>
    <row r="89" ht="15" customHeight="1" spans="1:12" x14ac:dyDescent="0.25">
      <c r="A89" s="61"/>
      <c r="B89" s="60"/>
      <c r="C89" s="61"/>
      <c r="D89" s="61"/>
      <c r="E89" s="61"/>
      <c r="F89" s="61"/>
      <c r="G89" s="61"/>
      <c r="H89" s="61"/>
      <c r="I89" s="61"/>
      <c r="J89" s="68"/>
      <c r="K89" s="61"/>
      <c r="L89" s="61"/>
    </row>
    <row r="90" ht="15" customHeight="1" spans="1:12" x14ac:dyDescent="0.25">
      <c r="A90" s="65"/>
      <c r="B90" s="64"/>
      <c r="C90" s="65"/>
      <c r="D90" s="65"/>
      <c r="E90" s="65"/>
      <c r="F90" s="65"/>
      <c r="G90" s="65"/>
      <c r="H90" s="65"/>
      <c r="I90" s="65"/>
      <c r="J90" s="69"/>
      <c r="K90" s="65"/>
      <c r="L90" s="65"/>
    </row>
    <row r="91" ht="15" customHeight="1" spans="1:12" x14ac:dyDescent="0.25">
      <c r="A91" s="61"/>
      <c r="B91" s="60"/>
      <c r="C91" s="61"/>
      <c r="D91" s="61"/>
      <c r="E91" s="61"/>
      <c r="F91" s="61"/>
      <c r="G91" s="61"/>
      <c r="H91" s="61"/>
      <c r="I91" s="61"/>
      <c r="J91" s="68"/>
      <c r="K91" s="61"/>
      <c r="L91" s="61"/>
    </row>
    <row r="92" ht="15" customHeight="1" spans="1:12" x14ac:dyDescent="0.25">
      <c r="A92" s="65"/>
      <c r="B92" s="64"/>
      <c r="C92" s="65"/>
      <c r="D92" s="65"/>
      <c r="E92" s="65"/>
      <c r="F92" s="65"/>
      <c r="G92" s="65"/>
      <c r="H92" s="65"/>
      <c r="I92" s="65"/>
      <c r="J92" s="69"/>
      <c r="K92" s="65"/>
      <c r="L92" s="65"/>
    </row>
    <row r="93" ht="15" customHeight="1" spans="1:12" x14ac:dyDescent="0.25">
      <c r="A93" s="61"/>
      <c r="B93" s="60"/>
      <c r="C93" s="61"/>
      <c r="D93" s="61"/>
      <c r="E93" s="61"/>
      <c r="F93" s="61"/>
      <c r="G93" s="61"/>
      <c r="H93" s="61"/>
      <c r="I93" s="61"/>
      <c r="J93" s="68"/>
      <c r="K93" s="61"/>
      <c r="L93" s="61"/>
    </row>
    <row r="94" ht="15" customHeight="1" spans="1:12" x14ac:dyDescent="0.25">
      <c r="A94" s="65"/>
      <c r="B94" s="64"/>
      <c r="C94" s="65"/>
      <c r="D94" s="65"/>
      <c r="E94" s="65"/>
      <c r="F94" s="65"/>
      <c r="G94" s="65"/>
      <c r="H94" s="65"/>
      <c r="I94" s="65"/>
      <c r="J94" s="69"/>
      <c r="K94" s="65"/>
      <c r="L94" s="65"/>
    </row>
    <row r="95" ht="15" customHeight="1" spans="1:12" x14ac:dyDescent="0.25">
      <c r="A95" s="61"/>
      <c r="B95" s="60"/>
      <c r="C95" s="61"/>
      <c r="D95" s="61"/>
      <c r="E95" s="61"/>
      <c r="F95" s="61"/>
      <c r="G95" s="61"/>
      <c r="H95" s="61"/>
      <c r="I95" s="61"/>
      <c r="J95" s="68"/>
      <c r="K95" s="61"/>
      <c r="L95" s="61"/>
    </row>
    <row r="96" ht="15" customHeight="1" spans="1:12" x14ac:dyDescent="0.25">
      <c r="A96" s="65"/>
      <c r="B96" s="64"/>
      <c r="C96" s="65"/>
      <c r="D96" s="65"/>
      <c r="E96" s="65"/>
      <c r="F96" s="65"/>
      <c r="G96" s="65"/>
      <c r="H96" s="65"/>
      <c r="I96" s="65"/>
      <c r="J96" s="69"/>
      <c r="K96" s="65"/>
      <c r="L96" s="65"/>
    </row>
    <row r="97" ht="15" customHeight="1" spans="1:12" x14ac:dyDescent="0.25">
      <c r="A97" s="61"/>
      <c r="B97" s="60"/>
      <c r="C97" s="61"/>
      <c r="D97" s="61"/>
      <c r="E97" s="61"/>
      <c r="F97" s="61"/>
      <c r="G97" s="61"/>
      <c r="H97" s="61"/>
      <c r="I97" s="61"/>
      <c r="J97" s="68"/>
      <c r="K97" s="61"/>
      <c r="L97" s="61"/>
    </row>
    <row r="98" ht="15" customHeight="1" spans="1:12" x14ac:dyDescent="0.25">
      <c r="A98" s="65"/>
      <c r="B98" s="64"/>
      <c r="C98" s="65"/>
      <c r="D98" s="65"/>
      <c r="E98" s="65"/>
      <c r="F98" s="65"/>
      <c r="G98" s="65"/>
      <c r="H98" s="65"/>
      <c r="I98" s="65"/>
      <c r="J98" s="69"/>
      <c r="K98" s="65"/>
      <c r="L98" s="65"/>
    </row>
    <row r="99" ht="15" customHeight="1" spans="1:12" x14ac:dyDescent="0.25">
      <c r="A99" s="61"/>
      <c r="B99" s="60"/>
      <c r="C99" s="61"/>
      <c r="D99" s="61"/>
      <c r="E99" s="61"/>
      <c r="F99" s="61"/>
      <c r="G99" s="61"/>
      <c r="H99" s="61"/>
      <c r="I99" s="61"/>
      <c r="J99" s="68"/>
      <c r="K99" s="61"/>
      <c r="L99" s="61"/>
    </row>
    <row r="100" ht="15" customHeight="1" spans="1:12" x14ac:dyDescent="0.25">
      <c r="A100" s="65"/>
      <c r="B100" s="64"/>
      <c r="C100" s="65"/>
      <c r="D100" s="65"/>
      <c r="E100" s="65"/>
      <c r="F100" s="65"/>
      <c r="G100" s="65"/>
      <c r="H100" s="65"/>
      <c r="I100" s="65"/>
      <c r="J100" s="69"/>
      <c r="K100" s="65"/>
      <c r="L100" s="65"/>
    </row>
    <row r="101" ht="15" customHeight="1" spans="1:12" x14ac:dyDescent="0.25">
      <c r="A101" s="61"/>
      <c r="B101" s="60"/>
      <c r="C101" s="61"/>
      <c r="D101" s="61"/>
      <c r="E101" s="61"/>
      <c r="F101" s="61"/>
      <c r="G101" s="61"/>
      <c r="H101" s="61"/>
      <c r="I101" s="61"/>
      <c r="J101" s="68"/>
      <c r="K101" s="61"/>
      <c r="L101" s="61"/>
    </row>
    <row r="102" ht="15" customHeight="1" spans="1:12" x14ac:dyDescent="0.25">
      <c r="A102" s="65"/>
      <c r="B102" s="64"/>
      <c r="C102" s="65"/>
      <c r="D102" s="65"/>
      <c r="E102" s="65"/>
      <c r="F102" s="65"/>
      <c r="G102" s="65"/>
      <c r="H102" s="65"/>
      <c r="I102" s="65"/>
      <c r="J102" s="69"/>
      <c r="K102" s="65"/>
      <c r="L102" s="65"/>
    </row>
    <row r="103" ht="15" customHeight="1" spans="1:12" x14ac:dyDescent="0.25">
      <c r="A103" s="61"/>
      <c r="B103" s="60"/>
      <c r="C103" s="61"/>
      <c r="D103" s="61"/>
      <c r="E103" s="61"/>
      <c r="F103" s="61"/>
      <c r="G103" s="61"/>
      <c r="H103" s="61"/>
      <c r="I103" s="61"/>
      <c r="J103" s="68"/>
      <c r="K103" s="61"/>
      <c r="L103" s="61"/>
    </row>
    <row r="104" ht="15" customHeight="1" spans="1:12" x14ac:dyDescent="0.25">
      <c r="A104" s="65"/>
      <c r="B104" s="64"/>
      <c r="C104" s="65"/>
      <c r="D104" s="65"/>
      <c r="E104" s="65"/>
      <c r="F104" s="65"/>
      <c r="G104" s="65"/>
      <c r="H104" s="65"/>
      <c r="I104" s="65"/>
      <c r="J104" s="69"/>
      <c r="K104" s="65"/>
      <c r="L104" s="65"/>
    </row>
    <row r="105" ht="15" customHeight="1" spans="1:12" x14ac:dyDescent="0.25">
      <c r="A105" s="61"/>
      <c r="B105" s="60"/>
      <c r="C105" s="61"/>
      <c r="D105" s="61"/>
      <c r="E105" s="61"/>
      <c r="F105" s="61"/>
      <c r="G105" s="61"/>
      <c r="H105" s="61"/>
      <c r="I105" s="61"/>
      <c r="J105" s="68"/>
      <c r="K105" s="61"/>
      <c r="L105" s="61"/>
    </row>
    <row r="106" ht="15" customHeight="1" spans="1:12" x14ac:dyDescent="0.25">
      <c r="A106" s="65"/>
      <c r="B106" s="64"/>
      <c r="C106" s="65"/>
      <c r="D106" s="65"/>
      <c r="E106" s="65"/>
      <c r="F106" s="65"/>
      <c r="G106" s="65"/>
      <c r="H106" s="65"/>
      <c r="I106" s="65"/>
      <c r="J106" s="69"/>
      <c r="K106" s="65"/>
      <c r="L106" s="65"/>
    </row>
    <row r="107" ht="15" customHeight="1" spans="1:12" x14ac:dyDescent="0.25">
      <c r="A107" s="61"/>
      <c r="B107" s="60"/>
      <c r="C107" s="61"/>
      <c r="D107" s="61"/>
      <c r="E107" s="61"/>
      <c r="F107" s="61"/>
      <c r="G107" s="61"/>
      <c r="H107" s="61"/>
      <c r="I107" s="61"/>
      <c r="J107" s="68"/>
      <c r="K107" s="61"/>
      <c r="L107" s="61"/>
    </row>
    <row r="108" ht="15" customHeight="1" spans="1:12" x14ac:dyDescent="0.25">
      <c r="A108" s="65"/>
      <c r="B108" s="64"/>
      <c r="C108" s="65"/>
      <c r="D108" s="65"/>
      <c r="E108" s="65"/>
      <c r="F108" s="65"/>
      <c r="G108" s="65"/>
      <c r="H108" s="65"/>
      <c r="I108" s="65"/>
      <c r="J108" s="69"/>
      <c r="K108" s="65"/>
      <c r="L108" s="65"/>
    </row>
    <row r="109" ht="15" customHeight="1" spans="1:12" x14ac:dyDescent="0.25">
      <c r="A109" s="61"/>
      <c r="B109" s="60"/>
      <c r="C109" s="61"/>
      <c r="D109" s="61"/>
      <c r="E109" s="61"/>
      <c r="F109" s="61"/>
      <c r="G109" s="61"/>
      <c r="H109" s="61"/>
      <c r="I109" s="61"/>
      <c r="J109" s="68"/>
      <c r="K109" s="61"/>
      <c r="L109" s="61"/>
    </row>
    <row r="110" ht="15" customHeight="1" spans="1:12" x14ac:dyDescent="0.25">
      <c r="A110" s="65"/>
      <c r="B110" s="64"/>
      <c r="C110" s="65"/>
      <c r="D110" s="65"/>
      <c r="E110" s="65"/>
      <c r="F110" s="65"/>
      <c r="G110" s="65"/>
      <c r="H110" s="65"/>
      <c r="I110" s="65"/>
      <c r="J110" s="69"/>
      <c r="K110" s="65"/>
      <c r="L110" s="65"/>
    </row>
    <row r="111" ht="15" customHeight="1" spans="1:12" x14ac:dyDescent="0.25">
      <c r="A111" s="61"/>
      <c r="B111" s="60"/>
      <c r="C111" s="61"/>
      <c r="D111" s="61"/>
      <c r="E111" s="61"/>
      <c r="F111" s="61"/>
      <c r="G111" s="61"/>
      <c r="H111" s="61"/>
      <c r="I111" s="61"/>
      <c r="J111" s="68"/>
      <c r="K111" s="61"/>
      <c r="L111" s="61"/>
    </row>
    <row r="112" ht="15" customHeight="1" spans="1:12" x14ac:dyDescent="0.25">
      <c r="A112" s="65"/>
      <c r="B112" s="64"/>
      <c r="C112" s="65"/>
      <c r="D112" s="65"/>
      <c r="E112" s="65"/>
      <c r="F112" s="65"/>
      <c r="G112" s="65"/>
      <c r="H112" s="65"/>
      <c r="I112" s="65"/>
      <c r="J112" s="69"/>
      <c r="K112" s="65"/>
      <c r="L112" s="65"/>
    </row>
    <row r="113" ht="15" customHeight="1" spans="1:12" x14ac:dyDescent="0.25">
      <c r="A113" s="61"/>
      <c r="B113" s="60"/>
      <c r="C113" s="61"/>
      <c r="D113" s="61"/>
      <c r="E113" s="61"/>
      <c r="F113" s="61"/>
      <c r="G113" s="61"/>
      <c r="H113" s="61"/>
      <c r="I113" s="61"/>
      <c r="J113" s="68"/>
      <c r="K113" s="61"/>
      <c r="L113" s="61"/>
    </row>
    <row r="114" ht="15" customHeight="1" spans="1:12" x14ac:dyDescent="0.25">
      <c r="A114" s="65"/>
      <c r="B114" s="64"/>
      <c r="C114" s="65"/>
      <c r="D114" s="65"/>
      <c r="E114" s="65"/>
      <c r="F114" s="65"/>
      <c r="G114" s="65"/>
      <c r="H114" s="65"/>
      <c r="I114" s="65"/>
      <c r="J114" s="69"/>
      <c r="K114" s="65"/>
      <c r="L114" s="65"/>
    </row>
    <row r="115" ht="15" customHeight="1" spans="1:12" x14ac:dyDescent="0.25">
      <c r="A115" s="61"/>
      <c r="B115" s="60"/>
      <c r="C115" s="61"/>
      <c r="D115" s="61"/>
      <c r="E115" s="61"/>
      <c r="F115" s="61"/>
      <c r="G115" s="61"/>
      <c r="H115" s="61"/>
      <c r="I115" s="61"/>
      <c r="J115" s="68"/>
      <c r="K115" s="61"/>
      <c r="L115" s="61"/>
    </row>
    <row r="116" ht="15" customHeight="1" spans="1:12" x14ac:dyDescent="0.25">
      <c r="A116" s="65"/>
      <c r="B116" s="64"/>
      <c r="C116" s="65"/>
      <c r="D116" s="65"/>
      <c r="E116" s="65"/>
      <c r="F116" s="65"/>
      <c r="G116" s="65"/>
      <c r="H116" s="65"/>
      <c r="I116" s="65"/>
      <c r="J116" s="69"/>
      <c r="K116" s="65"/>
      <c r="L116" s="65"/>
    </row>
    <row r="117" ht="15" customHeight="1" spans="1:12" x14ac:dyDescent="0.25">
      <c r="A117" s="61"/>
      <c r="B117" s="60"/>
      <c r="C117" s="61"/>
      <c r="D117" s="61"/>
      <c r="E117" s="61"/>
      <c r="F117" s="61"/>
      <c r="G117" s="61"/>
      <c r="H117" s="61"/>
      <c r="I117" s="61"/>
      <c r="J117" s="68"/>
      <c r="K117" s="61"/>
      <c r="L117" s="61"/>
    </row>
    <row r="118" ht="15" customHeight="1" spans="1:12" x14ac:dyDescent="0.25">
      <c r="A118" s="65"/>
      <c r="B118" s="64"/>
      <c r="C118" s="65"/>
      <c r="D118" s="65"/>
      <c r="E118" s="65"/>
      <c r="F118" s="65"/>
      <c r="G118" s="65"/>
      <c r="H118" s="65"/>
      <c r="I118" s="65"/>
      <c r="J118" s="69"/>
      <c r="K118" s="65"/>
      <c r="L118" s="65"/>
    </row>
    <row r="119" ht="15" customHeight="1" spans="1:12" x14ac:dyDescent="0.25">
      <c r="A119" s="61"/>
      <c r="B119" s="60"/>
      <c r="C119" s="61"/>
      <c r="D119" s="61"/>
      <c r="E119" s="61"/>
      <c r="F119" s="61"/>
      <c r="G119" s="61"/>
      <c r="H119" s="61"/>
      <c r="I119" s="61"/>
      <c r="J119" s="68"/>
      <c r="K119" s="61"/>
      <c r="L119" s="61"/>
    </row>
    <row r="120" ht="15" customHeight="1" spans="1:12" x14ac:dyDescent="0.25">
      <c r="A120" s="65"/>
      <c r="B120" s="64"/>
      <c r="C120" s="65"/>
      <c r="D120" s="65"/>
      <c r="E120" s="65"/>
      <c r="F120" s="65"/>
      <c r="G120" s="65"/>
      <c r="H120" s="65"/>
      <c r="I120" s="65"/>
      <c r="J120" s="69"/>
      <c r="K120" s="65"/>
      <c r="L120" s="65"/>
    </row>
    <row r="121" ht="15" customHeight="1" spans="1:12" x14ac:dyDescent="0.25">
      <c r="A121" s="61"/>
      <c r="B121" s="60"/>
      <c r="C121" s="61"/>
      <c r="D121" s="61"/>
      <c r="E121" s="61"/>
      <c r="F121" s="61"/>
      <c r="G121" s="61"/>
      <c r="H121" s="61"/>
      <c r="I121" s="61"/>
      <c r="J121" s="68"/>
      <c r="K121" s="61"/>
      <c r="L121" s="61"/>
    </row>
    <row r="122" ht="15" customHeight="1" spans="1:12" x14ac:dyDescent="0.25">
      <c r="A122" s="65"/>
      <c r="B122" s="64"/>
      <c r="C122" s="65"/>
      <c r="D122" s="65"/>
      <c r="E122" s="65"/>
      <c r="F122" s="65"/>
      <c r="G122" s="65"/>
      <c r="H122" s="65"/>
      <c r="I122" s="65"/>
      <c r="J122" s="69"/>
      <c r="K122" s="65"/>
      <c r="L122" s="65"/>
    </row>
    <row r="123" ht="15" customHeight="1" spans="1:12" x14ac:dyDescent="0.25">
      <c r="A123" s="61"/>
      <c r="B123" s="60"/>
      <c r="C123" s="61"/>
      <c r="D123" s="61"/>
      <c r="E123" s="61"/>
      <c r="F123" s="61"/>
      <c r="G123" s="61"/>
      <c r="H123" s="61"/>
      <c r="I123" s="61"/>
      <c r="J123" s="68"/>
      <c r="K123" s="61"/>
      <c r="L123" s="61"/>
    </row>
    <row r="124" ht="15" customHeight="1" spans="1:12" x14ac:dyDescent="0.25">
      <c r="A124" s="65"/>
      <c r="B124" s="64"/>
      <c r="C124" s="65"/>
      <c r="D124" s="65"/>
      <c r="E124" s="65"/>
      <c r="F124" s="65"/>
      <c r="G124" s="65"/>
      <c r="H124" s="65"/>
      <c r="I124" s="65"/>
      <c r="J124" s="69"/>
      <c r="K124" s="65"/>
      <c r="L124" s="65"/>
    </row>
    <row r="125" ht="15" customHeight="1" spans="1:12" x14ac:dyDescent="0.25">
      <c r="A125" s="61"/>
      <c r="B125" s="60"/>
      <c r="C125" s="61"/>
      <c r="D125" s="61"/>
      <c r="E125" s="61"/>
      <c r="F125" s="61"/>
      <c r="G125" s="61"/>
      <c r="H125" s="61"/>
      <c r="I125" s="61"/>
      <c r="J125" s="68"/>
      <c r="K125" s="61"/>
      <c r="L125" s="61"/>
    </row>
    <row r="126" ht="15" customHeight="1" spans="1:12" x14ac:dyDescent="0.25">
      <c r="A126" s="65"/>
      <c r="B126" s="64"/>
      <c r="C126" s="65"/>
      <c r="D126" s="65"/>
      <c r="E126" s="65"/>
      <c r="F126" s="65"/>
      <c r="G126" s="65"/>
      <c r="H126" s="65"/>
      <c r="I126" s="65"/>
      <c r="J126" s="69"/>
      <c r="K126" s="65"/>
      <c r="L126" s="65"/>
    </row>
    <row r="127" ht="15" customHeight="1" spans="1:12" x14ac:dyDescent="0.25">
      <c r="A127" s="61"/>
      <c r="B127" s="60"/>
      <c r="C127" s="61"/>
      <c r="D127" s="61"/>
      <c r="E127" s="61"/>
      <c r="F127" s="61"/>
      <c r="G127" s="61"/>
      <c r="H127" s="61"/>
      <c r="I127" s="61"/>
      <c r="J127" s="68"/>
      <c r="K127" s="61"/>
      <c r="L127" s="61"/>
    </row>
    <row r="128" ht="15" customHeight="1" spans="1:12" x14ac:dyDescent="0.25">
      <c r="A128" s="65"/>
      <c r="B128" s="64"/>
      <c r="C128" s="65"/>
      <c r="D128" s="65"/>
      <c r="E128" s="65"/>
      <c r="F128" s="65"/>
      <c r="G128" s="65"/>
      <c r="H128" s="65"/>
      <c r="I128" s="65"/>
      <c r="J128" s="69"/>
      <c r="K128" s="65"/>
      <c r="L128" s="65"/>
    </row>
    <row r="129" ht="15" customHeight="1" spans="1:12" x14ac:dyDescent="0.25">
      <c r="A129" s="61"/>
      <c r="B129" s="60"/>
      <c r="C129" s="61"/>
      <c r="D129" s="61"/>
      <c r="E129" s="61"/>
      <c r="F129" s="61"/>
      <c r="G129" s="61"/>
      <c r="H129" s="61"/>
      <c r="I129" s="61"/>
      <c r="J129" s="68"/>
      <c r="K129" s="61"/>
      <c r="L129" s="61"/>
    </row>
    <row r="130" ht="15" customHeight="1" spans="1:12" x14ac:dyDescent="0.25">
      <c r="A130" s="65"/>
      <c r="B130" s="64"/>
      <c r="C130" s="65"/>
      <c r="D130" s="65"/>
      <c r="E130" s="65"/>
      <c r="F130" s="65"/>
      <c r="G130" s="65"/>
      <c r="H130" s="65"/>
      <c r="I130" s="65"/>
      <c r="J130" s="69"/>
      <c r="K130" s="65"/>
      <c r="L130" s="65"/>
    </row>
    <row r="131" ht="15" customHeight="1" spans="1:12" x14ac:dyDescent="0.25">
      <c r="A131" s="61"/>
      <c r="B131" s="60"/>
      <c r="C131" s="61"/>
      <c r="D131" s="61"/>
      <c r="E131" s="61"/>
      <c r="F131" s="61"/>
      <c r="G131" s="61"/>
      <c r="H131" s="61"/>
      <c r="I131" s="61"/>
      <c r="J131" s="68"/>
      <c r="K131" s="61"/>
      <c r="L131" s="61"/>
    </row>
    <row r="132" ht="15" customHeight="1" spans="1:12" x14ac:dyDescent="0.25">
      <c r="A132" s="65"/>
      <c r="B132" s="64"/>
      <c r="C132" s="65"/>
      <c r="D132" s="65"/>
      <c r="E132" s="65"/>
      <c r="F132" s="65"/>
      <c r="G132" s="65"/>
      <c r="H132" s="65"/>
      <c r="I132" s="65"/>
      <c r="J132" s="69"/>
      <c r="K132" s="65"/>
      <c r="L132" s="65"/>
    </row>
    <row r="133" ht="15" customHeight="1" spans="1:12" x14ac:dyDescent="0.25">
      <c r="A133" s="61"/>
      <c r="B133" s="60"/>
      <c r="C133" s="61"/>
      <c r="D133" s="61"/>
      <c r="E133" s="61"/>
      <c r="F133" s="61"/>
      <c r="G133" s="61"/>
      <c r="H133" s="61"/>
      <c r="I133" s="61"/>
      <c r="J133" s="68"/>
      <c r="K133" s="61"/>
      <c r="L133" s="61"/>
    </row>
    <row r="134" ht="15" customHeight="1" spans="1:12" x14ac:dyDescent="0.25">
      <c r="A134" s="65"/>
      <c r="B134" s="64"/>
      <c r="C134" s="65"/>
      <c r="D134" s="65"/>
      <c r="E134" s="65"/>
      <c r="F134" s="65"/>
      <c r="G134" s="65"/>
      <c r="H134" s="65"/>
      <c r="I134" s="65"/>
      <c r="J134" s="69"/>
      <c r="K134" s="65"/>
      <c r="L134" s="65"/>
    </row>
    <row r="135" ht="15" customHeight="1" spans="1:12" x14ac:dyDescent="0.25">
      <c r="A135" s="61"/>
      <c r="B135" s="60"/>
      <c r="C135" s="61"/>
      <c r="D135" s="61"/>
      <c r="E135" s="61"/>
      <c r="F135" s="61"/>
      <c r="G135" s="61"/>
      <c r="H135" s="61"/>
      <c r="I135" s="61"/>
      <c r="J135" s="68"/>
      <c r="K135" s="61"/>
      <c r="L135" s="61"/>
    </row>
    <row r="136" ht="15" customHeight="1" spans="1:12" x14ac:dyDescent="0.25">
      <c r="A136" s="65"/>
      <c r="B136" s="64"/>
      <c r="C136" s="65"/>
      <c r="D136" s="65"/>
      <c r="E136" s="65"/>
      <c r="F136" s="65"/>
      <c r="G136" s="65"/>
      <c r="H136" s="65"/>
      <c r="I136" s="65"/>
      <c r="J136" s="69"/>
      <c r="K136" s="65"/>
      <c r="L136" s="65"/>
    </row>
    <row r="137" ht="15" customHeight="1" spans="1:12" x14ac:dyDescent="0.25">
      <c r="A137" s="61"/>
      <c r="B137" s="60"/>
      <c r="C137" s="61"/>
      <c r="D137" s="61"/>
      <c r="E137" s="61"/>
      <c r="F137" s="61"/>
      <c r="G137" s="61"/>
      <c r="H137" s="61"/>
      <c r="I137" s="61"/>
      <c r="J137" s="68"/>
      <c r="K137" s="61"/>
      <c r="L137" s="61"/>
    </row>
    <row r="138" ht="15" customHeight="1" spans="1:12" x14ac:dyDescent="0.25">
      <c r="A138" s="65"/>
      <c r="B138" s="64"/>
      <c r="C138" s="65"/>
      <c r="D138" s="65"/>
      <c r="E138" s="65"/>
      <c r="F138" s="65"/>
      <c r="G138" s="65"/>
      <c r="H138" s="65"/>
      <c r="I138" s="65"/>
      <c r="J138" s="69"/>
      <c r="K138" s="65"/>
      <c r="L138" s="65"/>
    </row>
    <row r="139" ht="15" customHeight="1" spans="1:12" x14ac:dyDescent="0.25">
      <c r="A139" s="61"/>
      <c r="B139" s="60"/>
      <c r="C139" s="61"/>
      <c r="D139" s="61"/>
      <c r="E139" s="61"/>
      <c r="F139" s="61"/>
      <c r="G139" s="61"/>
      <c r="H139" s="61"/>
      <c r="I139" s="61"/>
      <c r="J139" s="68"/>
      <c r="K139" s="61"/>
      <c r="L139" s="61"/>
    </row>
    <row r="140" ht="15" customHeight="1" spans="1:12" x14ac:dyDescent="0.25">
      <c r="A140" s="65"/>
      <c r="B140" s="64"/>
      <c r="C140" s="65"/>
      <c r="D140" s="65"/>
      <c r="E140" s="65"/>
      <c r="F140" s="65"/>
      <c r="G140" s="65"/>
      <c r="H140" s="65"/>
      <c r="I140" s="65"/>
      <c r="J140" s="69"/>
      <c r="K140" s="65"/>
      <c r="L140" s="65"/>
    </row>
    <row r="141" ht="15" customHeight="1" spans="1:12" x14ac:dyDescent="0.25">
      <c r="A141" s="61"/>
      <c r="B141" s="60"/>
      <c r="C141" s="61"/>
      <c r="D141" s="61"/>
      <c r="E141" s="61"/>
      <c r="F141" s="61"/>
      <c r="G141" s="61"/>
      <c r="H141" s="61"/>
      <c r="I141" s="61"/>
      <c r="J141" s="68"/>
      <c r="K141" s="61"/>
      <c r="L141" s="61"/>
    </row>
    <row r="142" ht="15" customHeight="1" spans="1:12" x14ac:dyDescent="0.25">
      <c r="A142" s="65"/>
      <c r="B142" s="64"/>
      <c r="C142" s="65"/>
      <c r="D142" s="65"/>
      <c r="E142" s="65"/>
      <c r="F142" s="65"/>
      <c r="G142" s="65"/>
      <c r="H142" s="65"/>
      <c r="I142" s="65"/>
      <c r="J142" s="69"/>
      <c r="K142" s="65"/>
      <c r="L142" s="65"/>
    </row>
    <row r="143" ht="15" customHeight="1" spans="1:12" x14ac:dyDescent="0.25">
      <c r="A143" s="61"/>
      <c r="B143" s="60"/>
      <c r="C143" s="61"/>
      <c r="D143" s="61"/>
      <c r="E143" s="61"/>
      <c r="F143" s="61"/>
      <c r="G143" s="61"/>
      <c r="H143" s="61"/>
      <c r="I143" s="61"/>
      <c r="J143" s="68"/>
      <c r="K143" s="61"/>
      <c r="L143" s="61"/>
    </row>
    <row r="144" ht="15" customHeight="1" spans="1:12" x14ac:dyDescent="0.25">
      <c r="A144" s="65"/>
      <c r="B144" s="64"/>
      <c r="C144" s="65"/>
      <c r="D144" s="65"/>
      <c r="E144" s="65"/>
      <c r="F144" s="65"/>
      <c r="G144" s="65"/>
      <c r="H144" s="65"/>
      <c r="I144" s="65"/>
      <c r="J144" s="69"/>
      <c r="K144" s="65"/>
      <c r="L144" s="65"/>
    </row>
    <row r="145" ht="15" customHeight="1" spans="1:12" x14ac:dyDescent="0.25">
      <c r="A145" s="61"/>
      <c r="B145" s="60"/>
      <c r="C145" s="61"/>
      <c r="D145" s="61"/>
      <c r="E145" s="61"/>
      <c r="F145" s="61"/>
      <c r="G145" s="61"/>
      <c r="H145" s="61"/>
      <c r="I145" s="61"/>
      <c r="J145" s="68"/>
      <c r="K145" s="61"/>
      <c r="L145" s="61"/>
    </row>
    <row r="146" ht="15" customHeight="1" spans="1:12" x14ac:dyDescent="0.25">
      <c r="A146" s="65"/>
      <c r="B146" s="64"/>
      <c r="C146" s="65"/>
      <c r="D146" s="65"/>
      <c r="E146" s="65"/>
      <c r="F146" s="65"/>
      <c r="G146" s="65"/>
      <c r="H146" s="65"/>
      <c r="I146" s="65"/>
      <c r="J146" s="69"/>
      <c r="K146" s="65"/>
      <c r="L146" s="65"/>
    </row>
    <row r="147" ht="15" customHeight="1" spans="1:12" x14ac:dyDescent="0.25">
      <c r="A147" s="61"/>
      <c r="B147" s="60"/>
      <c r="C147" s="61"/>
      <c r="D147" s="61"/>
      <c r="E147" s="61"/>
      <c r="F147" s="61"/>
      <c r="G147" s="61"/>
      <c r="H147" s="61"/>
      <c r="I147" s="61"/>
      <c r="J147" s="68"/>
      <c r="K147" s="61"/>
      <c r="L147" s="61"/>
    </row>
    <row r="148" ht="15" customHeight="1" spans="1:12" x14ac:dyDescent="0.25">
      <c r="A148" s="65"/>
      <c r="B148" s="64"/>
      <c r="C148" s="65"/>
      <c r="D148" s="65"/>
      <c r="E148" s="65"/>
      <c r="F148" s="65"/>
      <c r="G148" s="65"/>
      <c r="H148" s="65"/>
      <c r="I148" s="65"/>
      <c r="J148" s="69"/>
      <c r="K148" s="65"/>
      <c r="L148" s="65"/>
    </row>
    <row r="149" ht="15" customHeight="1" spans="1:12" x14ac:dyDescent="0.25">
      <c r="A149" s="61"/>
      <c r="B149" s="60"/>
      <c r="C149" s="61"/>
      <c r="D149" s="61"/>
      <c r="E149" s="61"/>
      <c r="F149" s="61"/>
      <c r="G149" s="61"/>
      <c r="H149" s="61"/>
      <c r="I149" s="61"/>
      <c r="J149" s="68"/>
      <c r="K149" s="61"/>
      <c r="L149" s="61"/>
    </row>
    <row r="150" ht="15" customHeight="1" spans="1:12" x14ac:dyDescent="0.25">
      <c r="A150" s="65"/>
      <c r="B150" s="64"/>
      <c r="C150" s="65"/>
      <c r="D150" s="65"/>
      <c r="E150" s="65"/>
      <c r="F150" s="65"/>
      <c r="G150" s="65"/>
      <c r="H150" s="65"/>
      <c r="I150" s="65"/>
      <c r="J150" s="69"/>
      <c r="K150" s="65"/>
      <c r="L150" s="65"/>
    </row>
    <row r="151" ht="15" customHeight="1" spans="1:12" x14ac:dyDescent="0.25">
      <c r="A151" s="61"/>
      <c r="B151" s="60"/>
      <c r="C151" s="61"/>
      <c r="D151" s="61"/>
      <c r="E151" s="61"/>
      <c r="F151" s="61"/>
      <c r="G151" s="61"/>
      <c r="H151" s="61"/>
      <c r="I151" s="61"/>
      <c r="J151" s="68"/>
      <c r="K151" s="61"/>
      <c r="L151" s="61"/>
    </row>
    <row r="152" ht="15" customHeight="1" spans="1:12" x14ac:dyDescent="0.25">
      <c r="A152" s="65"/>
      <c r="B152" s="64"/>
      <c r="C152" s="65"/>
      <c r="D152" s="65"/>
      <c r="E152" s="65"/>
      <c r="F152" s="65"/>
      <c r="G152" s="65"/>
      <c r="H152" s="65"/>
      <c r="I152" s="65"/>
      <c r="J152" s="69"/>
      <c r="K152" s="65"/>
      <c r="L152" s="65"/>
    </row>
    <row r="153" ht="15" customHeight="1" spans="1:12" x14ac:dyDescent="0.25">
      <c r="A153" s="61"/>
      <c r="B153" s="60"/>
      <c r="C153" s="61"/>
      <c r="D153" s="61"/>
      <c r="E153" s="61"/>
      <c r="F153" s="61"/>
      <c r="G153" s="61"/>
      <c r="H153" s="61"/>
      <c r="I153" s="61"/>
      <c r="J153" s="68"/>
      <c r="K153" s="61"/>
      <c r="L153" s="61"/>
    </row>
    <row r="154" ht="15" customHeight="1" spans="1:12" x14ac:dyDescent="0.25">
      <c r="A154" s="65"/>
      <c r="B154" s="64"/>
      <c r="C154" s="65"/>
      <c r="D154" s="65"/>
      <c r="E154" s="65"/>
      <c r="F154" s="65"/>
      <c r="G154" s="65"/>
      <c r="H154" s="65"/>
      <c r="I154" s="65"/>
      <c r="J154" s="69"/>
      <c r="K154" s="65"/>
      <c r="L154" s="65"/>
    </row>
    <row r="155" ht="15" customHeight="1" spans="1:12" x14ac:dyDescent="0.25">
      <c r="A155" s="61"/>
      <c r="B155" s="60"/>
      <c r="C155" s="61"/>
      <c r="D155" s="61"/>
      <c r="E155" s="61"/>
      <c r="F155" s="61"/>
      <c r="G155" s="61"/>
      <c r="H155" s="61"/>
      <c r="I155" s="61"/>
      <c r="J155" s="68"/>
      <c r="K155" s="61"/>
      <c r="L155" s="61"/>
    </row>
    <row r="156" ht="15" customHeight="1" spans="1:12" x14ac:dyDescent="0.25">
      <c r="A156" s="65"/>
      <c r="B156" s="64"/>
      <c r="C156" s="65"/>
      <c r="D156" s="65"/>
      <c r="E156" s="65"/>
      <c r="F156" s="65"/>
      <c r="G156" s="65"/>
      <c r="H156" s="65"/>
      <c r="I156" s="65"/>
      <c r="J156" s="69"/>
      <c r="K156" s="65"/>
      <c r="L156" s="65"/>
    </row>
    <row r="157" ht="15" customHeight="1" spans="1:12" x14ac:dyDescent="0.25">
      <c r="A157" s="61"/>
      <c r="B157" s="60"/>
      <c r="C157" s="61"/>
      <c r="D157" s="61"/>
      <c r="E157" s="61"/>
      <c r="F157" s="61"/>
      <c r="G157" s="61"/>
      <c r="H157" s="61"/>
      <c r="I157" s="61"/>
      <c r="J157" s="68"/>
      <c r="K157" s="61"/>
      <c r="L157" s="61"/>
    </row>
    <row r="158" ht="15" customHeight="1" spans="1:12" x14ac:dyDescent="0.25">
      <c r="A158" s="65"/>
      <c r="B158" s="64"/>
      <c r="C158" s="65"/>
      <c r="D158" s="65"/>
      <c r="E158" s="65"/>
      <c r="F158" s="65"/>
      <c r="G158" s="65"/>
      <c r="H158" s="65"/>
      <c r="I158" s="65"/>
      <c r="J158" s="69"/>
      <c r="K158" s="65"/>
      <c r="L158" s="65"/>
    </row>
    <row r="159" ht="15" customHeight="1" spans="1:12" x14ac:dyDescent="0.25">
      <c r="A159" s="61"/>
      <c r="B159" s="60"/>
      <c r="C159" s="61"/>
      <c r="D159" s="61"/>
      <c r="E159" s="61"/>
      <c r="F159" s="61"/>
      <c r="G159" s="61"/>
      <c r="H159" s="61"/>
      <c r="I159" s="61"/>
      <c r="J159" s="68"/>
      <c r="K159" s="61"/>
      <c r="L159" s="61"/>
    </row>
    <row r="160" ht="15" customHeight="1" spans="1:12" x14ac:dyDescent="0.25">
      <c r="A160" s="65"/>
      <c r="B160" s="64"/>
      <c r="C160" s="65"/>
      <c r="D160" s="65"/>
      <c r="E160" s="65"/>
      <c r="F160" s="65"/>
      <c r="G160" s="65"/>
      <c r="H160" s="65"/>
      <c r="I160" s="65"/>
      <c r="J160" s="69"/>
      <c r="K160" s="65"/>
      <c r="L160" s="65"/>
    </row>
    <row r="161" ht="15" customHeight="1" spans="1:12" x14ac:dyDescent="0.25">
      <c r="A161" s="61"/>
      <c r="B161" s="60"/>
      <c r="C161" s="61"/>
      <c r="D161" s="61"/>
      <c r="E161" s="61"/>
      <c r="F161" s="61"/>
      <c r="G161" s="61"/>
      <c r="H161" s="61"/>
      <c r="I161" s="61"/>
      <c r="J161" s="68"/>
      <c r="K161" s="61"/>
      <c r="L161" s="61"/>
    </row>
    <row r="162" ht="15" customHeight="1" spans="1:12" x14ac:dyDescent="0.25">
      <c r="A162" s="65"/>
      <c r="B162" s="64"/>
      <c r="C162" s="65"/>
      <c r="D162" s="65"/>
      <c r="E162" s="65"/>
      <c r="F162" s="65"/>
      <c r="G162" s="65"/>
      <c r="H162" s="65"/>
      <c r="I162" s="65"/>
      <c r="J162" s="69"/>
      <c r="K162" s="65"/>
      <c r="L162" s="65"/>
    </row>
    <row r="163" ht="15" customHeight="1" spans="1:12" x14ac:dyDescent="0.25">
      <c r="A163" s="61"/>
      <c r="B163" s="60"/>
      <c r="C163" s="61"/>
      <c r="D163" s="61"/>
      <c r="E163" s="61"/>
      <c r="F163" s="61"/>
      <c r="G163" s="61"/>
      <c r="H163" s="61"/>
      <c r="I163" s="61"/>
      <c r="J163" s="68"/>
      <c r="K163" s="61"/>
      <c r="L163" s="61"/>
    </row>
    <row r="164" ht="15" customHeight="1" spans="1:12" x14ac:dyDescent="0.25">
      <c r="A164" s="65"/>
      <c r="B164" s="64"/>
      <c r="C164" s="65"/>
      <c r="D164" s="65"/>
      <c r="E164" s="65"/>
      <c r="F164" s="65"/>
      <c r="G164" s="65"/>
      <c r="H164" s="65"/>
      <c r="I164" s="65"/>
      <c r="J164" s="69"/>
      <c r="K164" s="65"/>
      <c r="L164" s="65"/>
    </row>
    <row r="165" ht="15" customHeight="1" spans="1:12" x14ac:dyDescent="0.25">
      <c r="A165" s="61"/>
      <c r="B165" s="60"/>
      <c r="C165" s="61"/>
      <c r="D165" s="61"/>
      <c r="E165" s="61"/>
      <c r="F165" s="61"/>
      <c r="G165" s="61"/>
      <c r="H165" s="61"/>
      <c r="I165" s="61"/>
      <c r="J165" s="68"/>
      <c r="K165" s="61"/>
      <c r="L165" s="61"/>
    </row>
    <row r="166" ht="15" customHeight="1" spans="1:12" x14ac:dyDescent="0.25">
      <c r="A166" s="65"/>
      <c r="B166" s="64"/>
      <c r="C166" s="65"/>
      <c r="D166" s="65"/>
      <c r="E166" s="65"/>
      <c r="F166" s="65"/>
      <c r="G166" s="65"/>
      <c r="H166" s="65"/>
      <c r="I166" s="65"/>
      <c r="J166" s="69"/>
      <c r="K166" s="65"/>
      <c r="L166" s="65"/>
    </row>
    <row r="167" ht="15" customHeight="1" spans="1:12" x14ac:dyDescent="0.25">
      <c r="A167" s="61"/>
      <c r="B167" s="60"/>
      <c r="C167" s="61"/>
      <c r="D167" s="61"/>
      <c r="E167" s="61"/>
      <c r="F167" s="61"/>
      <c r="G167" s="61"/>
      <c r="H167" s="61"/>
      <c r="I167" s="61"/>
      <c r="J167" s="68"/>
      <c r="K167" s="61"/>
      <c r="L167" s="61"/>
    </row>
    <row r="168" ht="15" customHeight="1" spans="1:12" x14ac:dyDescent="0.25">
      <c r="A168" s="65"/>
      <c r="B168" s="64"/>
      <c r="C168" s="65"/>
      <c r="D168" s="65"/>
      <c r="E168" s="65"/>
      <c r="F168" s="65"/>
      <c r="G168" s="65"/>
      <c r="H168" s="65"/>
      <c r="I168" s="65"/>
      <c r="J168" s="69"/>
      <c r="K168" s="65"/>
      <c r="L168" s="65"/>
    </row>
    <row r="169" ht="15" customHeight="1" spans="1:12" x14ac:dyDescent="0.25">
      <c r="A169" s="61"/>
      <c r="B169" s="60"/>
      <c r="C169" s="61"/>
      <c r="D169" s="61"/>
      <c r="E169" s="61"/>
      <c r="F169" s="61"/>
      <c r="G169" s="61"/>
      <c r="H169" s="61"/>
      <c r="I169" s="61"/>
      <c r="J169" s="68"/>
      <c r="K169" s="61"/>
      <c r="L169" s="61"/>
    </row>
    <row r="170" ht="15" customHeight="1" spans="1:12" x14ac:dyDescent="0.25">
      <c r="A170" s="65"/>
      <c r="B170" s="64"/>
      <c r="C170" s="65"/>
      <c r="D170" s="65"/>
      <c r="E170" s="65"/>
      <c r="F170" s="65"/>
      <c r="G170" s="65"/>
      <c r="H170" s="65"/>
      <c r="I170" s="65"/>
      <c r="J170" s="69"/>
      <c r="K170" s="65"/>
      <c r="L170" s="65"/>
    </row>
    <row r="171" ht="15" customHeight="1" spans="1:12" x14ac:dyDescent="0.25">
      <c r="A171" s="61"/>
      <c r="B171" s="60"/>
      <c r="C171" s="61"/>
      <c r="D171" s="61"/>
      <c r="E171" s="61"/>
      <c r="F171" s="61"/>
      <c r="G171" s="61"/>
      <c r="H171" s="61"/>
      <c r="I171" s="61"/>
      <c r="J171" s="68"/>
      <c r="K171" s="61"/>
      <c r="L171" s="61"/>
    </row>
    <row r="172" ht="15" customHeight="1" spans="1:12" x14ac:dyDescent="0.25">
      <c r="A172" s="65"/>
      <c r="B172" s="64"/>
      <c r="C172" s="65"/>
      <c r="D172" s="65"/>
      <c r="E172" s="65"/>
      <c r="F172" s="65"/>
      <c r="G172" s="65"/>
      <c r="H172" s="65"/>
      <c r="I172" s="65"/>
      <c r="J172" s="69"/>
      <c r="K172" s="65"/>
      <c r="L172" s="65"/>
    </row>
    <row r="173" ht="15" customHeight="1" spans="1:12" x14ac:dyDescent="0.25">
      <c r="A173" s="61"/>
      <c r="B173" s="60"/>
      <c r="C173" s="61"/>
      <c r="D173" s="61"/>
      <c r="E173" s="61"/>
      <c r="F173" s="61"/>
      <c r="G173" s="61"/>
      <c r="H173" s="61"/>
      <c r="I173" s="61"/>
      <c r="J173" s="68"/>
      <c r="K173" s="61"/>
      <c r="L173" s="61"/>
    </row>
    <row r="174" ht="15" customHeight="1" spans="1:12" x14ac:dyDescent="0.25">
      <c r="A174" s="65"/>
      <c r="B174" s="64"/>
      <c r="C174" s="65"/>
      <c r="D174" s="65"/>
      <c r="E174" s="65"/>
      <c r="F174" s="65"/>
      <c r="G174" s="65"/>
      <c r="H174" s="65"/>
      <c r="I174" s="65"/>
      <c r="J174" s="69"/>
      <c r="K174" s="65"/>
      <c r="L174" s="65"/>
    </row>
    <row r="175" ht="15" customHeight="1" spans="1:12" x14ac:dyDescent="0.25">
      <c r="A175" s="61"/>
      <c r="B175" s="60"/>
      <c r="C175" s="61"/>
      <c r="D175" s="61"/>
      <c r="E175" s="61"/>
      <c r="F175" s="61"/>
      <c r="G175" s="61"/>
      <c r="H175" s="61"/>
      <c r="I175" s="61"/>
      <c r="J175" s="68"/>
      <c r="K175" s="61"/>
      <c r="L175" s="61"/>
    </row>
    <row r="176" ht="15" customHeight="1" spans="1:12" x14ac:dyDescent="0.25">
      <c r="A176" s="65"/>
      <c r="B176" s="64"/>
      <c r="C176" s="65"/>
      <c r="D176" s="65"/>
      <c r="E176" s="65"/>
      <c r="F176" s="65"/>
      <c r="G176" s="65"/>
      <c r="H176" s="65"/>
      <c r="I176" s="65"/>
      <c r="J176" s="69"/>
      <c r="K176" s="65"/>
      <c r="L176" s="65"/>
    </row>
    <row r="177" ht="15" customHeight="1" spans="1:12" x14ac:dyDescent="0.25">
      <c r="A177" s="61"/>
      <c r="B177" s="60"/>
      <c r="C177" s="61"/>
      <c r="D177" s="61"/>
      <c r="E177" s="61"/>
      <c r="F177" s="61"/>
      <c r="G177" s="61"/>
      <c r="H177" s="61"/>
      <c r="I177" s="61"/>
      <c r="J177" s="68"/>
      <c r="K177" s="61"/>
      <c r="L177" s="61"/>
    </row>
    <row r="178" ht="15" customHeight="1" spans="1:12" x14ac:dyDescent="0.25">
      <c r="A178" s="65"/>
      <c r="B178" s="64"/>
      <c r="C178" s="65"/>
      <c r="D178" s="65"/>
      <c r="E178" s="65"/>
      <c r="F178" s="65"/>
      <c r="G178" s="65"/>
      <c r="H178" s="65"/>
      <c r="I178" s="65"/>
      <c r="J178" s="69"/>
      <c r="K178" s="65"/>
      <c r="L178" s="65"/>
    </row>
    <row r="179" ht="15" customHeight="1" spans="1:12" x14ac:dyDescent="0.25">
      <c r="A179" s="61"/>
      <c r="B179" s="60"/>
      <c r="C179" s="61"/>
      <c r="D179" s="61"/>
      <c r="E179" s="61"/>
      <c r="F179" s="61"/>
      <c r="G179" s="61"/>
      <c r="H179" s="61"/>
      <c r="I179" s="61"/>
      <c r="J179" s="68"/>
      <c r="K179" s="61"/>
      <c r="L179" s="61"/>
    </row>
    <row r="180" ht="15" customHeight="1" spans="1:12" x14ac:dyDescent="0.25">
      <c r="A180" s="65"/>
      <c r="B180" s="64"/>
      <c r="C180" s="65"/>
      <c r="D180" s="65"/>
      <c r="E180" s="65"/>
      <c r="F180" s="65"/>
      <c r="G180" s="65"/>
      <c r="H180" s="65"/>
      <c r="I180" s="65"/>
      <c r="J180" s="69"/>
      <c r="K180" s="65"/>
      <c r="L180" s="65"/>
    </row>
    <row r="181" ht="15" customHeight="1" spans="1:12" x14ac:dyDescent="0.25">
      <c r="A181" s="61"/>
      <c r="B181" s="60"/>
      <c r="C181" s="61"/>
      <c r="D181" s="61"/>
      <c r="E181" s="61"/>
      <c r="F181" s="61"/>
      <c r="G181" s="61"/>
      <c r="H181" s="61"/>
      <c r="I181" s="61"/>
      <c r="J181" s="68"/>
      <c r="K181" s="61"/>
      <c r="L181" s="61"/>
    </row>
    <row r="182" ht="15" customHeight="1" spans="1:12" x14ac:dyDescent="0.25">
      <c r="A182" s="65"/>
      <c r="B182" s="64"/>
      <c r="C182" s="65"/>
      <c r="D182" s="65"/>
      <c r="E182" s="65"/>
      <c r="F182" s="65"/>
      <c r="G182" s="65"/>
      <c r="H182" s="65"/>
      <c r="I182" s="65"/>
      <c r="J182" s="69"/>
      <c r="K182" s="65"/>
      <c r="L182" s="65"/>
    </row>
    <row r="183" ht="15" customHeight="1" spans="1:12" x14ac:dyDescent="0.25">
      <c r="A183" s="61"/>
      <c r="B183" s="60"/>
      <c r="C183" s="61"/>
      <c r="D183" s="61"/>
      <c r="E183" s="61"/>
      <c r="F183" s="61"/>
      <c r="G183" s="61"/>
      <c r="H183" s="61"/>
      <c r="I183" s="61"/>
      <c r="J183" s="68"/>
      <c r="K183" s="61"/>
      <c r="L183" s="61"/>
    </row>
    <row r="184" ht="15" customHeight="1" spans="1:12" x14ac:dyDescent="0.25">
      <c r="A184" s="65"/>
      <c r="B184" s="64"/>
      <c r="C184" s="65"/>
      <c r="D184" s="65"/>
      <c r="E184" s="65"/>
      <c r="F184" s="65"/>
      <c r="G184" s="65"/>
      <c r="H184" s="65"/>
      <c r="I184" s="65"/>
      <c r="J184" s="69"/>
      <c r="K184" s="65"/>
      <c r="L184" s="65"/>
    </row>
    <row r="185" ht="15" customHeight="1" spans="1:12" x14ac:dyDescent="0.25">
      <c r="A185" s="61"/>
      <c r="B185" s="60"/>
      <c r="C185" s="61"/>
      <c r="D185" s="61"/>
      <c r="E185" s="61"/>
      <c r="F185" s="61"/>
      <c r="G185" s="61"/>
      <c r="H185" s="61"/>
      <c r="I185" s="61"/>
      <c r="J185" s="68"/>
      <c r="K185" s="61"/>
      <c r="L185" s="61"/>
    </row>
    <row r="186" ht="15" customHeight="1" spans="1:12" x14ac:dyDescent="0.25">
      <c r="A186" s="65"/>
      <c r="B186" s="64"/>
      <c r="C186" s="65"/>
      <c r="D186" s="65"/>
      <c r="E186" s="65"/>
      <c r="F186" s="65"/>
      <c r="G186" s="65"/>
      <c r="H186" s="65"/>
      <c r="I186" s="65"/>
      <c r="J186" s="69"/>
      <c r="K186" s="65"/>
      <c r="L186" s="65"/>
    </row>
    <row r="187" ht="15" customHeight="1" spans="1:12" x14ac:dyDescent="0.25">
      <c r="A187" s="61"/>
      <c r="B187" s="60"/>
      <c r="C187" s="61"/>
      <c r="D187" s="61"/>
      <c r="E187" s="61"/>
      <c r="F187" s="61"/>
      <c r="G187" s="61"/>
      <c r="H187" s="61"/>
      <c r="I187" s="61"/>
      <c r="J187" s="68"/>
      <c r="K187" s="61"/>
      <c r="L187" s="61"/>
    </row>
    <row r="188" ht="15" customHeight="1" spans="1:12" x14ac:dyDescent="0.25">
      <c r="A188" s="65"/>
      <c r="B188" s="64"/>
      <c r="C188" s="65"/>
      <c r="D188" s="65"/>
      <c r="E188" s="65"/>
      <c r="F188" s="65"/>
      <c r="G188" s="65"/>
      <c r="H188" s="65"/>
      <c r="I188" s="65"/>
      <c r="J188" s="69"/>
      <c r="K188" s="65"/>
      <c r="L188" s="65"/>
    </row>
    <row r="189" ht="15" customHeight="1" spans="1:12" x14ac:dyDescent="0.25">
      <c r="A189" s="61"/>
      <c r="B189" s="60"/>
      <c r="C189" s="61"/>
      <c r="D189" s="61"/>
      <c r="E189" s="61"/>
      <c r="F189" s="61"/>
      <c r="G189" s="61"/>
      <c r="H189" s="61"/>
      <c r="I189" s="61"/>
      <c r="J189" s="68"/>
      <c r="K189" s="61"/>
      <c r="L189" s="61"/>
    </row>
    <row r="190" ht="15" customHeight="1" spans="1:12" x14ac:dyDescent="0.25">
      <c r="A190" s="65"/>
      <c r="B190" s="64"/>
      <c r="C190" s="65"/>
      <c r="D190" s="65"/>
      <c r="E190" s="65"/>
      <c r="F190" s="65"/>
      <c r="G190" s="65"/>
      <c r="H190" s="65"/>
      <c r="I190" s="65"/>
      <c r="J190" s="69"/>
      <c r="K190" s="65"/>
      <c r="L190" s="65"/>
    </row>
    <row r="191" ht="15" customHeight="1" spans="1:12" x14ac:dyDescent="0.25">
      <c r="A191" s="61"/>
      <c r="B191" s="60"/>
      <c r="C191" s="61"/>
      <c r="D191" s="61"/>
      <c r="E191" s="61"/>
      <c r="F191" s="61"/>
      <c r="G191" s="61"/>
      <c r="H191" s="61"/>
      <c r="I191" s="61"/>
      <c r="J191" s="68"/>
      <c r="K191" s="61"/>
      <c r="L191" s="61"/>
    </row>
    <row r="192" ht="15" customHeight="1" spans="1:12" x14ac:dyDescent="0.25">
      <c r="A192" s="65"/>
      <c r="B192" s="64"/>
      <c r="C192" s="65"/>
      <c r="D192" s="65"/>
      <c r="E192" s="65"/>
      <c r="F192" s="65"/>
      <c r="G192" s="65"/>
      <c r="H192" s="65"/>
      <c r="I192" s="65"/>
      <c r="J192" s="69"/>
      <c r="K192" s="65"/>
      <c r="L192" s="65"/>
    </row>
    <row r="193" ht="15" customHeight="1" spans="1:12" x14ac:dyDescent="0.25">
      <c r="A193" s="61"/>
      <c r="B193" s="60"/>
      <c r="C193" s="61"/>
      <c r="D193" s="61"/>
      <c r="E193" s="61"/>
      <c r="F193" s="61"/>
      <c r="G193" s="61"/>
      <c r="H193" s="61"/>
      <c r="I193" s="61"/>
      <c r="J193" s="68"/>
      <c r="K193" s="61"/>
      <c r="L193" s="61"/>
    </row>
    <row r="194" ht="15" customHeight="1" spans="1:12" x14ac:dyDescent="0.25">
      <c r="A194" s="65"/>
      <c r="B194" s="64"/>
      <c r="C194" s="65"/>
      <c r="D194" s="65"/>
      <c r="E194" s="65"/>
      <c r="F194" s="65"/>
      <c r="G194" s="65"/>
      <c r="H194" s="65"/>
      <c r="I194" s="65"/>
      <c r="J194" s="69"/>
      <c r="K194" s="65"/>
      <c r="L194" s="65"/>
    </row>
    <row r="195" ht="15" customHeight="1" spans="1:12" x14ac:dyDescent="0.25">
      <c r="A195" s="61"/>
      <c r="B195" s="60"/>
      <c r="C195" s="61"/>
      <c r="D195" s="61"/>
      <c r="E195" s="61"/>
      <c r="F195" s="61"/>
      <c r="G195" s="61"/>
      <c r="H195" s="61"/>
      <c r="I195" s="61"/>
      <c r="J195" s="68"/>
      <c r="K195" s="61"/>
      <c r="L195" s="61"/>
    </row>
    <row r="196" ht="15" customHeight="1" spans="1:12" x14ac:dyDescent="0.25">
      <c r="A196" s="65"/>
      <c r="B196" s="64"/>
      <c r="C196" s="65"/>
      <c r="D196" s="65"/>
      <c r="E196" s="65"/>
      <c r="F196" s="65"/>
      <c r="G196" s="65"/>
      <c r="H196" s="65"/>
      <c r="I196" s="65"/>
      <c r="J196" s="69"/>
      <c r="K196" s="65"/>
      <c r="L196" s="65"/>
    </row>
    <row r="197" ht="15" customHeight="1" spans="1:12" x14ac:dyDescent="0.25">
      <c r="A197" s="61"/>
      <c r="B197" s="60"/>
      <c r="C197" s="61"/>
      <c r="D197" s="61"/>
      <c r="E197" s="61"/>
      <c r="F197" s="61"/>
      <c r="G197" s="61"/>
      <c r="H197" s="61"/>
      <c r="I197" s="61"/>
      <c r="J197" s="68"/>
      <c r="K197" s="61"/>
      <c r="L197" s="61"/>
    </row>
    <row r="198" ht="15" customHeight="1" spans="1:12" x14ac:dyDescent="0.25">
      <c r="A198" s="65"/>
      <c r="B198" s="64"/>
      <c r="C198" s="65"/>
      <c r="D198" s="65"/>
      <c r="E198" s="65"/>
      <c r="F198" s="65"/>
      <c r="G198" s="65"/>
      <c r="H198" s="65"/>
      <c r="I198" s="65"/>
      <c r="J198" s="69"/>
      <c r="K198" s="65"/>
      <c r="L198" s="65"/>
    </row>
    <row r="199" ht="15" customHeight="1" spans="1:12" x14ac:dyDescent="0.25">
      <c r="A199" s="61"/>
      <c r="B199" s="60"/>
      <c r="C199" s="61"/>
      <c r="D199" s="61"/>
      <c r="E199" s="61"/>
      <c r="F199" s="61"/>
      <c r="G199" s="61"/>
      <c r="H199" s="61"/>
      <c r="I199" s="61"/>
      <c r="J199" s="68"/>
      <c r="K199" s="61"/>
      <c r="L199" s="61"/>
    </row>
    <row r="200" ht="15" customHeight="1" spans="1:12" x14ac:dyDescent="0.25">
      <c r="A200" s="65"/>
      <c r="B200" s="64"/>
      <c r="C200" s="65"/>
      <c r="D200" s="65"/>
      <c r="E200" s="65"/>
      <c r="F200" s="65"/>
      <c r="G200" s="65"/>
      <c r="H200" s="65"/>
      <c r="I200" s="65"/>
      <c r="J200" s="69"/>
      <c r="K200" s="65"/>
      <c r="L200" s="65"/>
    </row>
    <row r="201" ht="15" customHeight="1" spans="1:12" x14ac:dyDescent="0.25">
      <c r="A201" s="61"/>
      <c r="B201" s="60"/>
      <c r="C201" s="61"/>
      <c r="D201" s="61"/>
      <c r="E201" s="61"/>
      <c r="F201" s="61"/>
      <c r="G201" s="61"/>
      <c r="H201" s="61"/>
      <c r="I201" s="61"/>
      <c r="J201" s="68"/>
      <c r="K201" s="61"/>
      <c r="L201" s="61"/>
    </row>
    <row r="202" ht="15" customHeight="1" spans="1:12" x14ac:dyDescent="0.25">
      <c r="A202" s="65"/>
      <c r="B202" s="64"/>
      <c r="C202" s="65"/>
      <c r="D202" s="65"/>
      <c r="E202" s="65"/>
      <c r="F202" s="65"/>
      <c r="G202" s="65"/>
      <c r="H202" s="65"/>
      <c r="I202" s="65"/>
      <c r="J202" s="69"/>
      <c r="K202" s="65"/>
      <c r="L202" s="65"/>
    </row>
    <row r="203" ht="15" customHeight="1" spans="1:12" x14ac:dyDescent="0.25">
      <c r="A203" s="61"/>
      <c r="B203" s="60"/>
      <c r="C203" s="61"/>
      <c r="D203" s="61"/>
      <c r="E203" s="61"/>
      <c r="F203" s="61"/>
      <c r="G203" s="61"/>
      <c r="H203" s="61"/>
      <c r="I203" s="61"/>
      <c r="J203" s="68"/>
      <c r="K203" s="61"/>
      <c r="L203" s="61"/>
    </row>
    <row r="204" ht="15" customHeight="1" spans="1:12" x14ac:dyDescent="0.25">
      <c r="A204" s="65"/>
      <c r="B204" s="64"/>
      <c r="C204" s="65"/>
      <c r="D204" s="65"/>
      <c r="E204" s="65"/>
      <c r="F204" s="65"/>
      <c r="G204" s="65"/>
      <c r="H204" s="65"/>
      <c r="I204" s="65"/>
      <c r="J204" s="69"/>
      <c r="K204" s="65"/>
      <c r="L204" s="65"/>
    </row>
    <row r="205" ht="15" customHeight="1" spans="1:12" x14ac:dyDescent="0.25">
      <c r="A205" s="61"/>
      <c r="B205" s="60"/>
      <c r="C205" s="61"/>
      <c r="D205" s="61"/>
      <c r="E205" s="61"/>
      <c r="F205" s="61"/>
      <c r="G205" s="61"/>
      <c r="H205" s="61"/>
      <c r="I205" s="61"/>
      <c r="J205" s="68"/>
      <c r="K205" s="61"/>
      <c r="L205" s="61"/>
    </row>
    <row r="206" ht="15" customHeight="1" spans="1:12" x14ac:dyDescent="0.25">
      <c r="A206" s="65"/>
      <c r="B206" s="64"/>
      <c r="C206" s="65"/>
      <c r="D206" s="65"/>
      <c r="E206" s="65"/>
      <c r="F206" s="65"/>
      <c r="G206" s="65"/>
      <c r="H206" s="65"/>
      <c r="I206" s="65"/>
      <c r="J206" s="69"/>
      <c r="K206" s="65"/>
      <c r="L206" s="65"/>
    </row>
    <row r="207" ht="15" customHeight="1" spans="1:12" x14ac:dyDescent="0.25">
      <c r="A207" s="61"/>
      <c r="B207" s="60"/>
      <c r="C207" s="61"/>
      <c r="D207" s="61"/>
      <c r="E207" s="61"/>
      <c r="F207" s="61"/>
      <c r="G207" s="61"/>
      <c r="H207" s="61"/>
      <c r="I207" s="61"/>
      <c r="J207" s="68"/>
      <c r="K207" s="61"/>
      <c r="L207" s="61"/>
    </row>
    <row r="208" ht="15" customHeight="1" spans="1:12" x14ac:dyDescent="0.25">
      <c r="A208" s="65"/>
      <c r="B208" s="64"/>
      <c r="C208" s="65"/>
      <c r="D208" s="65"/>
      <c r="E208" s="65"/>
      <c r="F208" s="65"/>
      <c r="G208" s="65"/>
      <c r="H208" s="65"/>
      <c r="I208" s="65"/>
      <c r="J208" s="69"/>
      <c r="K208" s="65"/>
      <c r="L208" s="65"/>
    </row>
    <row r="209" ht="15" customHeight="1" spans="1:12" x14ac:dyDescent="0.25">
      <c r="A209" s="61"/>
      <c r="B209" s="60"/>
      <c r="C209" s="61"/>
      <c r="D209" s="61"/>
      <c r="E209" s="61"/>
      <c r="F209" s="61"/>
      <c r="G209" s="61"/>
      <c r="H209" s="61"/>
      <c r="I209" s="61"/>
      <c r="J209" s="68"/>
      <c r="K209" s="61"/>
      <c r="L209" s="61"/>
    </row>
    <row r="210" ht="15" customHeight="1" spans="1:12" x14ac:dyDescent="0.25">
      <c r="A210" s="65"/>
      <c r="B210" s="64"/>
      <c r="C210" s="65"/>
      <c r="D210" s="65"/>
      <c r="E210" s="65"/>
      <c r="F210" s="65"/>
      <c r="G210" s="65"/>
      <c r="H210" s="65"/>
      <c r="I210" s="65"/>
      <c r="J210" s="69"/>
      <c r="K210" s="65"/>
      <c r="L210" s="65"/>
    </row>
    <row r="211" ht="15" customHeight="1" spans="1:12" x14ac:dyDescent="0.25">
      <c r="A211" s="61"/>
      <c r="B211" s="60"/>
      <c r="C211" s="61"/>
      <c r="D211" s="61"/>
      <c r="E211" s="61"/>
      <c r="F211" s="61"/>
      <c r="G211" s="61"/>
      <c r="H211" s="61"/>
      <c r="I211" s="61"/>
      <c r="J211" s="68"/>
      <c r="K211" s="61"/>
      <c r="L211" s="61"/>
    </row>
    <row r="212" ht="15" customHeight="1" spans="1:12" x14ac:dyDescent="0.25">
      <c r="A212" s="65"/>
      <c r="B212" s="64"/>
      <c r="C212" s="65"/>
      <c r="D212" s="65"/>
      <c r="E212" s="65"/>
      <c r="F212" s="65"/>
      <c r="G212" s="65"/>
      <c r="H212" s="65"/>
      <c r="I212" s="65"/>
      <c r="J212" s="69"/>
      <c r="K212" s="65"/>
      <c r="L212" s="65"/>
    </row>
    <row r="213" ht="15" customHeight="1" spans="1:12" x14ac:dyDescent="0.25">
      <c r="A213" s="61"/>
      <c r="B213" s="60"/>
      <c r="C213" s="61"/>
      <c r="D213" s="61"/>
      <c r="E213" s="61"/>
      <c r="F213" s="61"/>
      <c r="G213" s="61"/>
      <c r="H213" s="61"/>
      <c r="I213" s="61"/>
      <c r="J213" s="68"/>
      <c r="K213" s="61"/>
      <c r="L213" s="61"/>
    </row>
    <row r="214" ht="15" customHeight="1" spans="1:12" x14ac:dyDescent="0.25">
      <c r="A214" s="65"/>
      <c r="B214" s="64"/>
      <c r="C214" s="65"/>
      <c r="D214" s="65"/>
      <c r="E214" s="65"/>
      <c r="F214" s="65"/>
      <c r="G214" s="65"/>
      <c r="H214" s="65"/>
      <c r="I214" s="65"/>
      <c r="J214" s="69"/>
      <c r="K214" s="65"/>
      <c r="L214" s="65"/>
    </row>
    <row r="215" ht="15" customHeight="1" spans="1:12" x14ac:dyDescent="0.25">
      <c r="A215" s="61"/>
      <c r="B215" s="60"/>
      <c r="C215" s="61"/>
      <c r="D215" s="61"/>
      <c r="E215" s="61"/>
      <c r="F215" s="61"/>
      <c r="G215" s="61"/>
      <c r="H215" s="61"/>
      <c r="I215" s="61"/>
      <c r="J215" s="68"/>
      <c r="K215" s="61"/>
      <c r="L215" s="61"/>
    </row>
    <row r="216" ht="15" customHeight="1" spans="1:12" x14ac:dyDescent="0.25">
      <c r="A216" s="65"/>
      <c r="B216" s="64"/>
      <c r="C216" s="65"/>
      <c r="D216" s="65"/>
      <c r="E216" s="65"/>
      <c r="F216" s="65"/>
      <c r="G216" s="65"/>
      <c r="H216" s="65"/>
      <c r="I216" s="65"/>
      <c r="J216" s="69"/>
      <c r="K216" s="65"/>
      <c r="L216" s="65"/>
    </row>
    <row r="217" ht="15" customHeight="1" spans="1:12" x14ac:dyDescent="0.25">
      <c r="A217" s="61"/>
      <c r="B217" s="60"/>
      <c r="C217" s="61"/>
      <c r="D217" s="61"/>
      <c r="E217" s="61"/>
      <c r="F217" s="61"/>
      <c r="G217" s="61"/>
      <c r="H217" s="61"/>
      <c r="I217" s="61"/>
      <c r="J217" s="68"/>
      <c r="K217" s="61"/>
      <c r="L217" s="61"/>
    </row>
    <row r="218" ht="15" customHeight="1" spans="1:12" x14ac:dyDescent="0.25">
      <c r="A218" s="65"/>
      <c r="B218" s="64"/>
      <c r="C218" s="65"/>
      <c r="D218" s="65"/>
      <c r="E218" s="65"/>
      <c r="F218" s="65"/>
      <c r="G218" s="65"/>
      <c r="H218" s="65"/>
      <c r="I218" s="65"/>
      <c r="J218" s="69"/>
      <c r="K218" s="65"/>
      <c r="L218" s="65"/>
    </row>
    <row r="219" ht="15" customHeight="1" spans="1:12" x14ac:dyDescent="0.25">
      <c r="A219" s="61"/>
      <c r="B219" s="60"/>
      <c r="C219" s="61"/>
      <c r="D219" s="61"/>
      <c r="E219" s="61"/>
      <c r="F219" s="61"/>
      <c r="G219" s="61"/>
      <c r="H219" s="61"/>
      <c r="I219" s="61"/>
      <c r="J219" s="68"/>
      <c r="K219" s="61"/>
      <c r="L219" s="61"/>
    </row>
    <row r="220" ht="15" customHeight="1" spans="1:12" x14ac:dyDescent="0.25">
      <c r="A220" s="65"/>
      <c r="B220" s="64"/>
      <c r="C220" s="65"/>
      <c r="D220" s="65"/>
      <c r="E220" s="65"/>
      <c r="F220" s="65"/>
      <c r="G220" s="65"/>
      <c r="H220" s="65"/>
      <c r="I220" s="65"/>
      <c r="J220" s="69"/>
      <c r="K220" s="65"/>
      <c r="L220" s="65"/>
    </row>
    <row r="221" ht="15" customHeight="1" spans="1:12" x14ac:dyDescent="0.25">
      <c r="A221" s="61"/>
      <c r="B221" s="60"/>
      <c r="C221" s="61"/>
      <c r="D221" s="61"/>
      <c r="E221" s="61"/>
      <c r="F221" s="61"/>
      <c r="G221" s="61"/>
      <c r="H221" s="61"/>
      <c r="I221" s="61"/>
      <c r="J221" s="68"/>
      <c r="K221" s="61"/>
      <c r="L221" s="61"/>
    </row>
    <row r="222" ht="15" customHeight="1" spans="1:12" x14ac:dyDescent="0.25">
      <c r="A222" s="65"/>
      <c r="B222" s="64"/>
      <c r="C222" s="65"/>
      <c r="D222" s="65"/>
      <c r="E222" s="65"/>
      <c r="F222" s="65"/>
      <c r="G222" s="65"/>
      <c r="H222" s="65"/>
      <c r="I222" s="65"/>
      <c r="J222" s="69"/>
      <c r="K222" s="65"/>
      <c r="L222" s="65"/>
    </row>
    <row r="223" ht="15" customHeight="1" spans="1:12" x14ac:dyDescent="0.25">
      <c r="A223" s="61"/>
      <c r="B223" s="60"/>
      <c r="C223" s="61"/>
      <c r="D223" s="61"/>
      <c r="E223" s="61"/>
      <c r="F223" s="61"/>
      <c r="G223" s="61"/>
      <c r="H223" s="61"/>
      <c r="I223" s="61"/>
      <c r="J223" s="68"/>
      <c r="K223" s="61"/>
      <c r="L223" s="61"/>
    </row>
    <row r="224" ht="15" customHeight="1" spans="1:12" x14ac:dyDescent="0.25">
      <c r="A224" s="65"/>
      <c r="B224" s="64"/>
      <c r="C224" s="65"/>
      <c r="D224" s="65"/>
      <c r="E224" s="65"/>
      <c r="F224" s="65"/>
      <c r="G224" s="65"/>
      <c r="H224" s="65"/>
      <c r="I224" s="65"/>
      <c r="J224" s="69"/>
      <c r="K224" s="65"/>
      <c r="L224" s="65"/>
    </row>
    <row r="225" ht="15" customHeight="1" spans="1:12" x14ac:dyDescent="0.25">
      <c r="A225" s="61"/>
      <c r="B225" s="60"/>
      <c r="C225" s="61"/>
      <c r="D225" s="61"/>
      <c r="E225" s="61"/>
      <c r="F225" s="61"/>
      <c r="G225" s="61"/>
      <c r="H225" s="61"/>
      <c r="I225" s="61"/>
      <c r="J225" s="68"/>
      <c r="K225" s="61"/>
      <c r="L225" s="61"/>
    </row>
    <row r="226" ht="15" customHeight="1" spans="1:12" x14ac:dyDescent="0.25">
      <c r="A226" s="65"/>
      <c r="B226" s="64"/>
      <c r="C226" s="65"/>
      <c r="D226" s="65"/>
      <c r="E226" s="65"/>
      <c r="F226" s="65"/>
      <c r="G226" s="65"/>
      <c r="H226" s="65"/>
      <c r="I226" s="65"/>
      <c r="J226" s="69"/>
      <c r="K226" s="65"/>
      <c r="L226" s="65"/>
    </row>
    <row r="227" ht="15" customHeight="1" spans="1:12" x14ac:dyDescent="0.25">
      <c r="A227" s="61"/>
      <c r="B227" s="60"/>
      <c r="C227" s="61"/>
      <c r="D227" s="61"/>
      <c r="E227" s="61"/>
      <c r="F227" s="61"/>
      <c r="G227" s="61"/>
      <c r="H227" s="61"/>
      <c r="I227" s="61"/>
      <c r="J227" s="68"/>
      <c r="K227" s="61"/>
      <c r="L227" s="61"/>
    </row>
    <row r="228" ht="15" customHeight="1" spans="1:12" x14ac:dyDescent="0.25">
      <c r="A228" s="65"/>
      <c r="B228" s="64"/>
      <c r="C228" s="65"/>
      <c r="D228" s="65"/>
      <c r="E228" s="65"/>
      <c r="F228" s="65"/>
      <c r="G228" s="65"/>
      <c r="H228" s="65"/>
      <c r="I228" s="65"/>
      <c r="J228" s="69"/>
      <c r="K228" s="65"/>
      <c r="L228" s="65"/>
    </row>
    <row r="229" ht="15" customHeight="1" spans="1:12" x14ac:dyDescent="0.25">
      <c r="A229" s="61"/>
      <c r="B229" s="60"/>
      <c r="C229" s="61"/>
      <c r="D229" s="61"/>
      <c r="E229" s="61"/>
      <c r="F229" s="61"/>
      <c r="G229" s="61"/>
      <c r="H229" s="61"/>
      <c r="I229" s="61"/>
      <c r="J229" s="68"/>
      <c r="K229" s="61"/>
      <c r="L229" s="61"/>
    </row>
    <row r="230" ht="15" customHeight="1" spans="1:12" x14ac:dyDescent="0.25">
      <c r="A230" s="65"/>
      <c r="B230" s="64"/>
      <c r="C230" s="65"/>
      <c r="D230" s="65"/>
      <c r="E230" s="65"/>
      <c r="F230" s="65"/>
      <c r="G230" s="65"/>
      <c r="H230" s="65"/>
      <c r="I230" s="65"/>
      <c r="J230" s="69"/>
      <c r="K230" s="65"/>
      <c r="L230" s="65"/>
    </row>
    <row r="231" ht="15" customHeight="1" spans="1:12" x14ac:dyDescent="0.25">
      <c r="A231" s="61"/>
      <c r="B231" s="60"/>
      <c r="C231" s="61"/>
      <c r="D231" s="61"/>
      <c r="E231" s="61"/>
      <c r="F231" s="61"/>
      <c r="G231" s="61"/>
      <c r="H231" s="61"/>
      <c r="I231" s="61"/>
      <c r="J231" s="68"/>
      <c r="K231" s="61"/>
      <c r="L231" s="61"/>
    </row>
    <row r="232" ht="15" customHeight="1" spans="1:12" x14ac:dyDescent="0.25">
      <c r="A232" s="65"/>
      <c r="B232" s="64"/>
      <c r="C232" s="65"/>
      <c r="D232" s="65"/>
      <c r="E232" s="65"/>
      <c r="F232" s="65"/>
      <c r="G232" s="65"/>
      <c r="H232" s="65"/>
      <c r="I232" s="65"/>
      <c r="J232" s="69"/>
      <c r="K232" s="65"/>
      <c r="L232" s="65"/>
    </row>
    <row r="233" ht="15" customHeight="1" spans="1:12" x14ac:dyDescent="0.25">
      <c r="A233" s="61"/>
      <c r="B233" s="60"/>
      <c r="C233" s="61"/>
      <c r="D233" s="61"/>
      <c r="E233" s="61"/>
      <c r="F233" s="61"/>
      <c r="G233" s="61"/>
      <c r="H233" s="61"/>
      <c r="I233" s="61"/>
      <c r="J233" s="68"/>
      <c r="K233" s="61"/>
      <c r="L233" s="61"/>
    </row>
    <row r="234" ht="15" customHeight="1" spans="1:12" x14ac:dyDescent="0.25">
      <c r="A234" s="65"/>
      <c r="B234" s="64"/>
      <c r="C234" s="65"/>
      <c r="D234" s="65"/>
      <c r="E234" s="65"/>
      <c r="F234" s="65"/>
      <c r="G234" s="65"/>
      <c r="H234" s="65"/>
      <c r="I234" s="65"/>
      <c r="J234" s="69"/>
      <c r="K234" s="65"/>
      <c r="L234" s="65"/>
    </row>
    <row r="235" ht="15" customHeight="1" spans="1:12" x14ac:dyDescent="0.25">
      <c r="A235" s="61"/>
      <c r="B235" s="60"/>
      <c r="C235" s="61"/>
      <c r="D235" s="61"/>
      <c r="E235" s="61"/>
      <c r="F235" s="61"/>
      <c r="G235" s="61"/>
      <c r="H235" s="61"/>
      <c r="I235" s="61"/>
      <c r="J235" s="68"/>
      <c r="K235" s="61"/>
      <c r="L235" s="61"/>
    </row>
    <row r="236" ht="15" customHeight="1" spans="1:12" x14ac:dyDescent="0.25">
      <c r="A236" s="65"/>
      <c r="B236" s="64"/>
      <c r="C236" s="65"/>
      <c r="D236" s="65"/>
      <c r="E236" s="65"/>
      <c r="F236" s="65"/>
      <c r="G236" s="65"/>
      <c r="H236" s="65"/>
      <c r="I236" s="65"/>
      <c r="J236" s="69"/>
      <c r="K236" s="65"/>
      <c r="L236" s="65"/>
    </row>
    <row r="237" ht="15" customHeight="1" spans="1:12" x14ac:dyDescent="0.25">
      <c r="A237" s="61"/>
      <c r="B237" s="60"/>
      <c r="C237" s="61"/>
      <c r="D237" s="61"/>
      <c r="E237" s="61"/>
      <c r="F237" s="61"/>
      <c r="G237" s="61"/>
      <c r="H237" s="61"/>
      <c r="I237" s="61"/>
      <c r="J237" s="68"/>
      <c r="K237" s="61"/>
      <c r="L237" s="61"/>
    </row>
    <row r="238" ht="15" customHeight="1" spans="1:12" x14ac:dyDescent="0.25">
      <c r="A238" s="65"/>
      <c r="B238" s="64"/>
      <c r="C238" s="65"/>
      <c r="D238" s="65"/>
      <c r="E238" s="65"/>
      <c r="F238" s="65"/>
      <c r="G238" s="65"/>
      <c r="H238" s="65"/>
      <c r="I238" s="65"/>
      <c r="J238" s="69"/>
      <c r="K238" s="65"/>
      <c r="L238" s="65"/>
    </row>
    <row r="239" ht="15" customHeight="1" spans="1:12" x14ac:dyDescent="0.25">
      <c r="A239" s="61"/>
      <c r="B239" s="60"/>
      <c r="C239" s="61"/>
      <c r="D239" s="61"/>
      <c r="E239" s="61"/>
      <c r="F239" s="61"/>
      <c r="G239" s="61"/>
      <c r="H239" s="61"/>
      <c r="I239" s="61"/>
      <c r="J239" s="68"/>
      <c r="K239" s="61"/>
      <c r="L239" s="61"/>
    </row>
    <row r="240" ht="15" customHeight="1" spans="1:12" x14ac:dyDescent="0.25">
      <c r="A240" s="65"/>
      <c r="B240" s="64"/>
      <c r="C240" s="65"/>
      <c r="D240" s="65"/>
      <c r="E240" s="65"/>
      <c r="F240" s="65"/>
      <c r="G240" s="65"/>
      <c r="H240" s="65"/>
      <c r="I240" s="65"/>
      <c r="J240" s="69"/>
      <c r="K240" s="65"/>
      <c r="L240" s="65"/>
    </row>
    <row r="241" ht="15" customHeight="1" spans="1:12" x14ac:dyDescent="0.25">
      <c r="A241" s="61"/>
      <c r="B241" s="60"/>
      <c r="C241" s="61"/>
      <c r="D241" s="61"/>
      <c r="E241" s="61"/>
      <c r="F241" s="61"/>
      <c r="G241" s="61"/>
      <c r="H241" s="61"/>
      <c r="I241" s="61"/>
      <c r="J241" s="68"/>
      <c r="K241" s="61"/>
      <c r="L241" s="61"/>
    </row>
    <row r="242" ht="15" customHeight="1" spans="1:12" x14ac:dyDescent="0.25">
      <c r="A242" s="65"/>
      <c r="B242" s="64"/>
      <c r="C242" s="65"/>
      <c r="D242" s="65"/>
      <c r="E242" s="65"/>
      <c r="F242" s="65"/>
      <c r="G242" s="65"/>
      <c r="H242" s="65"/>
      <c r="I242" s="65"/>
      <c r="J242" s="69"/>
      <c r="K242" s="65"/>
      <c r="L242" s="65"/>
    </row>
    <row r="243" ht="15" customHeight="1" spans="1:12" x14ac:dyDescent="0.25">
      <c r="A243" s="61"/>
      <c r="B243" s="60"/>
      <c r="C243" s="61"/>
      <c r="D243" s="61"/>
      <c r="E243" s="61"/>
      <c r="F243" s="61"/>
      <c r="G243" s="61"/>
      <c r="H243" s="61"/>
      <c r="I243" s="61"/>
      <c r="J243" s="68"/>
      <c r="K243" s="61"/>
      <c r="L243" s="61"/>
    </row>
    <row r="244" ht="15" customHeight="1" spans="1:12" x14ac:dyDescent="0.25">
      <c r="A244" s="65"/>
      <c r="B244" s="64"/>
      <c r="C244" s="65"/>
      <c r="D244" s="65"/>
      <c r="E244" s="65"/>
      <c r="F244" s="65"/>
      <c r="G244" s="65"/>
      <c r="H244" s="65"/>
      <c r="I244" s="65"/>
      <c r="J244" s="69"/>
      <c r="K244" s="65"/>
      <c r="L244" s="65"/>
    </row>
    <row r="245" ht="15" customHeight="1" spans="1:12" x14ac:dyDescent="0.25">
      <c r="A245" s="61"/>
      <c r="B245" s="60"/>
      <c r="C245" s="61"/>
      <c r="D245" s="61"/>
      <c r="E245" s="61"/>
      <c r="F245" s="61"/>
      <c r="G245" s="61"/>
      <c r="H245" s="61"/>
      <c r="I245" s="61"/>
      <c r="J245" s="68"/>
      <c r="K245" s="61"/>
      <c r="L245" s="61"/>
    </row>
    <row r="246" ht="15" customHeight="1" spans="1:12" x14ac:dyDescent="0.25">
      <c r="A246" s="65"/>
      <c r="B246" s="64"/>
      <c r="C246" s="65"/>
      <c r="D246" s="65"/>
      <c r="E246" s="65"/>
      <c r="F246" s="65"/>
      <c r="G246" s="65"/>
      <c r="H246" s="65"/>
      <c r="I246" s="65"/>
      <c r="J246" s="69"/>
      <c r="K246" s="65"/>
      <c r="L246" s="65"/>
    </row>
    <row r="247" ht="15" customHeight="1" spans="1:12" x14ac:dyDescent="0.25">
      <c r="A247" s="61"/>
      <c r="B247" s="60"/>
      <c r="C247" s="61"/>
      <c r="D247" s="61"/>
      <c r="E247" s="61"/>
      <c r="F247" s="61"/>
      <c r="G247" s="61"/>
      <c r="H247" s="61"/>
      <c r="I247" s="61"/>
      <c r="J247" s="68"/>
      <c r="K247" s="61"/>
      <c r="L247" s="61"/>
    </row>
    <row r="248" ht="15" customHeight="1" spans="1:12" x14ac:dyDescent="0.25">
      <c r="A248" s="65"/>
      <c r="B248" s="64"/>
      <c r="C248" s="65"/>
      <c r="D248" s="65"/>
      <c r="E248" s="65"/>
      <c r="F248" s="65"/>
      <c r="G248" s="65"/>
      <c r="H248" s="65"/>
      <c r="I248" s="65"/>
      <c r="J248" s="69"/>
      <c r="K248" s="65"/>
      <c r="L248" s="65"/>
    </row>
    <row r="249" ht="15" customHeight="1" spans="1:12" x14ac:dyDescent="0.25">
      <c r="A249" s="61"/>
      <c r="B249" s="60"/>
      <c r="C249" s="61"/>
      <c r="D249" s="61"/>
      <c r="E249" s="61"/>
      <c r="F249" s="61"/>
      <c r="G249" s="61"/>
      <c r="H249" s="61"/>
      <c r="I249" s="61"/>
      <c r="J249" s="68"/>
      <c r="K249" s="61"/>
      <c r="L249" s="61"/>
    </row>
    <row r="250" ht="15" customHeight="1" spans="1:12" x14ac:dyDescent="0.25">
      <c r="A250" s="65"/>
      <c r="B250" s="64"/>
      <c r="C250" s="65"/>
      <c r="D250" s="65"/>
      <c r="E250" s="65"/>
      <c r="F250" s="65"/>
      <c r="G250" s="65"/>
      <c r="H250" s="65"/>
      <c r="I250" s="65"/>
      <c r="J250" s="69"/>
      <c r="K250" s="65"/>
      <c r="L250" s="65"/>
    </row>
    <row r="251" ht="15" customHeight="1" spans="1:12" x14ac:dyDescent="0.25">
      <c r="A251" s="61"/>
      <c r="B251" s="60"/>
      <c r="C251" s="61"/>
      <c r="D251" s="61"/>
      <c r="E251" s="61"/>
      <c r="F251" s="61"/>
      <c r="G251" s="61"/>
      <c r="H251" s="61"/>
      <c r="I251" s="61"/>
      <c r="J251" s="68"/>
      <c r="K251" s="61"/>
      <c r="L251" s="61"/>
    </row>
    <row r="252" ht="15" customHeight="1" spans="1:12" x14ac:dyDescent="0.25">
      <c r="A252" s="65"/>
      <c r="B252" s="64"/>
      <c r="C252" s="65"/>
      <c r="D252" s="65"/>
      <c r="E252" s="65"/>
      <c r="F252" s="65"/>
      <c r="G252" s="65"/>
      <c r="H252" s="65"/>
      <c r="I252" s="65"/>
      <c r="J252" s="69"/>
      <c r="K252" s="65"/>
      <c r="L252" s="65"/>
    </row>
    <row r="253" ht="15" customHeight="1" spans="1:12" x14ac:dyDescent="0.25">
      <c r="A253" s="61"/>
      <c r="B253" s="60"/>
      <c r="C253" s="61"/>
      <c r="D253" s="61"/>
      <c r="E253" s="61"/>
      <c r="F253" s="61"/>
      <c r="G253" s="61"/>
      <c r="H253" s="61"/>
      <c r="I253" s="61"/>
      <c r="J253" s="68"/>
      <c r="K253" s="61"/>
      <c r="L253" s="61"/>
    </row>
    <row r="254" ht="15" customHeight="1" spans="1:12" x14ac:dyDescent="0.25">
      <c r="A254" s="65"/>
      <c r="B254" s="64"/>
      <c r="C254" s="65"/>
      <c r="D254" s="65"/>
      <c r="E254" s="65"/>
      <c r="F254" s="65"/>
      <c r="G254" s="65"/>
      <c r="H254" s="65"/>
      <c r="I254" s="65"/>
      <c r="J254" s="69"/>
      <c r="K254" s="65"/>
      <c r="L254" s="65"/>
    </row>
    <row r="255" ht="15" customHeight="1" spans="1:12" x14ac:dyDescent="0.25">
      <c r="A255" s="61"/>
      <c r="B255" s="60"/>
      <c r="C255" s="61"/>
      <c r="D255" s="61"/>
      <c r="E255" s="61"/>
      <c r="F255" s="61"/>
      <c r="G255" s="61"/>
      <c r="H255" s="61"/>
      <c r="I255" s="61"/>
      <c r="J255" s="68"/>
      <c r="K255" s="61"/>
      <c r="L255" s="61"/>
    </row>
    <row r="256" ht="15" customHeight="1" spans="1:12" x14ac:dyDescent="0.25">
      <c r="A256" s="65"/>
      <c r="B256" s="64"/>
      <c r="C256" s="65"/>
      <c r="D256" s="65"/>
      <c r="E256" s="65"/>
      <c r="F256" s="65"/>
      <c r="G256" s="65"/>
      <c r="H256" s="65"/>
      <c r="I256" s="65"/>
      <c r="J256" s="69"/>
      <c r="K256" s="65"/>
      <c r="L256" s="65"/>
    </row>
    <row r="257" ht="15" customHeight="1" spans="1:12" x14ac:dyDescent="0.25">
      <c r="A257" s="61"/>
      <c r="B257" s="60"/>
      <c r="C257" s="61"/>
      <c r="D257" s="61"/>
      <c r="E257" s="61"/>
      <c r="F257" s="61"/>
      <c r="G257" s="61"/>
      <c r="H257" s="61"/>
      <c r="I257" s="61"/>
      <c r="J257" s="68"/>
      <c r="K257" s="61"/>
      <c r="L257" s="61"/>
    </row>
    <row r="258" ht="15" customHeight="1" spans="1:12" x14ac:dyDescent="0.25">
      <c r="A258" s="65"/>
      <c r="B258" s="64"/>
      <c r="C258" s="65"/>
      <c r="D258" s="65"/>
      <c r="E258" s="65"/>
      <c r="F258" s="65"/>
      <c r="G258" s="65"/>
      <c r="H258" s="65"/>
      <c r="I258" s="65"/>
      <c r="J258" s="69"/>
      <c r="K258" s="65"/>
      <c r="L258" s="65"/>
    </row>
    <row r="259" ht="15" customHeight="1" spans="1:12" x14ac:dyDescent="0.25">
      <c r="A259" s="61"/>
      <c r="B259" s="60"/>
      <c r="C259" s="61"/>
      <c r="D259" s="61"/>
      <c r="E259" s="61"/>
      <c r="F259" s="61"/>
      <c r="G259" s="61"/>
      <c r="H259" s="61"/>
      <c r="I259" s="61"/>
      <c r="J259" s="68"/>
      <c r="K259" s="61"/>
      <c r="L259" s="61"/>
    </row>
    <row r="260" ht="15" customHeight="1" spans="1:12" x14ac:dyDescent="0.25">
      <c r="A260" s="65"/>
      <c r="B260" s="64"/>
      <c r="C260" s="65"/>
      <c r="D260" s="65"/>
      <c r="E260" s="65"/>
      <c r="F260" s="65"/>
      <c r="G260" s="65"/>
      <c r="H260" s="65"/>
      <c r="I260" s="65"/>
      <c r="J260" s="69"/>
      <c r="K260" s="65"/>
      <c r="L260" s="65"/>
    </row>
    <row r="261" ht="15" customHeight="1" spans="1:12" x14ac:dyDescent="0.25">
      <c r="A261" s="61"/>
      <c r="B261" s="60"/>
      <c r="C261" s="61"/>
      <c r="D261" s="61"/>
      <c r="E261" s="61"/>
      <c r="F261" s="61"/>
      <c r="G261" s="61"/>
      <c r="H261" s="61"/>
      <c r="I261" s="61"/>
      <c r="J261" s="68"/>
      <c r="K261" s="61"/>
      <c r="L261" s="61"/>
    </row>
    <row r="262" ht="15" customHeight="1" spans="1:12" x14ac:dyDescent="0.25">
      <c r="A262" s="65"/>
      <c r="B262" s="64"/>
      <c r="C262" s="65"/>
      <c r="D262" s="65"/>
      <c r="E262" s="65"/>
      <c r="F262" s="65"/>
      <c r="G262" s="65"/>
      <c r="H262" s="65"/>
      <c r="I262" s="65"/>
      <c r="J262" s="69"/>
      <c r="K262" s="65"/>
      <c r="L262" s="65"/>
    </row>
    <row r="263" ht="15" customHeight="1" spans="1:12" x14ac:dyDescent="0.25">
      <c r="A263" s="61"/>
      <c r="B263" s="60"/>
      <c r="C263" s="61"/>
      <c r="D263" s="61"/>
      <c r="E263" s="61"/>
      <c r="F263" s="61"/>
      <c r="G263" s="61"/>
      <c r="H263" s="61"/>
      <c r="I263" s="61"/>
      <c r="J263" s="68"/>
      <c r="K263" s="61"/>
      <c r="L263" s="61"/>
    </row>
    <row r="264" ht="15" customHeight="1" spans="1:12" x14ac:dyDescent="0.25">
      <c r="A264" s="65"/>
      <c r="B264" s="64"/>
      <c r="C264" s="65"/>
      <c r="D264" s="65"/>
      <c r="E264" s="65"/>
      <c r="F264" s="65"/>
      <c r="G264" s="65"/>
      <c r="H264" s="65"/>
      <c r="I264" s="65"/>
      <c r="J264" s="69"/>
      <c r="K264" s="65"/>
      <c r="L264" s="65"/>
    </row>
    <row r="265" ht="15" customHeight="1" spans="1:12" x14ac:dyDescent="0.25">
      <c r="A265" s="61"/>
      <c r="B265" s="60"/>
      <c r="C265" s="61"/>
      <c r="D265" s="61"/>
      <c r="E265" s="61"/>
      <c r="F265" s="61"/>
      <c r="G265" s="61"/>
      <c r="H265" s="61"/>
      <c r="I265" s="61"/>
      <c r="J265" s="68"/>
      <c r="K265" s="61"/>
      <c r="L265" s="61"/>
    </row>
    <row r="266" ht="15" customHeight="1" spans="1:12" x14ac:dyDescent="0.25">
      <c r="A266" s="65"/>
      <c r="B266" s="64"/>
      <c r="C266" s="65"/>
      <c r="D266" s="65"/>
      <c r="E266" s="65"/>
      <c r="F266" s="65"/>
      <c r="G266" s="65"/>
      <c r="H266" s="65"/>
      <c r="I266" s="65"/>
      <c r="J266" s="69"/>
      <c r="K266" s="65"/>
      <c r="L266" s="65"/>
    </row>
    <row r="267" ht="15" customHeight="1" spans="1:12" x14ac:dyDescent="0.25">
      <c r="A267" s="61"/>
      <c r="B267" s="60"/>
      <c r="C267" s="61"/>
      <c r="D267" s="61"/>
      <c r="E267" s="61"/>
      <c r="F267" s="61"/>
      <c r="G267" s="61"/>
      <c r="H267" s="61"/>
      <c r="I267" s="61"/>
      <c r="J267" s="68"/>
      <c r="K267" s="61"/>
      <c r="L267" s="61"/>
    </row>
    <row r="268" ht="15" customHeight="1" spans="1:12" x14ac:dyDescent="0.25">
      <c r="A268" s="65"/>
      <c r="B268" s="64"/>
      <c r="C268" s="65"/>
      <c r="D268" s="65"/>
      <c r="E268" s="65"/>
      <c r="F268" s="65"/>
      <c r="G268" s="65"/>
      <c r="H268" s="65"/>
      <c r="I268" s="65"/>
      <c r="J268" s="69"/>
      <c r="K268" s="65"/>
      <c r="L268" s="65"/>
    </row>
    <row r="269" ht="15" customHeight="1" spans="1:12" x14ac:dyDescent="0.25">
      <c r="A269" s="61"/>
      <c r="B269" s="60"/>
      <c r="C269" s="61"/>
      <c r="D269" s="61"/>
      <c r="E269" s="61"/>
      <c r="F269" s="61"/>
      <c r="G269" s="61"/>
      <c r="H269" s="61"/>
      <c r="I269" s="61"/>
      <c r="J269" s="68"/>
      <c r="K269" s="61"/>
      <c r="L269" s="61"/>
    </row>
    <row r="270" ht="15" customHeight="1" spans="1:12" x14ac:dyDescent="0.25">
      <c r="A270" s="65"/>
      <c r="B270" s="64"/>
      <c r="C270" s="65"/>
      <c r="D270" s="65"/>
      <c r="E270" s="65"/>
      <c r="F270" s="65"/>
      <c r="G270" s="65"/>
      <c r="H270" s="65"/>
      <c r="I270" s="65"/>
      <c r="J270" s="69"/>
      <c r="K270" s="65"/>
      <c r="L270" s="65"/>
    </row>
    <row r="271" ht="15" customHeight="1" spans="1:12" x14ac:dyDescent="0.25">
      <c r="A271" s="61"/>
      <c r="B271" s="60"/>
      <c r="C271" s="61"/>
      <c r="D271" s="61"/>
      <c r="E271" s="61"/>
      <c r="F271" s="61"/>
      <c r="G271" s="61"/>
      <c r="H271" s="61"/>
      <c r="I271" s="61"/>
      <c r="J271" s="68"/>
      <c r="K271" s="61"/>
      <c r="L271" s="61"/>
    </row>
    <row r="272" ht="15" customHeight="1" spans="1:12" x14ac:dyDescent="0.25">
      <c r="A272" s="65"/>
      <c r="B272" s="64"/>
      <c r="C272" s="65"/>
      <c r="D272" s="65"/>
      <c r="E272" s="65"/>
      <c r="F272" s="65"/>
      <c r="G272" s="65"/>
      <c r="H272" s="65"/>
      <c r="I272" s="65"/>
      <c r="J272" s="69"/>
      <c r="K272" s="65"/>
      <c r="L272" s="65"/>
    </row>
    <row r="273" ht="15" customHeight="1" spans="1:12" x14ac:dyDescent="0.25">
      <c r="A273" s="61"/>
      <c r="B273" s="60"/>
      <c r="C273" s="61"/>
      <c r="D273" s="61"/>
      <c r="E273" s="61"/>
      <c r="F273" s="61"/>
      <c r="G273" s="61"/>
      <c r="H273" s="61"/>
      <c r="I273" s="61"/>
      <c r="J273" s="68"/>
      <c r="K273" s="61"/>
      <c r="L273" s="61"/>
    </row>
    <row r="274" ht="15" customHeight="1" spans="1:12" x14ac:dyDescent="0.25">
      <c r="A274" s="65"/>
      <c r="B274" s="64"/>
      <c r="C274" s="65"/>
      <c r="D274" s="65"/>
      <c r="E274" s="65"/>
      <c r="F274" s="65"/>
      <c r="G274" s="65"/>
      <c r="H274" s="65"/>
      <c r="I274" s="65"/>
      <c r="J274" s="69"/>
      <c r="K274" s="65"/>
      <c r="L274" s="65"/>
    </row>
    <row r="275" ht="15" customHeight="1" spans="1:12" x14ac:dyDescent="0.25">
      <c r="A275" s="61"/>
      <c r="B275" s="60"/>
      <c r="C275" s="61"/>
      <c r="D275" s="61"/>
      <c r="E275" s="61"/>
      <c r="F275" s="61"/>
      <c r="G275" s="61"/>
      <c r="H275" s="61"/>
      <c r="I275" s="61"/>
      <c r="J275" s="68"/>
      <c r="K275" s="61"/>
      <c r="L275" s="61"/>
    </row>
    <row r="276" ht="15" customHeight="1" spans="1:12" x14ac:dyDescent="0.25">
      <c r="A276" s="65"/>
      <c r="B276" s="64"/>
      <c r="C276" s="65"/>
      <c r="D276" s="65"/>
      <c r="E276" s="65"/>
      <c r="F276" s="65"/>
      <c r="G276" s="65"/>
      <c r="H276" s="65"/>
      <c r="I276" s="65"/>
      <c r="J276" s="69"/>
      <c r="K276" s="65"/>
      <c r="L276" s="65"/>
    </row>
    <row r="277" ht="15" customHeight="1" spans="1:12" x14ac:dyDescent="0.25">
      <c r="A277" s="61"/>
      <c r="B277" s="60"/>
      <c r="C277" s="61"/>
      <c r="D277" s="61"/>
      <c r="E277" s="61"/>
      <c r="F277" s="61"/>
      <c r="G277" s="61"/>
      <c r="H277" s="61"/>
      <c r="I277" s="61"/>
      <c r="J277" s="68"/>
      <c r="K277" s="61"/>
      <c r="L277" s="61"/>
    </row>
    <row r="278" ht="15" customHeight="1" spans="1:12" x14ac:dyDescent="0.25">
      <c r="A278" s="65"/>
      <c r="B278" s="64"/>
      <c r="C278" s="65"/>
      <c r="D278" s="65"/>
      <c r="E278" s="65"/>
      <c r="F278" s="65"/>
      <c r="G278" s="65"/>
      <c r="H278" s="65"/>
      <c r="I278" s="65"/>
      <c r="J278" s="69"/>
      <c r="K278" s="65"/>
      <c r="L278" s="65"/>
    </row>
    <row r="279" ht="15" customHeight="1" spans="1:12" x14ac:dyDescent="0.25">
      <c r="A279" s="61"/>
      <c r="B279" s="60"/>
      <c r="C279" s="61"/>
      <c r="D279" s="61"/>
      <c r="E279" s="61"/>
      <c r="F279" s="61"/>
      <c r="G279" s="61"/>
      <c r="H279" s="61"/>
      <c r="I279" s="61"/>
      <c r="J279" s="68"/>
      <c r="K279" s="61"/>
      <c r="L279" s="61"/>
    </row>
    <row r="280" ht="15" customHeight="1" spans="1:12" x14ac:dyDescent="0.25">
      <c r="A280" s="65"/>
      <c r="B280" s="64"/>
      <c r="C280" s="65"/>
      <c r="D280" s="65"/>
      <c r="E280" s="65"/>
      <c r="F280" s="65"/>
      <c r="G280" s="65"/>
      <c r="H280" s="65"/>
      <c r="I280" s="65"/>
      <c r="J280" s="69"/>
      <c r="K280" s="65"/>
      <c r="L280" s="65"/>
    </row>
    <row r="281" ht="15" customHeight="1" spans="1:12" x14ac:dyDescent="0.25">
      <c r="A281" s="61"/>
      <c r="B281" s="60"/>
      <c r="C281" s="61"/>
      <c r="D281" s="61"/>
      <c r="E281" s="61"/>
      <c r="F281" s="61"/>
      <c r="G281" s="61"/>
      <c r="H281" s="61"/>
      <c r="I281" s="61"/>
      <c r="J281" s="68"/>
      <c r="K281" s="61"/>
      <c r="L281" s="61"/>
    </row>
    <row r="282" ht="15" customHeight="1" spans="1:12" x14ac:dyDescent="0.25">
      <c r="A282" s="65"/>
      <c r="B282" s="64"/>
      <c r="C282" s="65"/>
      <c r="D282" s="65"/>
      <c r="E282" s="65"/>
      <c r="F282" s="65"/>
      <c r="G282" s="65"/>
      <c r="H282" s="65"/>
      <c r="I282" s="65"/>
      <c r="J282" s="69"/>
      <c r="K282" s="65"/>
      <c r="L282" s="65"/>
    </row>
    <row r="283" ht="15" customHeight="1" spans="1:12" x14ac:dyDescent="0.25">
      <c r="A283" s="61"/>
      <c r="B283" s="60"/>
      <c r="C283" s="61"/>
      <c r="D283" s="61"/>
      <c r="E283" s="61"/>
      <c r="F283" s="61"/>
      <c r="G283" s="61"/>
      <c r="H283" s="61"/>
      <c r="I283" s="61"/>
      <c r="J283" s="68"/>
      <c r="K283" s="61"/>
      <c r="L283" s="61"/>
    </row>
    <row r="284" ht="15" customHeight="1" spans="1:12" x14ac:dyDescent="0.25">
      <c r="A284" s="65"/>
      <c r="B284" s="64"/>
      <c r="C284" s="65"/>
      <c r="D284" s="65"/>
      <c r="E284" s="65"/>
      <c r="F284" s="65"/>
      <c r="G284" s="65"/>
      <c r="H284" s="65"/>
      <c r="I284" s="65"/>
      <c r="J284" s="69"/>
      <c r="K284" s="65"/>
      <c r="L284" s="65"/>
    </row>
    <row r="285" ht="15" customHeight="1" spans="1:12" x14ac:dyDescent="0.25">
      <c r="A285" s="61"/>
      <c r="B285" s="60"/>
      <c r="C285" s="61"/>
      <c r="D285" s="61"/>
      <c r="E285" s="61"/>
      <c r="F285" s="61"/>
      <c r="G285" s="61"/>
      <c r="H285" s="61"/>
      <c r="I285" s="61"/>
      <c r="J285" s="68"/>
      <c r="K285" s="61"/>
      <c r="L285" s="61"/>
    </row>
    <row r="286" ht="15" customHeight="1" spans="1:12" x14ac:dyDescent="0.25">
      <c r="A286" s="65"/>
      <c r="B286" s="64"/>
      <c r="C286" s="65"/>
      <c r="D286" s="65"/>
      <c r="E286" s="65"/>
      <c r="F286" s="65"/>
      <c r="G286" s="65"/>
      <c r="H286" s="65"/>
      <c r="I286" s="65"/>
      <c r="J286" s="69"/>
      <c r="K286" s="65"/>
      <c r="L286" s="65"/>
    </row>
    <row r="287" ht="15" customHeight="1" spans="1:12" x14ac:dyDescent="0.25">
      <c r="A287" s="61"/>
      <c r="B287" s="60"/>
      <c r="C287" s="61"/>
      <c r="D287" s="61"/>
      <c r="E287" s="61"/>
      <c r="F287" s="61"/>
      <c r="G287" s="61"/>
      <c r="H287" s="61"/>
      <c r="I287" s="61"/>
      <c r="J287" s="68"/>
      <c r="K287" s="61"/>
      <c r="L287" s="61"/>
    </row>
    <row r="288" ht="15" customHeight="1" spans="1:12" x14ac:dyDescent="0.25">
      <c r="A288" s="65"/>
      <c r="B288" s="64"/>
      <c r="C288" s="65"/>
      <c r="D288" s="65"/>
      <c r="E288" s="65"/>
      <c r="F288" s="65"/>
      <c r="G288" s="65"/>
      <c r="H288" s="65"/>
      <c r="I288" s="65"/>
      <c r="J288" s="69"/>
      <c r="K288" s="65"/>
      <c r="L288" s="65"/>
    </row>
    <row r="289" ht="15" customHeight="1" spans="1:12" x14ac:dyDescent="0.25">
      <c r="A289" s="61"/>
      <c r="B289" s="60"/>
      <c r="C289" s="61"/>
      <c r="D289" s="61"/>
      <c r="E289" s="61"/>
      <c r="F289" s="61"/>
      <c r="G289" s="61"/>
      <c r="H289" s="61"/>
      <c r="I289" s="61"/>
      <c r="J289" s="68"/>
      <c r="K289" s="61"/>
      <c r="L289" s="61"/>
    </row>
    <row r="290" ht="15" customHeight="1" spans="1:12" x14ac:dyDescent="0.25">
      <c r="A290" s="65"/>
      <c r="B290" s="64"/>
      <c r="C290" s="65"/>
      <c r="D290" s="65"/>
      <c r="E290" s="65"/>
      <c r="F290" s="65"/>
      <c r="G290" s="65"/>
      <c r="H290" s="65"/>
      <c r="I290" s="65"/>
      <c r="J290" s="69"/>
      <c r="K290" s="65"/>
      <c r="L290" s="65"/>
    </row>
    <row r="291" ht="15" customHeight="1" spans="1:12" x14ac:dyDescent="0.25">
      <c r="A291" s="61"/>
      <c r="B291" s="60"/>
      <c r="C291" s="61"/>
      <c r="D291" s="61"/>
      <c r="E291" s="61"/>
      <c r="F291" s="61"/>
      <c r="G291" s="61"/>
      <c r="H291" s="61"/>
      <c r="I291" s="61"/>
      <c r="J291" s="68"/>
      <c r="K291" s="61"/>
      <c r="L291" s="61"/>
    </row>
    <row r="292" ht="15" customHeight="1" spans="1:12" x14ac:dyDescent="0.25">
      <c r="A292" s="65"/>
      <c r="B292" s="64"/>
      <c r="C292" s="65"/>
      <c r="D292" s="65"/>
      <c r="E292" s="65"/>
      <c r="F292" s="65"/>
      <c r="G292" s="65"/>
      <c r="H292" s="65"/>
      <c r="I292" s="65"/>
      <c r="J292" s="69"/>
      <c r="K292" s="65"/>
      <c r="L292" s="65"/>
    </row>
    <row r="293" ht="15" customHeight="1" spans="1:12" x14ac:dyDescent="0.25">
      <c r="A293" s="61"/>
      <c r="B293" s="60"/>
      <c r="C293" s="61"/>
      <c r="D293" s="61"/>
      <c r="E293" s="61"/>
      <c r="F293" s="61"/>
      <c r="G293" s="61"/>
      <c r="H293" s="61"/>
      <c r="I293" s="61"/>
      <c r="J293" s="68"/>
      <c r="K293" s="61"/>
      <c r="L293" s="61"/>
    </row>
    <row r="294" ht="15" customHeight="1" spans="1:12" x14ac:dyDescent="0.25">
      <c r="A294" s="65"/>
      <c r="B294" s="64"/>
      <c r="C294" s="65"/>
      <c r="D294" s="65"/>
      <c r="E294" s="65"/>
      <c r="F294" s="65"/>
      <c r="G294" s="65"/>
      <c r="H294" s="65"/>
      <c r="I294" s="65"/>
      <c r="J294" s="69"/>
      <c r="K294" s="65"/>
      <c r="L294" s="65"/>
    </row>
    <row r="295" ht="15" customHeight="1" spans="1:12" x14ac:dyDescent="0.25">
      <c r="A295" s="61"/>
      <c r="B295" s="60"/>
      <c r="C295" s="61"/>
      <c r="D295" s="61"/>
      <c r="E295" s="61"/>
      <c r="F295" s="61"/>
      <c r="G295" s="61"/>
      <c r="H295" s="61"/>
      <c r="I295" s="61"/>
      <c r="J295" s="68"/>
      <c r="K295" s="61"/>
      <c r="L295" s="61"/>
    </row>
    <row r="296" ht="15" customHeight="1" spans="1:12" x14ac:dyDescent="0.25">
      <c r="A296" s="65"/>
      <c r="B296" s="64"/>
      <c r="C296" s="65"/>
      <c r="D296" s="65"/>
      <c r="E296" s="65"/>
      <c r="F296" s="65"/>
      <c r="G296" s="65"/>
      <c r="H296" s="65"/>
      <c r="I296" s="65"/>
      <c r="J296" s="69"/>
      <c r="K296" s="65"/>
      <c r="L296" s="65"/>
    </row>
    <row r="297" ht="15" customHeight="1" spans="1:12" x14ac:dyDescent="0.25">
      <c r="A297" s="61"/>
      <c r="B297" s="60"/>
      <c r="C297" s="61"/>
      <c r="D297" s="61"/>
      <c r="E297" s="61"/>
      <c r="F297" s="61"/>
      <c r="G297" s="61"/>
      <c r="H297" s="61"/>
      <c r="I297" s="61"/>
      <c r="J297" s="68"/>
      <c r="K297" s="61"/>
      <c r="L297" s="61"/>
    </row>
    <row r="298" ht="15" customHeight="1" spans="1:12" x14ac:dyDescent="0.25">
      <c r="A298" s="65"/>
      <c r="B298" s="64"/>
      <c r="C298" s="65"/>
      <c r="D298" s="65"/>
      <c r="E298" s="65"/>
      <c r="F298" s="65"/>
      <c r="G298" s="65"/>
      <c r="H298" s="65"/>
      <c r="I298" s="65"/>
      <c r="J298" s="69"/>
      <c r="K298" s="65"/>
      <c r="L298" s="65"/>
    </row>
    <row r="299" ht="15" customHeight="1" spans="1:12" x14ac:dyDescent="0.25">
      <c r="A299" s="61"/>
      <c r="B299" s="60"/>
      <c r="C299" s="61"/>
      <c r="D299" s="61"/>
      <c r="E299" s="61"/>
      <c r="F299" s="61"/>
      <c r="G299" s="61"/>
      <c r="H299" s="61"/>
      <c r="I299" s="61"/>
      <c r="J299" s="68"/>
      <c r="K299" s="61"/>
      <c r="L299" s="61"/>
    </row>
    <row r="300" ht="15" customHeight="1" spans="1:12" x14ac:dyDescent="0.25">
      <c r="A300" s="65"/>
      <c r="B300" s="64"/>
      <c r="C300" s="65"/>
      <c r="D300" s="65"/>
      <c r="E300" s="65"/>
      <c r="F300" s="65"/>
      <c r="G300" s="65"/>
      <c r="H300" s="65"/>
      <c r="I300" s="65"/>
      <c r="J300" s="69"/>
      <c r="K300" s="65"/>
      <c r="L300" s="65"/>
    </row>
    <row r="301" ht="15" customHeight="1" spans="1:12" x14ac:dyDescent="0.25">
      <c r="A301" s="61"/>
      <c r="B301" s="60"/>
      <c r="C301" s="61"/>
      <c r="D301" s="61"/>
      <c r="E301" s="61"/>
      <c r="F301" s="61"/>
      <c r="G301" s="61"/>
      <c r="H301" s="61"/>
      <c r="I301" s="61"/>
      <c r="J301" s="68"/>
      <c r="K301" s="61"/>
      <c r="L301" s="61"/>
    </row>
    <row r="302" ht="15" customHeight="1" spans="1:12" x14ac:dyDescent="0.25">
      <c r="A302" s="65"/>
      <c r="B302" s="64"/>
      <c r="C302" s="65"/>
      <c r="D302" s="65"/>
      <c r="E302" s="65"/>
      <c r="F302" s="65"/>
      <c r="G302" s="65"/>
      <c r="H302" s="65"/>
      <c r="I302" s="65"/>
      <c r="J302" s="69"/>
      <c r="K302" s="65"/>
      <c r="L302" s="65"/>
    </row>
    <row r="303" ht="15" customHeight="1" spans="1:12" x14ac:dyDescent="0.25">
      <c r="A303" s="61"/>
      <c r="B303" s="60"/>
      <c r="C303" s="61"/>
      <c r="D303" s="61"/>
      <c r="E303" s="61"/>
      <c r="F303" s="61"/>
      <c r="G303" s="61"/>
      <c r="H303" s="61"/>
      <c r="I303" s="61"/>
      <c r="J303" s="68"/>
      <c r="K303" s="61"/>
      <c r="L303" s="61"/>
    </row>
    <row r="304" ht="15" customHeight="1" spans="1:12" x14ac:dyDescent="0.25">
      <c r="A304" s="65"/>
      <c r="B304" s="64"/>
      <c r="C304" s="65"/>
      <c r="D304" s="65"/>
      <c r="E304" s="65"/>
      <c r="F304" s="65"/>
      <c r="G304" s="65"/>
      <c r="H304" s="65"/>
      <c r="I304" s="65"/>
      <c r="J304" s="69"/>
      <c r="K304" s="65"/>
      <c r="L304" s="65"/>
    </row>
  </sheetData>
  <autoFilter ref="A4:L304"/>
  <mergeCells count="3">
    <mergeCell ref="A1:L1"/>
    <mergeCell ref="A2:L2"/>
    <mergeCell ref="A3:L3"/>
  </mergeCells>
  <dataValidations count="3">
    <dataValidation type="list" allowBlank="1" showErrorMessage="1" errorStyle="warning" errorTitle="Value not in list" error="Pick a value from the drop-down, or override deliberately." sqref="C5:C304">
      <formula1>'13_Dropdowns'!$Q$2:$Q$18</formula1>
    </dataValidation>
    <dataValidation type="list" allowBlank="1" showErrorMessage="1" errorStyle="warning" errorTitle="Value not in list" error="Pick a value from the drop-down, or override deliberately." sqref="D5:D304">
      <formula1>'02_Work_Items'!$A$5:$A$511</formula1>
    </dataValidation>
    <dataValidation type="list" allowBlank="1" showErrorMessage="1" errorStyle="warning" errorTitle="Value not in list" error="Pick a value from the drop-down, or override deliberately." sqref="K5:K304">
      <formula1>'13_Dropdowns'!$A$2:$A$14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672"/>
  </sheetPr>
  <dimension ref="A1:J30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2" width="12" customWidth="1"/>
    <col min="3" max="3" width="10" customWidth="1"/>
    <col min="4" max="4" width="15" customWidth="1"/>
    <col min="5" max="7" width="20" customWidth="1"/>
    <col min="8" max="8" width="15" customWidth="1"/>
    <col min="9" max="9" width="12" customWidth="1"/>
    <col min="10" max="10" width="48" customWidth="1"/>
  </cols>
  <sheetData>
    <row r="1" ht="26" customHeight="1" spans="1:10" x14ac:dyDescent="0.25">
      <c r="A1" s="33" t="s">
        <v>2471</v>
      </c>
      <c r="B1" s="33"/>
      <c r="C1" s="33"/>
      <c r="D1" s="33"/>
      <c r="E1" s="33"/>
      <c r="F1" s="33"/>
      <c r="G1" s="33"/>
      <c r="H1" s="33"/>
      <c r="I1" s="33"/>
      <c r="J1" s="33"/>
    </row>
    <row r="2" ht="18" customHeight="1" spans="1:10" x14ac:dyDescent="0.25">
      <c r="A2" s="34" t="s">
        <v>2472</v>
      </c>
      <c r="B2" s="34"/>
      <c r="C2" s="34"/>
      <c r="D2" s="34"/>
      <c r="E2" s="34"/>
      <c r="F2" s="34"/>
      <c r="G2" s="34"/>
      <c r="H2" s="34"/>
      <c r="I2" s="34"/>
      <c r="J2" s="34"/>
    </row>
    <row r="3" ht="16" customHeight="1" spans="1:10" x14ac:dyDescent="0.25">
      <c r="A3" s="59" t="s">
        <v>2459</v>
      </c>
      <c r="B3" s="59"/>
      <c r="C3" s="59"/>
      <c r="D3" s="59"/>
      <c r="E3" s="59"/>
      <c r="F3" s="59"/>
      <c r="G3" s="59"/>
      <c r="H3" s="59"/>
      <c r="I3" s="59"/>
      <c r="J3" s="59"/>
    </row>
    <row r="4" ht="32" customHeight="1" spans="1:10" x14ac:dyDescent="0.25">
      <c r="A4" s="37" t="s">
        <v>2473</v>
      </c>
      <c r="B4" s="37" t="s">
        <v>2460</v>
      </c>
      <c r="C4" s="37" t="s">
        <v>76</v>
      </c>
      <c r="D4" s="37" t="s">
        <v>209</v>
      </c>
      <c r="E4" s="37" t="s">
        <v>222</v>
      </c>
      <c r="F4" s="37" t="s">
        <v>2468</v>
      </c>
      <c r="G4" s="37" t="s">
        <v>2474</v>
      </c>
      <c r="H4" s="37" t="s">
        <v>2475</v>
      </c>
      <c r="I4" s="37" t="s">
        <v>2476</v>
      </c>
      <c r="J4" s="37" t="s">
        <v>225</v>
      </c>
    </row>
    <row r="5" ht="15" customHeight="1" spans="1:10" x14ac:dyDescent="0.25">
      <c r="A5" s="61"/>
      <c r="B5" s="60"/>
      <c r="C5" s="61"/>
      <c r="D5" s="61"/>
      <c r="E5" s="61"/>
      <c r="F5" s="61"/>
      <c r="G5" s="61"/>
      <c r="H5" s="61"/>
      <c r="I5" s="60"/>
      <c r="J5" s="61"/>
    </row>
    <row r="6" ht="15" customHeight="1" spans="1:10" x14ac:dyDescent="0.25">
      <c r="A6" s="65"/>
      <c r="B6" s="64"/>
      <c r="C6" s="65"/>
      <c r="D6" s="65"/>
      <c r="E6" s="65"/>
      <c r="F6" s="65"/>
      <c r="G6" s="65"/>
      <c r="H6" s="65"/>
      <c r="I6" s="64"/>
      <c r="J6" s="65"/>
    </row>
    <row r="7" ht="15" customHeight="1" spans="1:10" x14ac:dyDescent="0.25">
      <c r="A7" s="61"/>
      <c r="B7" s="60"/>
      <c r="C7" s="61"/>
      <c r="D7" s="61"/>
      <c r="E7" s="61"/>
      <c r="F7" s="61"/>
      <c r="G7" s="61"/>
      <c r="H7" s="61"/>
      <c r="I7" s="60"/>
      <c r="J7" s="61"/>
    </row>
    <row r="8" ht="15" customHeight="1" spans="1:10" x14ac:dyDescent="0.25">
      <c r="A8" s="65"/>
      <c r="B8" s="64"/>
      <c r="C8" s="65"/>
      <c r="D8" s="65"/>
      <c r="E8" s="65"/>
      <c r="F8" s="65"/>
      <c r="G8" s="65"/>
      <c r="H8" s="65"/>
      <c r="I8" s="64"/>
      <c r="J8" s="65"/>
    </row>
    <row r="9" ht="15" customHeight="1" spans="1:10" x14ac:dyDescent="0.25">
      <c r="A9" s="61"/>
      <c r="B9" s="60"/>
      <c r="C9" s="61"/>
      <c r="D9" s="61"/>
      <c r="E9" s="61"/>
      <c r="F9" s="61"/>
      <c r="G9" s="61"/>
      <c r="H9" s="61"/>
      <c r="I9" s="60"/>
      <c r="J9" s="61"/>
    </row>
    <row r="10" ht="15" customHeight="1" spans="1:10" x14ac:dyDescent="0.25">
      <c r="A10" s="65"/>
      <c r="B10" s="64"/>
      <c r="C10" s="65"/>
      <c r="D10" s="65"/>
      <c r="E10" s="65"/>
      <c r="F10" s="65"/>
      <c r="G10" s="65"/>
      <c r="H10" s="65"/>
      <c r="I10" s="64"/>
      <c r="J10" s="65"/>
    </row>
    <row r="11" ht="15" customHeight="1" spans="1:10" x14ac:dyDescent="0.25">
      <c r="A11" s="61"/>
      <c r="B11" s="60"/>
      <c r="C11" s="61"/>
      <c r="D11" s="61"/>
      <c r="E11" s="61"/>
      <c r="F11" s="61"/>
      <c r="G11" s="61"/>
      <c r="H11" s="61"/>
      <c r="I11" s="60"/>
      <c r="J11" s="61"/>
    </row>
    <row r="12" ht="15" customHeight="1" spans="1:10" x14ac:dyDescent="0.25">
      <c r="A12" s="65"/>
      <c r="B12" s="64"/>
      <c r="C12" s="65"/>
      <c r="D12" s="65"/>
      <c r="E12" s="65"/>
      <c r="F12" s="65"/>
      <c r="G12" s="65"/>
      <c r="H12" s="65"/>
      <c r="I12" s="64"/>
      <c r="J12" s="65"/>
    </row>
    <row r="13" ht="15" customHeight="1" spans="1:10" x14ac:dyDescent="0.25">
      <c r="A13" s="61"/>
      <c r="B13" s="60"/>
      <c r="C13" s="61"/>
      <c r="D13" s="61"/>
      <c r="E13" s="61"/>
      <c r="F13" s="61"/>
      <c r="G13" s="61"/>
      <c r="H13" s="61"/>
      <c r="I13" s="60"/>
      <c r="J13" s="61"/>
    </row>
    <row r="14" ht="15" customHeight="1" spans="1:10" x14ac:dyDescent="0.25">
      <c r="A14" s="65"/>
      <c r="B14" s="64"/>
      <c r="C14" s="65"/>
      <c r="D14" s="65"/>
      <c r="E14" s="65"/>
      <c r="F14" s="65"/>
      <c r="G14" s="65"/>
      <c r="H14" s="65"/>
      <c r="I14" s="64"/>
      <c r="J14" s="65"/>
    </row>
    <row r="15" ht="15" customHeight="1" spans="1:10" x14ac:dyDescent="0.25">
      <c r="A15" s="61"/>
      <c r="B15" s="60"/>
      <c r="C15" s="61"/>
      <c r="D15" s="61"/>
      <c r="E15" s="61"/>
      <c r="F15" s="61"/>
      <c r="G15" s="61"/>
      <c r="H15" s="61"/>
      <c r="I15" s="60"/>
      <c r="J15" s="61"/>
    </row>
    <row r="16" ht="15" customHeight="1" spans="1:10" x14ac:dyDescent="0.25">
      <c r="A16" s="65"/>
      <c r="B16" s="64"/>
      <c r="C16" s="65"/>
      <c r="D16" s="65"/>
      <c r="E16" s="65"/>
      <c r="F16" s="65"/>
      <c r="G16" s="65"/>
      <c r="H16" s="65"/>
      <c r="I16" s="64"/>
      <c r="J16" s="65"/>
    </row>
    <row r="17" ht="15" customHeight="1" spans="1:10" x14ac:dyDescent="0.25">
      <c r="A17" s="61"/>
      <c r="B17" s="60"/>
      <c r="C17" s="61"/>
      <c r="D17" s="61"/>
      <c r="E17" s="61"/>
      <c r="F17" s="61"/>
      <c r="G17" s="61"/>
      <c r="H17" s="61"/>
      <c r="I17" s="60"/>
      <c r="J17" s="61"/>
    </row>
    <row r="18" ht="15" customHeight="1" spans="1:10" x14ac:dyDescent="0.25">
      <c r="A18" s="65"/>
      <c r="B18" s="64"/>
      <c r="C18" s="65"/>
      <c r="D18" s="65"/>
      <c r="E18" s="65"/>
      <c r="F18" s="65"/>
      <c r="G18" s="65"/>
      <c r="H18" s="65"/>
      <c r="I18" s="64"/>
      <c r="J18" s="65"/>
    </row>
    <row r="19" ht="15" customHeight="1" spans="1:10" x14ac:dyDescent="0.25">
      <c r="A19" s="61"/>
      <c r="B19" s="60"/>
      <c r="C19" s="61"/>
      <c r="D19" s="61"/>
      <c r="E19" s="61"/>
      <c r="F19" s="61"/>
      <c r="G19" s="61"/>
      <c r="H19" s="61"/>
      <c r="I19" s="60"/>
      <c r="J19" s="61"/>
    </row>
    <row r="20" ht="15" customHeight="1" spans="1:10" x14ac:dyDescent="0.25">
      <c r="A20" s="65"/>
      <c r="B20" s="64"/>
      <c r="C20" s="65"/>
      <c r="D20" s="65"/>
      <c r="E20" s="65"/>
      <c r="F20" s="65"/>
      <c r="G20" s="65"/>
      <c r="H20" s="65"/>
      <c r="I20" s="64"/>
      <c r="J20" s="65"/>
    </row>
    <row r="21" ht="15" customHeight="1" spans="1:10" x14ac:dyDescent="0.25">
      <c r="A21" s="61"/>
      <c r="B21" s="60"/>
      <c r="C21" s="61"/>
      <c r="D21" s="61"/>
      <c r="E21" s="61"/>
      <c r="F21" s="61"/>
      <c r="G21" s="61"/>
      <c r="H21" s="61"/>
      <c r="I21" s="60"/>
      <c r="J21" s="61"/>
    </row>
    <row r="22" ht="15" customHeight="1" spans="1:10" x14ac:dyDescent="0.25">
      <c r="A22" s="65"/>
      <c r="B22" s="64"/>
      <c r="C22" s="65"/>
      <c r="D22" s="65"/>
      <c r="E22" s="65"/>
      <c r="F22" s="65"/>
      <c r="G22" s="65"/>
      <c r="H22" s="65"/>
      <c r="I22" s="64"/>
      <c r="J22" s="65"/>
    </row>
    <row r="23" ht="15" customHeight="1" spans="1:10" x14ac:dyDescent="0.25">
      <c r="A23" s="61"/>
      <c r="B23" s="60"/>
      <c r="C23" s="61"/>
      <c r="D23" s="61"/>
      <c r="E23" s="61"/>
      <c r="F23" s="61"/>
      <c r="G23" s="61"/>
      <c r="H23" s="61"/>
      <c r="I23" s="60"/>
      <c r="J23" s="61"/>
    </row>
    <row r="24" ht="15" customHeight="1" spans="1:10" x14ac:dyDescent="0.25">
      <c r="A24" s="65"/>
      <c r="B24" s="64"/>
      <c r="C24" s="65"/>
      <c r="D24" s="65"/>
      <c r="E24" s="65"/>
      <c r="F24" s="65"/>
      <c r="G24" s="65"/>
      <c r="H24" s="65"/>
      <c r="I24" s="64"/>
      <c r="J24" s="65"/>
    </row>
    <row r="25" ht="15" customHeight="1" spans="1:10" x14ac:dyDescent="0.25">
      <c r="A25" s="61"/>
      <c r="B25" s="60"/>
      <c r="C25" s="61"/>
      <c r="D25" s="61"/>
      <c r="E25" s="61"/>
      <c r="F25" s="61"/>
      <c r="G25" s="61"/>
      <c r="H25" s="61"/>
      <c r="I25" s="60"/>
      <c r="J25" s="61"/>
    </row>
    <row r="26" ht="15" customHeight="1" spans="1:10" x14ac:dyDescent="0.25">
      <c r="A26" s="65"/>
      <c r="B26" s="64"/>
      <c r="C26" s="65"/>
      <c r="D26" s="65"/>
      <c r="E26" s="65"/>
      <c r="F26" s="65"/>
      <c r="G26" s="65"/>
      <c r="H26" s="65"/>
      <c r="I26" s="64"/>
      <c r="J26" s="65"/>
    </row>
    <row r="27" ht="15" customHeight="1" spans="1:10" x14ac:dyDescent="0.25">
      <c r="A27" s="61"/>
      <c r="B27" s="60"/>
      <c r="C27" s="61"/>
      <c r="D27" s="61"/>
      <c r="E27" s="61"/>
      <c r="F27" s="61"/>
      <c r="G27" s="61"/>
      <c r="H27" s="61"/>
      <c r="I27" s="60"/>
      <c r="J27" s="61"/>
    </row>
    <row r="28" ht="15" customHeight="1" spans="1:10" x14ac:dyDescent="0.25">
      <c r="A28" s="65"/>
      <c r="B28" s="64"/>
      <c r="C28" s="65"/>
      <c r="D28" s="65"/>
      <c r="E28" s="65"/>
      <c r="F28" s="65"/>
      <c r="G28" s="65"/>
      <c r="H28" s="65"/>
      <c r="I28" s="64"/>
      <c r="J28" s="65"/>
    </row>
    <row r="29" ht="15" customHeight="1" spans="1:10" x14ac:dyDescent="0.25">
      <c r="A29" s="61"/>
      <c r="B29" s="60"/>
      <c r="C29" s="61"/>
      <c r="D29" s="61"/>
      <c r="E29" s="61"/>
      <c r="F29" s="61"/>
      <c r="G29" s="61"/>
      <c r="H29" s="61"/>
      <c r="I29" s="60"/>
      <c r="J29" s="61"/>
    </row>
    <row r="30" ht="15" customHeight="1" spans="1:10" x14ac:dyDescent="0.25">
      <c r="A30" s="65"/>
      <c r="B30" s="64"/>
      <c r="C30" s="65"/>
      <c r="D30" s="65"/>
      <c r="E30" s="65"/>
      <c r="F30" s="65"/>
      <c r="G30" s="65"/>
      <c r="H30" s="65"/>
      <c r="I30" s="64"/>
      <c r="J30" s="65"/>
    </row>
    <row r="31" ht="15" customHeight="1" spans="1:10" x14ac:dyDescent="0.25">
      <c r="A31" s="61"/>
      <c r="B31" s="60"/>
      <c r="C31" s="61"/>
      <c r="D31" s="61"/>
      <c r="E31" s="61"/>
      <c r="F31" s="61"/>
      <c r="G31" s="61"/>
      <c r="H31" s="61"/>
      <c r="I31" s="60"/>
      <c r="J31" s="61"/>
    </row>
    <row r="32" ht="15" customHeight="1" spans="1:10" x14ac:dyDescent="0.25">
      <c r="A32" s="65"/>
      <c r="B32" s="64"/>
      <c r="C32" s="65"/>
      <c r="D32" s="65"/>
      <c r="E32" s="65"/>
      <c r="F32" s="65"/>
      <c r="G32" s="65"/>
      <c r="H32" s="65"/>
      <c r="I32" s="64"/>
      <c r="J32" s="65"/>
    </row>
    <row r="33" ht="15" customHeight="1" spans="1:10" x14ac:dyDescent="0.25">
      <c r="A33" s="61"/>
      <c r="B33" s="60"/>
      <c r="C33" s="61"/>
      <c r="D33" s="61"/>
      <c r="E33" s="61"/>
      <c r="F33" s="61"/>
      <c r="G33" s="61"/>
      <c r="H33" s="61"/>
      <c r="I33" s="60"/>
      <c r="J33" s="61"/>
    </row>
    <row r="34" ht="15" customHeight="1" spans="1:10" x14ac:dyDescent="0.25">
      <c r="A34" s="65"/>
      <c r="B34" s="64"/>
      <c r="C34" s="65"/>
      <c r="D34" s="65"/>
      <c r="E34" s="65"/>
      <c r="F34" s="65"/>
      <c r="G34" s="65"/>
      <c r="H34" s="65"/>
      <c r="I34" s="64"/>
      <c r="J34" s="65"/>
    </row>
    <row r="35" ht="15" customHeight="1" spans="1:10" x14ac:dyDescent="0.25">
      <c r="A35" s="61"/>
      <c r="B35" s="60"/>
      <c r="C35" s="61"/>
      <c r="D35" s="61"/>
      <c r="E35" s="61"/>
      <c r="F35" s="61"/>
      <c r="G35" s="61"/>
      <c r="H35" s="61"/>
      <c r="I35" s="60"/>
      <c r="J35" s="61"/>
    </row>
    <row r="36" ht="15" customHeight="1" spans="1:10" x14ac:dyDescent="0.25">
      <c r="A36" s="65"/>
      <c r="B36" s="64"/>
      <c r="C36" s="65"/>
      <c r="D36" s="65"/>
      <c r="E36" s="65"/>
      <c r="F36" s="65"/>
      <c r="G36" s="65"/>
      <c r="H36" s="65"/>
      <c r="I36" s="64"/>
      <c r="J36" s="65"/>
    </row>
    <row r="37" ht="15" customHeight="1" spans="1:10" x14ac:dyDescent="0.25">
      <c r="A37" s="61"/>
      <c r="B37" s="60"/>
      <c r="C37" s="61"/>
      <c r="D37" s="61"/>
      <c r="E37" s="61"/>
      <c r="F37" s="61"/>
      <c r="G37" s="61"/>
      <c r="H37" s="61"/>
      <c r="I37" s="60"/>
      <c r="J37" s="61"/>
    </row>
    <row r="38" ht="15" customHeight="1" spans="1:10" x14ac:dyDescent="0.25">
      <c r="A38" s="65"/>
      <c r="B38" s="64"/>
      <c r="C38" s="65"/>
      <c r="D38" s="65"/>
      <c r="E38" s="65"/>
      <c r="F38" s="65"/>
      <c r="G38" s="65"/>
      <c r="H38" s="65"/>
      <c r="I38" s="64"/>
      <c r="J38" s="65"/>
    </row>
    <row r="39" ht="15" customHeight="1" spans="1:10" x14ac:dyDescent="0.25">
      <c r="A39" s="61"/>
      <c r="B39" s="60"/>
      <c r="C39" s="61"/>
      <c r="D39" s="61"/>
      <c r="E39" s="61"/>
      <c r="F39" s="61"/>
      <c r="G39" s="61"/>
      <c r="H39" s="61"/>
      <c r="I39" s="60"/>
      <c r="J39" s="61"/>
    </row>
    <row r="40" ht="15" customHeight="1" spans="1:10" x14ac:dyDescent="0.25">
      <c r="A40" s="65"/>
      <c r="B40" s="64"/>
      <c r="C40" s="65"/>
      <c r="D40" s="65"/>
      <c r="E40" s="65"/>
      <c r="F40" s="65"/>
      <c r="G40" s="65"/>
      <c r="H40" s="65"/>
      <c r="I40" s="64"/>
      <c r="J40" s="65"/>
    </row>
    <row r="41" ht="15" customHeight="1" spans="1:10" x14ac:dyDescent="0.25">
      <c r="A41" s="61"/>
      <c r="B41" s="60"/>
      <c r="C41" s="61"/>
      <c r="D41" s="61"/>
      <c r="E41" s="61"/>
      <c r="F41" s="61"/>
      <c r="G41" s="61"/>
      <c r="H41" s="61"/>
      <c r="I41" s="60"/>
      <c r="J41" s="61"/>
    </row>
    <row r="42" ht="15" customHeight="1" spans="1:10" x14ac:dyDescent="0.25">
      <c r="A42" s="65"/>
      <c r="B42" s="64"/>
      <c r="C42" s="65"/>
      <c r="D42" s="65"/>
      <c r="E42" s="65"/>
      <c r="F42" s="65"/>
      <c r="G42" s="65"/>
      <c r="H42" s="65"/>
      <c r="I42" s="64"/>
      <c r="J42" s="65"/>
    </row>
    <row r="43" ht="15" customHeight="1" spans="1:10" x14ac:dyDescent="0.25">
      <c r="A43" s="61"/>
      <c r="B43" s="60"/>
      <c r="C43" s="61"/>
      <c r="D43" s="61"/>
      <c r="E43" s="61"/>
      <c r="F43" s="61"/>
      <c r="G43" s="61"/>
      <c r="H43" s="61"/>
      <c r="I43" s="60"/>
      <c r="J43" s="61"/>
    </row>
    <row r="44" ht="15" customHeight="1" spans="1:10" x14ac:dyDescent="0.25">
      <c r="A44" s="65"/>
      <c r="B44" s="64"/>
      <c r="C44" s="65"/>
      <c r="D44" s="65"/>
      <c r="E44" s="65"/>
      <c r="F44" s="65"/>
      <c r="G44" s="65"/>
      <c r="H44" s="65"/>
      <c r="I44" s="64"/>
      <c r="J44" s="65"/>
    </row>
    <row r="45" ht="15" customHeight="1" spans="1:10" x14ac:dyDescent="0.25">
      <c r="A45" s="61"/>
      <c r="B45" s="60"/>
      <c r="C45" s="61"/>
      <c r="D45" s="61"/>
      <c r="E45" s="61"/>
      <c r="F45" s="61"/>
      <c r="G45" s="61"/>
      <c r="H45" s="61"/>
      <c r="I45" s="60"/>
      <c r="J45" s="61"/>
    </row>
    <row r="46" ht="15" customHeight="1" spans="1:10" x14ac:dyDescent="0.25">
      <c r="A46" s="65"/>
      <c r="B46" s="64"/>
      <c r="C46" s="65"/>
      <c r="D46" s="65"/>
      <c r="E46" s="65"/>
      <c r="F46" s="65"/>
      <c r="G46" s="65"/>
      <c r="H46" s="65"/>
      <c r="I46" s="64"/>
      <c r="J46" s="65"/>
    </row>
    <row r="47" ht="15" customHeight="1" spans="1:10" x14ac:dyDescent="0.25">
      <c r="A47" s="61"/>
      <c r="B47" s="60"/>
      <c r="C47" s="61"/>
      <c r="D47" s="61"/>
      <c r="E47" s="61"/>
      <c r="F47" s="61"/>
      <c r="G47" s="61"/>
      <c r="H47" s="61"/>
      <c r="I47" s="60"/>
      <c r="J47" s="61"/>
    </row>
    <row r="48" ht="15" customHeight="1" spans="1:10" x14ac:dyDescent="0.25">
      <c r="A48" s="65"/>
      <c r="B48" s="64"/>
      <c r="C48" s="65"/>
      <c r="D48" s="65"/>
      <c r="E48" s="65"/>
      <c r="F48" s="65"/>
      <c r="G48" s="65"/>
      <c r="H48" s="65"/>
      <c r="I48" s="64"/>
      <c r="J48" s="65"/>
    </row>
    <row r="49" ht="15" customHeight="1" spans="1:10" x14ac:dyDescent="0.25">
      <c r="A49" s="61"/>
      <c r="B49" s="60"/>
      <c r="C49" s="61"/>
      <c r="D49" s="61"/>
      <c r="E49" s="61"/>
      <c r="F49" s="61"/>
      <c r="G49" s="61"/>
      <c r="H49" s="61"/>
      <c r="I49" s="60"/>
      <c r="J49" s="61"/>
    </row>
    <row r="50" ht="15" customHeight="1" spans="1:10" x14ac:dyDescent="0.25">
      <c r="A50" s="65"/>
      <c r="B50" s="64"/>
      <c r="C50" s="65"/>
      <c r="D50" s="65"/>
      <c r="E50" s="65"/>
      <c r="F50" s="65"/>
      <c r="G50" s="65"/>
      <c r="H50" s="65"/>
      <c r="I50" s="64"/>
      <c r="J50" s="65"/>
    </row>
    <row r="51" ht="15" customHeight="1" spans="1:10" x14ac:dyDescent="0.25">
      <c r="A51" s="61"/>
      <c r="B51" s="60"/>
      <c r="C51" s="61"/>
      <c r="D51" s="61"/>
      <c r="E51" s="61"/>
      <c r="F51" s="61"/>
      <c r="G51" s="61"/>
      <c r="H51" s="61"/>
      <c r="I51" s="60"/>
      <c r="J51" s="61"/>
    </row>
    <row r="52" ht="15" customHeight="1" spans="1:10" x14ac:dyDescent="0.25">
      <c r="A52" s="65"/>
      <c r="B52" s="64"/>
      <c r="C52" s="65"/>
      <c r="D52" s="65"/>
      <c r="E52" s="65"/>
      <c r="F52" s="65"/>
      <c r="G52" s="65"/>
      <c r="H52" s="65"/>
      <c r="I52" s="64"/>
      <c r="J52" s="65"/>
    </row>
    <row r="53" ht="15" customHeight="1" spans="1:10" x14ac:dyDescent="0.25">
      <c r="A53" s="61"/>
      <c r="B53" s="60"/>
      <c r="C53" s="61"/>
      <c r="D53" s="61"/>
      <c r="E53" s="61"/>
      <c r="F53" s="61"/>
      <c r="G53" s="61"/>
      <c r="H53" s="61"/>
      <c r="I53" s="60"/>
      <c r="J53" s="61"/>
    </row>
    <row r="54" ht="15" customHeight="1" spans="1:10" x14ac:dyDescent="0.25">
      <c r="A54" s="65"/>
      <c r="B54" s="64"/>
      <c r="C54" s="65"/>
      <c r="D54" s="65"/>
      <c r="E54" s="65"/>
      <c r="F54" s="65"/>
      <c r="G54" s="65"/>
      <c r="H54" s="65"/>
      <c r="I54" s="64"/>
      <c r="J54" s="65"/>
    </row>
    <row r="55" ht="15" customHeight="1" spans="1:10" x14ac:dyDescent="0.25">
      <c r="A55" s="61"/>
      <c r="B55" s="60"/>
      <c r="C55" s="61"/>
      <c r="D55" s="61"/>
      <c r="E55" s="61"/>
      <c r="F55" s="61"/>
      <c r="G55" s="61"/>
      <c r="H55" s="61"/>
      <c r="I55" s="60"/>
      <c r="J55" s="61"/>
    </row>
    <row r="56" ht="15" customHeight="1" spans="1:10" x14ac:dyDescent="0.25">
      <c r="A56" s="65"/>
      <c r="B56" s="64"/>
      <c r="C56" s="65"/>
      <c r="D56" s="65"/>
      <c r="E56" s="65"/>
      <c r="F56" s="65"/>
      <c r="G56" s="65"/>
      <c r="H56" s="65"/>
      <c r="I56" s="64"/>
      <c r="J56" s="65"/>
    </row>
    <row r="57" ht="15" customHeight="1" spans="1:10" x14ac:dyDescent="0.25">
      <c r="A57" s="61"/>
      <c r="B57" s="60"/>
      <c r="C57" s="61"/>
      <c r="D57" s="61"/>
      <c r="E57" s="61"/>
      <c r="F57" s="61"/>
      <c r="G57" s="61"/>
      <c r="H57" s="61"/>
      <c r="I57" s="60"/>
      <c r="J57" s="61"/>
    </row>
    <row r="58" ht="15" customHeight="1" spans="1:10" x14ac:dyDescent="0.25">
      <c r="A58" s="65"/>
      <c r="B58" s="64"/>
      <c r="C58" s="65"/>
      <c r="D58" s="65"/>
      <c r="E58" s="65"/>
      <c r="F58" s="65"/>
      <c r="G58" s="65"/>
      <c r="H58" s="65"/>
      <c r="I58" s="64"/>
      <c r="J58" s="65"/>
    </row>
    <row r="59" ht="15" customHeight="1" spans="1:10" x14ac:dyDescent="0.25">
      <c r="A59" s="61"/>
      <c r="B59" s="60"/>
      <c r="C59" s="61"/>
      <c r="D59" s="61"/>
      <c r="E59" s="61"/>
      <c r="F59" s="61"/>
      <c r="G59" s="61"/>
      <c r="H59" s="61"/>
      <c r="I59" s="60"/>
      <c r="J59" s="61"/>
    </row>
    <row r="60" ht="15" customHeight="1" spans="1:10" x14ac:dyDescent="0.25">
      <c r="A60" s="65"/>
      <c r="B60" s="64"/>
      <c r="C60" s="65"/>
      <c r="D60" s="65"/>
      <c r="E60" s="65"/>
      <c r="F60" s="65"/>
      <c r="G60" s="65"/>
      <c r="H60" s="65"/>
      <c r="I60" s="64"/>
      <c r="J60" s="65"/>
    </row>
    <row r="61" ht="15" customHeight="1" spans="1:10" x14ac:dyDescent="0.25">
      <c r="A61" s="61"/>
      <c r="B61" s="60"/>
      <c r="C61" s="61"/>
      <c r="D61" s="61"/>
      <c r="E61" s="61"/>
      <c r="F61" s="61"/>
      <c r="G61" s="61"/>
      <c r="H61" s="61"/>
      <c r="I61" s="60"/>
      <c r="J61" s="61"/>
    </row>
    <row r="62" ht="15" customHeight="1" spans="1:10" x14ac:dyDescent="0.25">
      <c r="A62" s="65"/>
      <c r="B62" s="64"/>
      <c r="C62" s="65"/>
      <c r="D62" s="65"/>
      <c r="E62" s="65"/>
      <c r="F62" s="65"/>
      <c r="G62" s="65"/>
      <c r="H62" s="65"/>
      <c r="I62" s="64"/>
      <c r="J62" s="65"/>
    </row>
    <row r="63" ht="15" customHeight="1" spans="1:10" x14ac:dyDescent="0.25">
      <c r="A63" s="61"/>
      <c r="B63" s="60"/>
      <c r="C63" s="61"/>
      <c r="D63" s="61"/>
      <c r="E63" s="61"/>
      <c r="F63" s="61"/>
      <c r="G63" s="61"/>
      <c r="H63" s="61"/>
      <c r="I63" s="60"/>
      <c r="J63" s="61"/>
    </row>
    <row r="64" ht="15" customHeight="1" spans="1:10" x14ac:dyDescent="0.25">
      <c r="A64" s="65"/>
      <c r="B64" s="64"/>
      <c r="C64" s="65"/>
      <c r="D64" s="65"/>
      <c r="E64" s="65"/>
      <c r="F64" s="65"/>
      <c r="G64" s="65"/>
      <c r="H64" s="65"/>
      <c r="I64" s="64"/>
      <c r="J64" s="65"/>
    </row>
    <row r="65" ht="15" customHeight="1" spans="1:10" x14ac:dyDescent="0.25">
      <c r="A65" s="61"/>
      <c r="B65" s="60"/>
      <c r="C65" s="61"/>
      <c r="D65" s="61"/>
      <c r="E65" s="61"/>
      <c r="F65" s="61"/>
      <c r="G65" s="61"/>
      <c r="H65" s="61"/>
      <c r="I65" s="60"/>
      <c r="J65" s="61"/>
    </row>
    <row r="66" ht="15" customHeight="1" spans="1:10" x14ac:dyDescent="0.25">
      <c r="A66" s="65"/>
      <c r="B66" s="64"/>
      <c r="C66" s="65"/>
      <c r="D66" s="65"/>
      <c r="E66" s="65"/>
      <c r="F66" s="65"/>
      <c r="G66" s="65"/>
      <c r="H66" s="65"/>
      <c r="I66" s="64"/>
      <c r="J66" s="65"/>
    </row>
    <row r="67" ht="15" customHeight="1" spans="1:10" x14ac:dyDescent="0.25">
      <c r="A67" s="61"/>
      <c r="B67" s="60"/>
      <c r="C67" s="61"/>
      <c r="D67" s="61"/>
      <c r="E67" s="61"/>
      <c r="F67" s="61"/>
      <c r="G67" s="61"/>
      <c r="H67" s="61"/>
      <c r="I67" s="60"/>
      <c r="J67" s="61"/>
    </row>
    <row r="68" ht="15" customHeight="1" spans="1:10" x14ac:dyDescent="0.25">
      <c r="A68" s="65"/>
      <c r="B68" s="64"/>
      <c r="C68" s="65"/>
      <c r="D68" s="65"/>
      <c r="E68" s="65"/>
      <c r="F68" s="65"/>
      <c r="G68" s="65"/>
      <c r="H68" s="65"/>
      <c r="I68" s="64"/>
      <c r="J68" s="65"/>
    </row>
    <row r="69" ht="15" customHeight="1" spans="1:10" x14ac:dyDescent="0.25">
      <c r="A69" s="61"/>
      <c r="B69" s="60"/>
      <c r="C69" s="61"/>
      <c r="D69" s="61"/>
      <c r="E69" s="61"/>
      <c r="F69" s="61"/>
      <c r="G69" s="61"/>
      <c r="H69" s="61"/>
      <c r="I69" s="60"/>
      <c r="J69" s="61"/>
    </row>
    <row r="70" ht="15" customHeight="1" spans="1:10" x14ac:dyDescent="0.25">
      <c r="A70" s="65"/>
      <c r="B70" s="64"/>
      <c r="C70" s="65"/>
      <c r="D70" s="65"/>
      <c r="E70" s="65"/>
      <c r="F70" s="65"/>
      <c r="G70" s="65"/>
      <c r="H70" s="65"/>
      <c r="I70" s="64"/>
      <c r="J70" s="65"/>
    </row>
    <row r="71" ht="15" customHeight="1" spans="1:10" x14ac:dyDescent="0.25">
      <c r="A71" s="61"/>
      <c r="B71" s="60"/>
      <c r="C71" s="61"/>
      <c r="D71" s="61"/>
      <c r="E71" s="61"/>
      <c r="F71" s="61"/>
      <c r="G71" s="61"/>
      <c r="H71" s="61"/>
      <c r="I71" s="60"/>
      <c r="J71" s="61"/>
    </row>
    <row r="72" ht="15" customHeight="1" spans="1:10" x14ac:dyDescent="0.25">
      <c r="A72" s="65"/>
      <c r="B72" s="64"/>
      <c r="C72" s="65"/>
      <c r="D72" s="65"/>
      <c r="E72" s="65"/>
      <c r="F72" s="65"/>
      <c r="G72" s="65"/>
      <c r="H72" s="65"/>
      <c r="I72" s="64"/>
      <c r="J72" s="65"/>
    </row>
    <row r="73" ht="15" customHeight="1" spans="1:10" x14ac:dyDescent="0.25">
      <c r="A73" s="61"/>
      <c r="B73" s="60"/>
      <c r="C73" s="61"/>
      <c r="D73" s="61"/>
      <c r="E73" s="61"/>
      <c r="F73" s="61"/>
      <c r="G73" s="61"/>
      <c r="H73" s="61"/>
      <c r="I73" s="60"/>
      <c r="J73" s="61"/>
    </row>
    <row r="74" ht="15" customHeight="1" spans="1:10" x14ac:dyDescent="0.25">
      <c r="A74" s="65"/>
      <c r="B74" s="64"/>
      <c r="C74" s="65"/>
      <c r="D74" s="65"/>
      <c r="E74" s="65"/>
      <c r="F74" s="65"/>
      <c r="G74" s="65"/>
      <c r="H74" s="65"/>
      <c r="I74" s="64"/>
      <c r="J74" s="65"/>
    </row>
    <row r="75" ht="15" customHeight="1" spans="1:10" x14ac:dyDescent="0.25">
      <c r="A75" s="61"/>
      <c r="B75" s="60"/>
      <c r="C75" s="61"/>
      <c r="D75" s="61"/>
      <c r="E75" s="61"/>
      <c r="F75" s="61"/>
      <c r="G75" s="61"/>
      <c r="H75" s="61"/>
      <c r="I75" s="60"/>
      <c r="J75" s="61"/>
    </row>
    <row r="76" ht="15" customHeight="1" spans="1:10" x14ac:dyDescent="0.25">
      <c r="A76" s="65"/>
      <c r="B76" s="64"/>
      <c r="C76" s="65"/>
      <c r="D76" s="65"/>
      <c r="E76" s="65"/>
      <c r="F76" s="65"/>
      <c r="G76" s="65"/>
      <c r="H76" s="65"/>
      <c r="I76" s="64"/>
      <c r="J76" s="65"/>
    </row>
    <row r="77" ht="15" customHeight="1" spans="1:10" x14ac:dyDescent="0.25">
      <c r="A77" s="61"/>
      <c r="B77" s="60"/>
      <c r="C77" s="61"/>
      <c r="D77" s="61"/>
      <c r="E77" s="61"/>
      <c r="F77" s="61"/>
      <c r="G77" s="61"/>
      <c r="H77" s="61"/>
      <c r="I77" s="60"/>
      <c r="J77" s="61"/>
    </row>
    <row r="78" ht="15" customHeight="1" spans="1:10" x14ac:dyDescent="0.25">
      <c r="A78" s="65"/>
      <c r="B78" s="64"/>
      <c r="C78" s="65"/>
      <c r="D78" s="65"/>
      <c r="E78" s="65"/>
      <c r="F78" s="65"/>
      <c r="G78" s="65"/>
      <c r="H78" s="65"/>
      <c r="I78" s="64"/>
      <c r="J78" s="65"/>
    </row>
    <row r="79" ht="15" customHeight="1" spans="1:10" x14ac:dyDescent="0.25">
      <c r="A79" s="61"/>
      <c r="B79" s="60"/>
      <c r="C79" s="61"/>
      <c r="D79" s="61"/>
      <c r="E79" s="61"/>
      <c r="F79" s="61"/>
      <c r="G79" s="61"/>
      <c r="H79" s="61"/>
      <c r="I79" s="60"/>
      <c r="J79" s="61"/>
    </row>
    <row r="80" ht="15" customHeight="1" spans="1:10" x14ac:dyDescent="0.25">
      <c r="A80" s="65"/>
      <c r="B80" s="64"/>
      <c r="C80" s="65"/>
      <c r="D80" s="65"/>
      <c r="E80" s="65"/>
      <c r="F80" s="65"/>
      <c r="G80" s="65"/>
      <c r="H80" s="65"/>
      <c r="I80" s="64"/>
      <c r="J80" s="65"/>
    </row>
    <row r="81" ht="15" customHeight="1" spans="1:10" x14ac:dyDescent="0.25">
      <c r="A81" s="61"/>
      <c r="B81" s="60"/>
      <c r="C81" s="61"/>
      <c r="D81" s="61"/>
      <c r="E81" s="61"/>
      <c r="F81" s="61"/>
      <c r="G81" s="61"/>
      <c r="H81" s="61"/>
      <c r="I81" s="60"/>
      <c r="J81" s="61"/>
    </row>
    <row r="82" ht="15" customHeight="1" spans="1:10" x14ac:dyDescent="0.25">
      <c r="A82" s="65"/>
      <c r="B82" s="64"/>
      <c r="C82" s="65"/>
      <c r="D82" s="65"/>
      <c r="E82" s="65"/>
      <c r="F82" s="65"/>
      <c r="G82" s="65"/>
      <c r="H82" s="65"/>
      <c r="I82" s="64"/>
      <c r="J82" s="65"/>
    </row>
    <row r="83" ht="15" customHeight="1" spans="1:10" x14ac:dyDescent="0.25">
      <c r="A83" s="61"/>
      <c r="B83" s="60"/>
      <c r="C83" s="61"/>
      <c r="D83" s="61"/>
      <c r="E83" s="61"/>
      <c r="F83" s="61"/>
      <c r="G83" s="61"/>
      <c r="H83" s="61"/>
      <c r="I83" s="60"/>
      <c r="J83" s="61"/>
    </row>
    <row r="84" ht="15" customHeight="1" spans="1:10" x14ac:dyDescent="0.25">
      <c r="A84" s="65"/>
      <c r="B84" s="64"/>
      <c r="C84" s="65"/>
      <c r="D84" s="65"/>
      <c r="E84" s="65"/>
      <c r="F84" s="65"/>
      <c r="G84" s="65"/>
      <c r="H84" s="65"/>
      <c r="I84" s="64"/>
      <c r="J84" s="65"/>
    </row>
    <row r="85" ht="15" customHeight="1" spans="1:10" x14ac:dyDescent="0.25">
      <c r="A85" s="61"/>
      <c r="B85" s="60"/>
      <c r="C85" s="61"/>
      <c r="D85" s="61"/>
      <c r="E85" s="61"/>
      <c r="F85" s="61"/>
      <c r="G85" s="61"/>
      <c r="H85" s="61"/>
      <c r="I85" s="60"/>
      <c r="J85" s="61"/>
    </row>
    <row r="86" ht="15" customHeight="1" spans="1:10" x14ac:dyDescent="0.25">
      <c r="A86" s="65"/>
      <c r="B86" s="64"/>
      <c r="C86" s="65"/>
      <c r="D86" s="65"/>
      <c r="E86" s="65"/>
      <c r="F86" s="65"/>
      <c r="G86" s="65"/>
      <c r="H86" s="65"/>
      <c r="I86" s="64"/>
      <c r="J86" s="65"/>
    </row>
    <row r="87" ht="15" customHeight="1" spans="1:10" x14ac:dyDescent="0.25">
      <c r="A87" s="61"/>
      <c r="B87" s="60"/>
      <c r="C87" s="61"/>
      <c r="D87" s="61"/>
      <c r="E87" s="61"/>
      <c r="F87" s="61"/>
      <c r="G87" s="61"/>
      <c r="H87" s="61"/>
      <c r="I87" s="60"/>
      <c r="J87" s="61"/>
    </row>
    <row r="88" ht="15" customHeight="1" spans="1:10" x14ac:dyDescent="0.25">
      <c r="A88" s="65"/>
      <c r="B88" s="64"/>
      <c r="C88" s="65"/>
      <c r="D88" s="65"/>
      <c r="E88" s="65"/>
      <c r="F88" s="65"/>
      <c r="G88" s="65"/>
      <c r="H88" s="65"/>
      <c r="I88" s="64"/>
      <c r="J88" s="65"/>
    </row>
    <row r="89" ht="15" customHeight="1" spans="1:10" x14ac:dyDescent="0.25">
      <c r="A89" s="61"/>
      <c r="B89" s="60"/>
      <c r="C89" s="61"/>
      <c r="D89" s="61"/>
      <c r="E89" s="61"/>
      <c r="F89" s="61"/>
      <c r="G89" s="61"/>
      <c r="H89" s="61"/>
      <c r="I89" s="60"/>
      <c r="J89" s="61"/>
    </row>
    <row r="90" ht="15" customHeight="1" spans="1:10" x14ac:dyDescent="0.25">
      <c r="A90" s="65"/>
      <c r="B90" s="64"/>
      <c r="C90" s="65"/>
      <c r="D90" s="65"/>
      <c r="E90" s="65"/>
      <c r="F90" s="65"/>
      <c r="G90" s="65"/>
      <c r="H90" s="65"/>
      <c r="I90" s="64"/>
      <c r="J90" s="65"/>
    </row>
    <row r="91" ht="15" customHeight="1" spans="1:10" x14ac:dyDescent="0.25">
      <c r="A91" s="61"/>
      <c r="B91" s="60"/>
      <c r="C91" s="61"/>
      <c r="D91" s="61"/>
      <c r="E91" s="61"/>
      <c r="F91" s="61"/>
      <c r="G91" s="61"/>
      <c r="H91" s="61"/>
      <c r="I91" s="60"/>
      <c r="J91" s="61"/>
    </row>
    <row r="92" ht="15" customHeight="1" spans="1:10" x14ac:dyDescent="0.25">
      <c r="A92" s="65"/>
      <c r="B92" s="64"/>
      <c r="C92" s="65"/>
      <c r="D92" s="65"/>
      <c r="E92" s="65"/>
      <c r="F92" s="65"/>
      <c r="G92" s="65"/>
      <c r="H92" s="65"/>
      <c r="I92" s="64"/>
      <c r="J92" s="65"/>
    </row>
    <row r="93" ht="15" customHeight="1" spans="1:10" x14ac:dyDescent="0.25">
      <c r="A93" s="61"/>
      <c r="B93" s="60"/>
      <c r="C93" s="61"/>
      <c r="D93" s="61"/>
      <c r="E93" s="61"/>
      <c r="F93" s="61"/>
      <c r="G93" s="61"/>
      <c r="H93" s="61"/>
      <c r="I93" s="60"/>
      <c r="J93" s="61"/>
    </row>
    <row r="94" ht="15" customHeight="1" spans="1:10" x14ac:dyDescent="0.25">
      <c r="A94" s="65"/>
      <c r="B94" s="64"/>
      <c r="C94" s="65"/>
      <c r="D94" s="65"/>
      <c r="E94" s="65"/>
      <c r="F94" s="65"/>
      <c r="G94" s="65"/>
      <c r="H94" s="65"/>
      <c r="I94" s="64"/>
      <c r="J94" s="65"/>
    </row>
    <row r="95" ht="15" customHeight="1" spans="1:10" x14ac:dyDescent="0.25">
      <c r="A95" s="61"/>
      <c r="B95" s="60"/>
      <c r="C95" s="61"/>
      <c r="D95" s="61"/>
      <c r="E95" s="61"/>
      <c r="F95" s="61"/>
      <c r="G95" s="61"/>
      <c r="H95" s="61"/>
      <c r="I95" s="60"/>
      <c r="J95" s="61"/>
    </row>
    <row r="96" ht="15" customHeight="1" spans="1:10" x14ac:dyDescent="0.25">
      <c r="A96" s="65"/>
      <c r="B96" s="64"/>
      <c r="C96" s="65"/>
      <c r="D96" s="65"/>
      <c r="E96" s="65"/>
      <c r="F96" s="65"/>
      <c r="G96" s="65"/>
      <c r="H96" s="65"/>
      <c r="I96" s="64"/>
      <c r="J96" s="65"/>
    </row>
    <row r="97" ht="15" customHeight="1" spans="1:10" x14ac:dyDescent="0.25">
      <c r="A97" s="61"/>
      <c r="B97" s="60"/>
      <c r="C97" s="61"/>
      <c r="D97" s="61"/>
      <c r="E97" s="61"/>
      <c r="F97" s="61"/>
      <c r="G97" s="61"/>
      <c r="H97" s="61"/>
      <c r="I97" s="60"/>
      <c r="J97" s="61"/>
    </row>
    <row r="98" ht="15" customHeight="1" spans="1:10" x14ac:dyDescent="0.25">
      <c r="A98" s="65"/>
      <c r="B98" s="64"/>
      <c r="C98" s="65"/>
      <c r="D98" s="65"/>
      <c r="E98" s="65"/>
      <c r="F98" s="65"/>
      <c r="G98" s="65"/>
      <c r="H98" s="65"/>
      <c r="I98" s="64"/>
      <c r="J98" s="65"/>
    </row>
    <row r="99" ht="15" customHeight="1" spans="1:10" x14ac:dyDescent="0.25">
      <c r="A99" s="61"/>
      <c r="B99" s="60"/>
      <c r="C99" s="61"/>
      <c r="D99" s="61"/>
      <c r="E99" s="61"/>
      <c r="F99" s="61"/>
      <c r="G99" s="61"/>
      <c r="H99" s="61"/>
      <c r="I99" s="60"/>
      <c r="J99" s="61"/>
    </row>
    <row r="100" ht="15" customHeight="1" spans="1:10" x14ac:dyDescent="0.25">
      <c r="A100" s="65"/>
      <c r="B100" s="64"/>
      <c r="C100" s="65"/>
      <c r="D100" s="65"/>
      <c r="E100" s="65"/>
      <c r="F100" s="65"/>
      <c r="G100" s="65"/>
      <c r="H100" s="65"/>
      <c r="I100" s="64"/>
      <c r="J100" s="65"/>
    </row>
    <row r="101" ht="15" customHeight="1" spans="1:10" x14ac:dyDescent="0.25">
      <c r="A101" s="61"/>
      <c r="B101" s="60"/>
      <c r="C101" s="61"/>
      <c r="D101" s="61"/>
      <c r="E101" s="61"/>
      <c r="F101" s="61"/>
      <c r="G101" s="61"/>
      <c r="H101" s="61"/>
      <c r="I101" s="60"/>
      <c r="J101" s="61"/>
    </row>
    <row r="102" ht="15" customHeight="1" spans="1:10" x14ac:dyDescent="0.25">
      <c r="A102" s="65"/>
      <c r="B102" s="64"/>
      <c r="C102" s="65"/>
      <c r="D102" s="65"/>
      <c r="E102" s="65"/>
      <c r="F102" s="65"/>
      <c r="G102" s="65"/>
      <c r="H102" s="65"/>
      <c r="I102" s="64"/>
      <c r="J102" s="65"/>
    </row>
    <row r="103" ht="15" customHeight="1" spans="1:10" x14ac:dyDescent="0.25">
      <c r="A103" s="61"/>
      <c r="B103" s="60"/>
      <c r="C103" s="61"/>
      <c r="D103" s="61"/>
      <c r="E103" s="61"/>
      <c r="F103" s="61"/>
      <c r="G103" s="61"/>
      <c r="H103" s="61"/>
      <c r="I103" s="60"/>
      <c r="J103" s="61"/>
    </row>
    <row r="104" ht="15" customHeight="1" spans="1:10" x14ac:dyDescent="0.25">
      <c r="A104" s="65"/>
      <c r="B104" s="64"/>
      <c r="C104" s="65"/>
      <c r="D104" s="65"/>
      <c r="E104" s="65"/>
      <c r="F104" s="65"/>
      <c r="G104" s="65"/>
      <c r="H104" s="65"/>
      <c r="I104" s="64"/>
      <c r="J104" s="65"/>
    </row>
    <row r="105" ht="15" customHeight="1" spans="1:10" x14ac:dyDescent="0.25">
      <c r="A105" s="61"/>
      <c r="B105" s="60"/>
      <c r="C105" s="61"/>
      <c r="D105" s="61"/>
      <c r="E105" s="61"/>
      <c r="F105" s="61"/>
      <c r="G105" s="61"/>
      <c r="H105" s="61"/>
      <c r="I105" s="60"/>
      <c r="J105" s="61"/>
    </row>
    <row r="106" ht="15" customHeight="1" spans="1:10" x14ac:dyDescent="0.25">
      <c r="A106" s="65"/>
      <c r="B106" s="64"/>
      <c r="C106" s="65"/>
      <c r="D106" s="65"/>
      <c r="E106" s="65"/>
      <c r="F106" s="65"/>
      <c r="G106" s="65"/>
      <c r="H106" s="65"/>
      <c r="I106" s="64"/>
      <c r="J106" s="65"/>
    </row>
    <row r="107" ht="15" customHeight="1" spans="1:10" x14ac:dyDescent="0.25">
      <c r="A107" s="61"/>
      <c r="B107" s="60"/>
      <c r="C107" s="61"/>
      <c r="D107" s="61"/>
      <c r="E107" s="61"/>
      <c r="F107" s="61"/>
      <c r="G107" s="61"/>
      <c r="H107" s="61"/>
      <c r="I107" s="60"/>
      <c r="J107" s="61"/>
    </row>
    <row r="108" ht="15" customHeight="1" spans="1:10" x14ac:dyDescent="0.25">
      <c r="A108" s="65"/>
      <c r="B108" s="64"/>
      <c r="C108" s="65"/>
      <c r="D108" s="65"/>
      <c r="E108" s="65"/>
      <c r="F108" s="65"/>
      <c r="G108" s="65"/>
      <c r="H108" s="65"/>
      <c r="I108" s="64"/>
      <c r="J108" s="65"/>
    </row>
    <row r="109" ht="15" customHeight="1" spans="1:10" x14ac:dyDescent="0.25">
      <c r="A109" s="61"/>
      <c r="B109" s="60"/>
      <c r="C109" s="61"/>
      <c r="D109" s="61"/>
      <c r="E109" s="61"/>
      <c r="F109" s="61"/>
      <c r="G109" s="61"/>
      <c r="H109" s="61"/>
      <c r="I109" s="60"/>
      <c r="J109" s="61"/>
    </row>
    <row r="110" ht="15" customHeight="1" spans="1:10" x14ac:dyDescent="0.25">
      <c r="A110" s="65"/>
      <c r="B110" s="64"/>
      <c r="C110" s="65"/>
      <c r="D110" s="65"/>
      <c r="E110" s="65"/>
      <c r="F110" s="65"/>
      <c r="G110" s="65"/>
      <c r="H110" s="65"/>
      <c r="I110" s="64"/>
      <c r="J110" s="65"/>
    </row>
    <row r="111" ht="15" customHeight="1" spans="1:10" x14ac:dyDescent="0.25">
      <c r="A111" s="61"/>
      <c r="B111" s="60"/>
      <c r="C111" s="61"/>
      <c r="D111" s="61"/>
      <c r="E111" s="61"/>
      <c r="F111" s="61"/>
      <c r="G111" s="61"/>
      <c r="H111" s="61"/>
      <c r="I111" s="60"/>
      <c r="J111" s="61"/>
    </row>
    <row r="112" ht="15" customHeight="1" spans="1:10" x14ac:dyDescent="0.25">
      <c r="A112" s="65"/>
      <c r="B112" s="64"/>
      <c r="C112" s="65"/>
      <c r="D112" s="65"/>
      <c r="E112" s="65"/>
      <c r="F112" s="65"/>
      <c r="G112" s="65"/>
      <c r="H112" s="65"/>
      <c r="I112" s="64"/>
      <c r="J112" s="65"/>
    </row>
    <row r="113" ht="15" customHeight="1" spans="1:10" x14ac:dyDescent="0.25">
      <c r="A113" s="61"/>
      <c r="B113" s="60"/>
      <c r="C113" s="61"/>
      <c r="D113" s="61"/>
      <c r="E113" s="61"/>
      <c r="F113" s="61"/>
      <c r="G113" s="61"/>
      <c r="H113" s="61"/>
      <c r="I113" s="60"/>
      <c r="J113" s="61"/>
    </row>
    <row r="114" ht="15" customHeight="1" spans="1:10" x14ac:dyDescent="0.25">
      <c r="A114" s="65"/>
      <c r="B114" s="64"/>
      <c r="C114" s="65"/>
      <c r="D114" s="65"/>
      <c r="E114" s="65"/>
      <c r="F114" s="65"/>
      <c r="G114" s="65"/>
      <c r="H114" s="65"/>
      <c r="I114" s="64"/>
      <c r="J114" s="65"/>
    </row>
    <row r="115" ht="15" customHeight="1" spans="1:10" x14ac:dyDescent="0.25">
      <c r="A115" s="61"/>
      <c r="B115" s="60"/>
      <c r="C115" s="61"/>
      <c r="D115" s="61"/>
      <c r="E115" s="61"/>
      <c r="F115" s="61"/>
      <c r="G115" s="61"/>
      <c r="H115" s="61"/>
      <c r="I115" s="60"/>
      <c r="J115" s="61"/>
    </row>
    <row r="116" ht="15" customHeight="1" spans="1:10" x14ac:dyDescent="0.25">
      <c r="A116" s="65"/>
      <c r="B116" s="64"/>
      <c r="C116" s="65"/>
      <c r="D116" s="65"/>
      <c r="E116" s="65"/>
      <c r="F116" s="65"/>
      <c r="G116" s="65"/>
      <c r="H116" s="65"/>
      <c r="I116" s="64"/>
      <c r="J116" s="65"/>
    </row>
    <row r="117" ht="15" customHeight="1" spans="1:10" x14ac:dyDescent="0.25">
      <c r="A117" s="61"/>
      <c r="B117" s="60"/>
      <c r="C117" s="61"/>
      <c r="D117" s="61"/>
      <c r="E117" s="61"/>
      <c r="F117" s="61"/>
      <c r="G117" s="61"/>
      <c r="H117" s="61"/>
      <c r="I117" s="60"/>
      <c r="J117" s="61"/>
    </row>
    <row r="118" ht="15" customHeight="1" spans="1:10" x14ac:dyDescent="0.25">
      <c r="A118" s="65"/>
      <c r="B118" s="64"/>
      <c r="C118" s="65"/>
      <c r="D118" s="65"/>
      <c r="E118" s="65"/>
      <c r="F118" s="65"/>
      <c r="G118" s="65"/>
      <c r="H118" s="65"/>
      <c r="I118" s="64"/>
      <c r="J118" s="65"/>
    </row>
    <row r="119" ht="15" customHeight="1" spans="1:10" x14ac:dyDescent="0.25">
      <c r="A119" s="61"/>
      <c r="B119" s="60"/>
      <c r="C119" s="61"/>
      <c r="D119" s="61"/>
      <c r="E119" s="61"/>
      <c r="F119" s="61"/>
      <c r="G119" s="61"/>
      <c r="H119" s="61"/>
      <c r="I119" s="60"/>
      <c r="J119" s="61"/>
    </row>
    <row r="120" ht="15" customHeight="1" spans="1:10" x14ac:dyDescent="0.25">
      <c r="A120" s="65"/>
      <c r="B120" s="64"/>
      <c r="C120" s="65"/>
      <c r="D120" s="65"/>
      <c r="E120" s="65"/>
      <c r="F120" s="65"/>
      <c r="G120" s="65"/>
      <c r="H120" s="65"/>
      <c r="I120" s="64"/>
      <c r="J120" s="65"/>
    </row>
    <row r="121" ht="15" customHeight="1" spans="1:10" x14ac:dyDescent="0.25">
      <c r="A121" s="61"/>
      <c r="B121" s="60"/>
      <c r="C121" s="61"/>
      <c r="D121" s="61"/>
      <c r="E121" s="61"/>
      <c r="F121" s="61"/>
      <c r="G121" s="61"/>
      <c r="H121" s="61"/>
      <c r="I121" s="60"/>
      <c r="J121" s="61"/>
    </row>
    <row r="122" ht="15" customHeight="1" spans="1:10" x14ac:dyDescent="0.25">
      <c r="A122" s="65"/>
      <c r="B122" s="64"/>
      <c r="C122" s="65"/>
      <c r="D122" s="65"/>
      <c r="E122" s="65"/>
      <c r="F122" s="65"/>
      <c r="G122" s="65"/>
      <c r="H122" s="65"/>
      <c r="I122" s="64"/>
      <c r="J122" s="65"/>
    </row>
    <row r="123" ht="15" customHeight="1" spans="1:10" x14ac:dyDescent="0.25">
      <c r="A123" s="61"/>
      <c r="B123" s="60"/>
      <c r="C123" s="61"/>
      <c r="D123" s="61"/>
      <c r="E123" s="61"/>
      <c r="F123" s="61"/>
      <c r="G123" s="61"/>
      <c r="H123" s="61"/>
      <c r="I123" s="60"/>
      <c r="J123" s="61"/>
    </row>
    <row r="124" ht="15" customHeight="1" spans="1:10" x14ac:dyDescent="0.25">
      <c r="A124" s="65"/>
      <c r="B124" s="64"/>
      <c r="C124" s="65"/>
      <c r="D124" s="65"/>
      <c r="E124" s="65"/>
      <c r="F124" s="65"/>
      <c r="G124" s="65"/>
      <c r="H124" s="65"/>
      <c r="I124" s="64"/>
      <c r="J124" s="65"/>
    </row>
    <row r="125" ht="15" customHeight="1" spans="1:10" x14ac:dyDescent="0.25">
      <c r="A125" s="61"/>
      <c r="B125" s="60"/>
      <c r="C125" s="61"/>
      <c r="D125" s="61"/>
      <c r="E125" s="61"/>
      <c r="F125" s="61"/>
      <c r="G125" s="61"/>
      <c r="H125" s="61"/>
      <c r="I125" s="60"/>
      <c r="J125" s="61"/>
    </row>
    <row r="126" ht="15" customHeight="1" spans="1:10" x14ac:dyDescent="0.25">
      <c r="A126" s="65"/>
      <c r="B126" s="64"/>
      <c r="C126" s="65"/>
      <c r="D126" s="65"/>
      <c r="E126" s="65"/>
      <c r="F126" s="65"/>
      <c r="G126" s="65"/>
      <c r="H126" s="65"/>
      <c r="I126" s="64"/>
      <c r="J126" s="65"/>
    </row>
    <row r="127" ht="15" customHeight="1" spans="1:10" x14ac:dyDescent="0.25">
      <c r="A127" s="61"/>
      <c r="B127" s="60"/>
      <c r="C127" s="61"/>
      <c r="D127" s="61"/>
      <c r="E127" s="61"/>
      <c r="F127" s="61"/>
      <c r="G127" s="61"/>
      <c r="H127" s="61"/>
      <c r="I127" s="60"/>
      <c r="J127" s="61"/>
    </row>
    <row r="128" ht="15" customHeight="1" spans="1:10" x14ac:dyDescent="0.25">
      <c r="A128" s="65"/>
      <c r="B128" s="64"/>
      <c r="C128" s="65"/>
      <c r="D128" s="65"/>
      <c r="E128" s="65"/>
      <c r="F128" s="65"/>
      <c r="G128" s="65"/>
      <c r="H128" s="65"/>
      <c r="I128" s="64"/>
      <c r="J128" s="65"/>
    </row>
    <row r="129" ht="15" customHeight="1" spans="1:10" x14ac:dyDescent="0.25">
      <c r="A129" s="61"/>
      <c r="B129" s="60"/>
      <c r="C129" s="61"/>
      <c r="D129" s="61"/>
      <c r="E129" s="61"/>
      <c r="F129" s="61"/>
      <c r="G129" s="61"/>
      <c r="H129" s="61"/>
      <c r="I129" s="60"/>
      <c r="J129" s="61"/>
    </row>
    <row r="130" ht="15" customHeight="1" spans="1:10" x14ac:dyDescent="0.25">
      <c r="A130" s="65"/>
      <c r="B130" s="64"/>
      <c r="C130" s="65"/>
      <c r="D130" s="65"/>
      <c r="E130" s="65"/>
      <c r="F130" s="65"/>
      <c r="G130" s="65"/>
      <c r="H130" s="65"/>
      <c r="I130" s="64"/>
      <c r="J130" s="65"/>
    </row>
    <row r="131" ht="15" customHeight="1" spans="1:10" x14ac:dyDescent="0.25">
      <c r="A131" s="61"/>
      <c r="B131" s="60"/>
      <c r="C131" s="61"/>
      <c r="D131" s="61"/>
      <c r="E131" s="61"/>
      <c r="F131" s="61"/>
      <c r="G131" s="61"/>
      <c r="H131" s="61"/>
      <c r="I131" s="60"/>
      <c r="J131" s="61"/>
    </row>
    <row r="132" ht="15" customHeight="1" spans="1:10" x14ac:dyDescent="0.25">
      <c r="A132" s="65"/>
      <c r="B132" s="64"/>
      <c r="C132" s="65"/>
      <c r="D132" s="65"/>
      <c r="E132" s="65"/>
      <c r="F132" s="65"/>
      <c r="G132" s="65"/>
      <c r="H132" s="65"/>
      <c r="I132" s="64"/>
      <c r="J132" s="65"/>
    </row>
    <row r="133" ht="15" customHeight="1" spans="1:10" x14ac:dyDescent="0.25">
      <c r="A133" s="61"/>
      <c r="B133" s="60"/>
      <c r="C133" s="61"/>
      <c r="D133" s="61"/>
      <c r="E133" s="61"/>
      <c r="F133" s="61"/>
      <c r="G133" s="61"/>
      <c r="H133" s="61"/>
      <c r="I133" s="60"/>
      <c r="J133" s="61"/>
    </row>
    <row r="134" ht="15" customHeight="1" spans="1:10" x14ac:dyDescent="0.25">
      <c r="A134" s="65"/>
      <c r="B134" s="64"/>
      <c r="C134" s="65"/>
      <c r="D134" s="65"/>
      <c r="E134" s="65"/>
      <c r="F134" s="65"/>
      <c r="G134" s="65"/>
      <c r="H134" s="65"/>
      <c r="I134" s="64"/>
      <c r="J134" s="65"/>
    </row>
    <row r="135" ht="15" customHeight="1" spans="1:10" x14ac:dyDescent="0.25">
      <c r="A135" s="61"/>
      <c r="B135" s="60"/>
      <c r="C135" s="61"/>
      <c r="D135" s="61"/>
      <c r="E135" s="61"/>
      <c r="F135" s="61"/>
      <c r="G135" s="61"/>
      <c r="H135" s="61"/>
      <c r="I135" s="60"/>
      <c r="J135" s="61"/>
    </row>
    <row r="136" ht="15" customHeight="1" spans="1:10" x14ac:dyDescent="0.25">
      <c r="A136" s="65"/>
      <c r="B136" s="64"/>
      <c r="C136" s="65"/>
      <c r="D136" s="65"/>
      <c r="E136" s="65"/>
      <c r="F136" s="65"/>
      <c r="G136" s="65"/>
      <c r="H136" s="65"/>
      <c r="I136" s="64"/>
      <c r="J136" s="65"/>
    </row>
    <row r="137" ht="15" customHeight="1" spans="1:10" x14ac:dyDescent="0.25">
      <c r="A137" s="61"/>
      <c r="B137" s="60"/>
      <c r="C137" s="61"/>
      <c r="D137" s="61"/>
      <c r="E137" s="61"/>
      <c r="F137" s="61"/>
      <c r="G137" s="61"/>
      <c r="H137" s="61"/>
      <c r="I137" s="60"/>
      <c r="J137" s="61"/>
    </row>
    <row r="138" ht="15" customHeight="1" spans="1:10" x14ac:dyDescent="0.25">
      <c r="A138" s="65"/>
      <c r="B138" s="64"/>
      <c r="C138" s="65"/>
      <c r="D138" s="65"/>
      <c r="E138" s="65"/>
      <c r="F138" s="65"/>
      <c r="G138" s="65"/>
      <c r="H138" s="65"/>
      <c r="I138" s="64"/>
      <c r="J138" s="65"/>
    </row>
    <row r="139" ht="15" customHeight="1" spans="1:10" x14ac:dyDescent="0.25">
      <c r="A139" s="61"/>
      <c r="B139" s="60"/>
      <c r="C139" s="61"/>
      <c r="D139" s="61"/>
      <c r="E139" s="61"/>
      <c r="F139" s="61"/>
      <c r="G139" s="61"/>
      <c r="H139" s="61"/>
      <c r="I139" s="60"/>
      <c r="J139" s="61"/>
    </row>
    <row r="140" ht="15" customHeight="1" spans="1:10" x14ac:dyDescent="0.25">
      <c r="A140" s="65"/>
      <c r="B140" s="64"/>
      <c r="C140" s="65"/>
      <c r="D140" s="65"/>
      <c r="E140" s="65"/>
      <c r="F140" s="65"/>
      <c r="G140" s="65"/>
      <c r="H140" s="65"/>
      <c r="I140" s="64"/>
      <c r="J140" s="65"/>
    </row>
    <row r="141" ht="15" customHeight="1" spans="1:10" x14ac:dyDescent="0.25">
      <c r="A141" s="61"/>
      <c r="B141" s="60"/>
      <c r="C141" s="61"/>
      <c r="D141" s="61"/>
      <c r="E141" s="61"/>
      <c r="F141" s="61"/>
      <c r="G141" s="61"/>
      <c r="H141" s="61"/>
      <c r="I141" s="60"/>
      <c r="J141" s="61"/>
    </row>
    <row r="142" ht="15" customHeight="1" spans="1:10" x14ac:dyDescent="0.25">
      <c r="A142" s="65"/>
      <c r="B142" s="64"/>
      <c r="C142" s="65"/>
      <c r="D142" s="65"/>
      <c r="E142" s="65"/>
      <c r="F142" s="65"/>
      <c r="G142" s="65"/>
      <c r="H142" s="65"/>
      <c r="I142" s="64"/>
      <c r="J142" s="65"/>
    </row>
    <row r="143" ht="15" customHeight="1" spans="1:10" x14ac:dyDescent="0.25">
      <c r="A143" s="61"/>
      <c r="B143" s="60"/>
      <c r="C143" s="61"/>
      <c r="D143" s="61"/>
      <c r="E143" s="61"/>
      <c r="F143" s="61"/>
      <c r="G143" s="61"/>
      <c r="H143" s="61"/>
      <c r="I143" s="60"/>
      <c r="J143" s="61"/>
    </row>
    <row r="144" ht="15" customHeight="1" spans="1:10" x14ac:dyDescent="0.25">
      <c r="A144" s="65"/>
      <c r="B144" s="64"/>
      <c r="C144" s="65"/>
      <c r="D144" s="65"/>
      <c r="E144" s="65"/>
      <c r="F144" s="65"/>
      <c r="G144" s="65"/>
      <c r="H144" s="65"/>
      <c r="I144" s="64"/>
      <c r="J144" s="65"/>
    </row>
    <row r="145" ht="15" customHeight="1" spans="1:10" x14ac:dyDescent="0.25">
      <c r="A145" s="61"/>
      <c r="B145" s="60"/>
      <c r="C145" s="61"/>
      <c r="D145" s="61"/>
      <c r="E145" s="61"/>
      <c r="F145" s="61"/>
      <c r="G145" s="61"/>
      <c r="H145" s="61"/>
      <c r="I145" s="60"/>
      <c r="J145" s="61"/>
    </row>
    <row r="146" ht="15" customHeight="1" spans="1:10" x14ac:dyDescent="0.25">
      <c r="A146" s="65"/>
      <c r="B146" s="64"/>
      <c r="C146" s="65"/>
      <c r="D146" s="65"/>
      <c r="E146" s="65"/>
      <c r="F146" s="65"/>
      <c r="G146" s="65"/>
      <c r="H146" s="65"/>
      <c r="I146" s="64"/>
      <c r="J146" s="65"/>
    </row>
    <row r="147" ht="15" customHeight="1" spans="1:10" x14ac:dyDescent="0.25">
      <c r="A147" s="61"/>
      <c r="B147" s="60"/>
      <c r="C147" s="61"/>
      <c r="D147" s="61"/>
      <c r="E147" s="61"/>
      <c r="F147" s="61"/>
      <c r="G147" s="61"/>
      <c r="H147" s="61"/>
      <c r="I147" s="60"/>
      <c r="J147" s="61"/>
    </row>
    <row r="148" ht="15" customHeight="1" spans="1:10" x14ac:dyDescent="0.25">
      <c r="A148" s="65"/>
      <c r="B148" s="64"/>
      <c r="C148" s="65"/>
      <c r="D148" s="65"/>
      <c r="E148" s="65"/>
      <c r="F148" s="65"/>
      <c r="G148" s="65"/>
      <c r="H148" s="65"/>
      <c r="I148" s="64"/>
      <c r="J148" s="65"/>
    </row>
    <row r="149" ht="15" customHeight="1" spans="1:10" x14ac:dyDescent="0.25">
      <c r="A149" s="61"/>
      <c r="B149" s="60"/>
      <c r="C149" s="61"/>
      <c r="D149" s="61"/>
      <c r="E149" s="61"/>
      <c r="F149" s="61"/>
      <c r="G149" s="61"/>
      <c r="H149" s="61"/>
      <c r="I149" s="60"/>
      <c r="J149" s="61"/>
    </row>
    <row r="150" ht="15" customHeight="1" spans="1:10" x14ac:dyDescent="0.25">
      <c r="A150" s="65"/>
      <c r="B150" s="64"/>
      <c r="C150" s="65"/>
      <c r="D150" s="65"/>
      <c r="E150" s="65"/>
      <c r="F150" s="65"/>
      <c r="G150" s="65"/>
      <c r="H150" s="65"/>
      <c r="I150" s="64"/>
      <c r="J150" s="65"/>
    </row>
    <row r="151" ht="15" customHeight="1" spans="1:10" x14ac:dyDescent="0.25">
      <c r="A151" s="61"/>
      <c r="B151" s="60"/>
      <c r="C151" s="61"/>
      <c r="D151" s="61"/>
      <c r="E151" s="61"/>
      <c r="F151" s="61"/>
      <c r="G151" s="61"/>
      <c r="H151" s="61"/>
      <c r="I151" s="60"/>
      <c r="J151" s="61"/>
    </row>
    <row r="152" ht="15" customHeight="1" spans="1:10" x14ac:dyDescent="0.25">
      <c r="A152" s="65"/>
      <c r="B152" s="64"/>
      <c r="C152" s="65"/>
      <c r="D152" s="65"/>
      <c r="E152" s="65"/>
      <c r="F152" s="65"/>
      <c r="G152" s="65"/>
      <c r="H152" s="65"/>
      <c r="I152" s="64"/>
      <c r="J152" s="65"/>
    </row>
    <row r="153" ht="15" customHeight="1" spans="1:10" x14ac:dyDescent="0.25">
      <c r="A153" s="61"/>
      <c r="B153" s="60"/>
      <c r="C153" s="61"/>
      <c r="D153" s="61"/>
      <c r="E153" s="61"/>
      <c r="F153" s="61"/>
      <c r="G153" s="61"/>
      <c r="H153" s="61"/>
      <c r="I153" s="60"/>
      <c r="J153" s="61"/>
    </row>
    <row r="154" ht="15" customHeight="1" spans="1:10" x14ac:dyDescent="0.25">
      <c r="A154" s="65"/>
      <c r="B154" s="64"/>
      <c r="C154" s="65"/>
      <c r="D154" s="65"/>
      <c r="E154" s="65"/>
      <c r="F154" s="65"/>
      <c r="G154" s="65"/>
      <c r="H154" s="65"/>
      <c r="I154" s="64"/>
      <c r="J154" s="65"/>
    </row>
    <row r="155" ht="15" customHeight="1" spans="1:10" x14ac:dyDescent="0.25">
      <c r="A155" s="61"/>
      <c r="B155" s="60"/>
      <c r="C155" s="61"/>
      <c r="D155" s="61"/>
      <c r="E155" s="61"/>
      <c r="F155" s="61"/>
      <c r="G155" s="61"/>
      <c r="H155" s="61"/>
      <c r="I155" s="60"/>
      <c r="J155" s="61"/>
    </row>
    <row r="156" ht="15" customHeight="1" spans="1:10" x14ac:dyDescent="0.25">
      <c r="A156" s="65"/>
      <c r="B156" s="64"/>
      <c r="C156" s="65"/>
      <c r="D156" s="65"/>
      <c r="E156" s="65"/>
      <c r="F156" s="65"/>
      <c r="G156" s="65"/>
      <c r="H156" s="65"/>
      <c r="I156" s="64"/>
      <c r="J156" s="65"/>
    </row>
    <row r="157" ht="15" customHeight="1" spans="1:10" x14ac:dyDescent="0.25">
      <c r="A157" s="61"/>
      <c r="B157" s="60"/>
      <c r="C157" s="61"/>
      <c r="D157" s="61"/>
      <c r="E157" s="61"/>
      <c r="F157" s="61"/>
      <c r="G157" s="61"/>
      <c r="H157" s="61"/>
      <c r="I157" s="60"/>
      <c r="J157" s="61"/>
    </row>
    <row r="158" ht="15" customHeight="1" spans="1:10" x14ac:dyDescent="0.25">
      <c r="A158" s="65"/>
      <c r="B158" s="64"/>
      <c r="C158" s="65"/>
      <c r="D158" s="65"/>
      <c r="E158" s="65"/>
      <c r="F158" s="65"/>
      <c r="G158" s="65"/>
      <c r="H158" s="65"/>
      <c r="I158" s="64"/>
      <c r="J158" s="65"/>
    </row>
    <row r="159" ht="15" customHeight="1" spans="1:10" x14ac:dyDescent="0.25">
      <c r="A159" s="61"/>
      <c r="B159" s="60"/>
      <c r="C159" s="61"/>
      <c r="D159" s="61"/>
      <c r="E159" s="61"/>
      <c r="F159" s="61"/>
      <c r="G159" s="61"/>
      <c r="H159" s="61"/>
      <c r="I159" s="60"/>
      <c r="J159" s="61"/>
    </row>
    <row r="160" ht="15" customHeight="1" spans="1:10" x14ac:dyDescent="0.25">
      <c r="A160" s="65"/>
      <c r="B160" s="64"/>
      <c r="C160" s="65"/>
      <c r="D160" s="65"/>
      <c r="E160" s="65"/>
      <c r="F160" s="65"/>
      <c r="G160" s="65"/>
      <c r="H160" s="65"/>
      <c r="I160" s="64"/>
      <c r="J160" s="65"/>
    </row>
    <row r="161" ht="15" customHeight="1" spans="1:10" x14ac:dyDescent="0.25">
      <c r="A161" s="61"/>
      <c r="B161" s="60"/>
      <c r="C161" s="61"/>
      <c r="D161" s="61"/>
      <c r="E161" s="61"/>
      <c r="F161" s="61"/>
      <c r="G161" s="61"/>
      <c r="H161" s="61"/>
      <c r="I161" s="60"/>
      <c r="J161" s="61"/>
    </row>
    <row r="162" ht="15" customHeight="1" spans="1:10" x14ac:dyDescent="0.25">
      <c r="A162" s="65"/>
      <c r="B162" s="64"/>
      <c r="C162" s="65"/>
      <c r="D162" s="65"/>
      <c r="E162" s="65"/>
      <c r="F162" s="65"/>
      <c r="G162" s="65"/>
      <c r="H162" s="65"/>
      <c r="I162" s="64"/>
      <c r="J162" s="65"/>
    </row>
    <row r="163" ht="15" customHeight="1" spans="1:10" x14ac:dyDescent="0.25">
      <c r="A163" s="61"/>
      <c r="B163" s="60"/>
      <c r="C163" s="61"/>
      <c r="D163" s="61"/>
      <c r="E163" s="61"/>
      <c r="F163" s="61"/>
      <c r="G163" s="61"/>
      <c r="H163" s="61"/>
      <c r="I163" s="60"/>
      <c r="J163" s="61"/>
    </row>
    <row r="164" ht="15" customHeight="1" spans="1:10" x14ac:dyDescent="0.25">
      <c r="A164" s="65"/>
      <c r="B164" s="64"/>
      <c r="C164" s="65"/>
      <c r="D164" s="65"/>
      <c r="E164" s="65"/>
      <c r="F164" s="65"/>
      <c r="G164" s="65"/>
      <c r="H164" s="65"/>
      <c r="I164" s="64"/>
      <c r="J164" s="65"/>
    </row>
    <row r="165" ht="15" customHeight="1" spans="1:10" x14ac:dyDescent="0.25">
      <c r="A165" s="61"/>
      <c r="B165" s="60"/>
      <c r="C165" s="61"/>
      <c r="D165" s="61"/>
      <c r="E165" s="61"/>
      <c r="F165" s="61"/>
      <c r="G165" s="61"/>
      <c r="H165" s="61"/>
      <c r="I165" s="60"/>
      <c r="J165" s="61"/>
    </row>
    <row r="166" ht="15" customHeight="1" spans="1:10" x14ac:dyDescent="0.25">
      <c r="A166" s="65"/>
      <c r="B166" s="64"/>
      <c r="C166" s="65"/>
      <c r="D166" s="65"/>
      <c r="E166" s="65"/>
      <c r="F166" s="65"/>
      <c r="G166" s="65"/>
      <c r="H166" s="65"/>
      <c r="I166" s="64"/>
      <c r="J166" s="65"/>
    </row>
    <row r="167" ht="15" customHeight="1" spans="1:10" x14ac:dyDescent="0.25">
      <c r="A167" s="61"/>
      <c r="B167" s="60"/>
      <c r="C167" s="61"/>
      <c r="D167" s="61"/>
      <c r="E167" s="61"/>
      <c r="F167" s="61"/>
      <c r="G167" s="61"/>
      <c r="H167" s="61"/>
      <c r="I167" s="60"/>
      <c r="J167" s="61"/>
    </row>
    <row r="168" ht="15" customHeight="1" spans="1:10" x14ac:dyDescent="0.25">
      <c r="A168" s="65"/>
      <c r="B168" s="64"/>
      <c r="C168" s="65"/>
      <c r="D168" s="65"/>
      <c r="E168" s="65"/>
      <c r="F168" s="65"/>
      <c r="G168" s="65"/>
      <c r="H168" s="65"/>
      <c r="I168" s="64"/>
      <c r="J168" s="65"/>
    </row>
    <row r="169" ht="15" customHeight="1" spans="1:10" x14ac:dyDescent="0.25">
      <c r="A169" s="61"/>
      <c r="B169" s="60"/>
      <c r="C169" s="61"/>
      <c r="D169" s="61"/>
      <c r="E169" s="61"/>
      <c r="F169" s="61"/>
      <c r="G169" s="61"/>
      <c r="H169" s="61"/>
      <c r="I169" s="60"/>
      <c r="J169" s="61"/>
    </row>
    <row r="170" ht="15" customHeight="1" spans="1:10" x14ac:dyDescent="0.25">
      <c r="A170" s="65"/>
      <c r="B170" s="64"/>
      <c r="C170" s="65"/>
      <c r="D170" s="65"/>
      <c r="E170" s="65"/>
      <c r="F170" s="65"/>
      <c r="G170" s="65"/>
      <c r="H170" s="65"/>
      <c r="I170" s="64"/>
      <c r="J170" s="65"/>
    </row>
    <row r="171" ht="15" customHeight="1" spans="1:10" x14ac:dyDescent="0.25">
      <c r="A171" s="61"/>
      <c r="B171" s="60"/>
      <c r="C171" s="61"/>
      <c r="D171" s="61"/>
      <c r="E171" s="61"/>
      <c r="F171" s="61"/>
      <c r="G171" s="61"/>
      <c r="H171" s="61"/>
      <c r="I171" s="60"/>
      <c r="J171" s="61"/>
    </row>
    <row r="172" ht="15" customHeight="1" spans="1:10" x14ac:dyDescent="0.25">
      <c r="A172" s="65"/>
      <c r="B172" s="64"/>
      <c r="C172" s="65"/>
      <c r="D172" s="65"/>
      <c r="E172" s="65"/>
      <c r="F172" s="65"/>
      <c r="G172" s="65"/>
      <c r="H172" s="65"/>
      <c r="I172" s="64"/>
      <c r="J172" s="65"/>
    </row>
    <row r="173" ht="15" customHeight="1" spans="1:10" x14ac:dyDescent="0.25">
      <c r="A173" s="61"/>
      <c r="B173" s="60"/>
      <c r="C173" s="61"/>
      <c r="D173" s="61"/>
      <c r="E173" s="61"/>
      <c r="F173" s="61"/>
      <c r="G173" s="61"/>
      <c r="H173" s="61"/>
      <c r="I173" s="60"/>
      <c r="J173" s="61"/>
    </row>
    <row r="174" ht="15" customHeight="1" spans="1:10" x14ac:dyDescent="0.25">
      <c r="A174" s="65"/>
      <c r="B174" s="64"/>
      <c r="C174" s="65"/>
      <c r="D174" s="65"/>
      <c r="E174" s="65"/>
      <c r="F174" s="65"/>
      <c r="G174" s="65"/>
      <c r="H174" s="65"/>
      <c r="I174" s="64"/>
      <c r="J174" s="65"/>
    </row>
    <row r="175" ht="15" customHeight="1" spans="1:10" x14ac:dyDescent="0.25">
      <c r="A175" s="61"/>
      <c r="B175" s="60"/>
      <c r="C175" s="61"/>
      <c r="D175" s="61"/>
      <c r="E175" s="61"/>
      <c r="F175" s="61"/>
      <c r="G175" s="61"/>
      <c r="H175" s="61"/>
      <c r="I175" s="60"/>
      <c r="J175" s="61"/>
    </row>
    <row r="176" ht="15" customHeight="1" spans="1:10" x14ac:dyDescent="0.25">
      <c r="A176" s="65"/>
      <c r="B176" s="64"/>
      <c r="C176" s="65"/>
      <c r="D176" s="65"/>
      <c r="E176" s="65"/>
      <c r="F176" s="65"/>
      <c r="G176" s="65"/>
      <c r="H176" s="65"/>
      <c r="I176" s="64"/>
      <c r="J176" s="65"/>
    </row>
    <row r="177" ht="15" customHeight="1" spans="1:10" x14ac:dyDescent="0.25">
      <c r="A177" s="61"/>
      <c r="B177" s="60"/>
      <c r="C177" s="61"/>
      <c r="D177" s="61"/>
      <c r="E177" s="61"/>
      <c r="F177" s="61"/>
      <c r="G177" s="61"/>
      <c r="H177" s="61"/>
      <c r="I177" s="60"/>
      <c r="J177" s="61"/>
    </row>
    <row r="178" ht="15" customHeight="1" spans="1:10" x14ac:dyDescent="0.25">
      <c r="A178" s="65"/>
      <c r="B178" s="64"/>
      <c r="C178" s="65"/>
      <c r="D178" s="65"/>
      <c r="E178" s="65"/>
      <c r="F178" s="65"/>
      <c r="G178" s="65"/>
      <c r="H178" s="65"/>
      <c r="I178" s="64"/>
      <c r="J178" s="65"/>
    </row>
    <row r="179" ht="15" customHeight="1" spans="1:10" x14ac:dyDescent="0.25">
      <c r="A179" s="61"/>
      <c r="B179" s="60"/>
      <c r="C179" s="61"/>
      <c r="D179" s="61"/>
      <c r="E179" s="61"/>
      <c r="F179" s="61"/>
      <c r="G179" s="61"/>
      <c r="H179" s="61"/>
      <c r="I179" s="60"/>
      <c r="J179" s="61"/>
    </row>
    <row r="180" ht="15" customHeight="1" spans="1:10" x14ac:dyDescent="0.25">
      <c r="A180" s="65"/>
      <c r="B180" s="64"/>
      <c r="C180" s="65"/>
      <c r="D180" s="65"/>
      <c r="E180" s="65"/>
      <c r="F180" s="65"/>
      <c r="G180" s="65"/>
      <c r="H180" s="65"/>
      <c r="I180" s="64"/>
      <c r="J180" s="65"/>
    </row>
    <row r="181" ht="15" customHeight="1" spans="1:10" x14ac:dyDescent="0.25">
      <c r="A181" s="61"/>
      <c r="B181" s="60"/>
      <c r="C181" s="61"/>
      <c r="D181" s="61"/>
      <c r="E181" s="61"/>
      <c r="F181" s="61"/>
      <c r="G181" s="61"/>
      <c r="H181" s="61"/>
      <c r="I181" s="60"/>
      <c r="J181" s="61"/>
    </row>
    <row r="182" ht="15" customHeight="1" spans="1:10" x14ac:dyDescent="0.25">
      <c r="A182" s="65"/>
      <c r="B182" s="64"/>
      <c r="C182" s="65"/>
      <c r="D182" s="65"/>
      <c r="E182" s="65"/>
      <c r="F182" s="65"/>
      <c r="G182" s="65"/>
      <c r="H182" s="65"/>
      <c r="I182" s="64"/>
      <c r="J182" s="65"/>
    </row>
    <row r="183" ht="15" customHeight="1" spans="1:10" x14ac:dyDescent="0.25">
      <c r="A183" s="61"/>
      <c r="B183" s="60"/>
      <c r="C183" s="61"/>
      <c r="D183" s="61"/>
      <c r="E183" s="61"/>
      <c r="F183" s="61"/>
      <c r="G183" s="61"/>
      <c r="H183" s="61"/>
      <c r="I183" s="60"/>
      <c r="J183" s="61"/>
    </row>
    <row r="184" ht="15" customHeight="1" spans="1:10" x14ac:dyDescent="0.25">
      <c r="A184" s="65"/>
      <c r="B184" s="64"/>
      <c r="C184" s="65"/>
      <c r="D184" s="65"/>
      <c r="E184" s="65"/>
      <c r="F184" s="65"/>
      <c r="G184" s="65"/>
      <c r="H184" s="65"/>
      <c r="I184" s="64"/>
      <c r="J184" s="65"/>
    </row>
    <row r="185" ht="15" customHeight="1" spans="1:10" x14ac:dyDescent="0.25">
      <c r="A185" s="61"/>
      <c r="B185" s="60"/>
      <c r="C185" s="61"/>
      <c r="D185" s="61"/>
      <c r="E185" s="61"/>
      <c r="F185" s="61"/>
      <c r="G185" s="61"/>
      <c r="H185" s="61"/>
      <c r="I185" s="60"/>
      <c r="J185" s="61"/>
    </row>
    <row r="186" ht="15" customHeight="1" spans="1:10" x14ac:dyDescent="0.25">
      <c r="A186" s="65"/>
      <c r="B186" s="64"/>
      <c r="C186" s="65"/>
      <c r="D186" s="65"/>
      <c r="E186" s="65"/>
      <c r="F186" s="65"/>
      <c r="G186" s="65"/>
      <c r="H186" s="65"/>
      <c r="I186" s="64"/>
      <c r="J186" s="65"/>
    </row>
    <row r="187" ht="15" customHeight="1" spans="1:10" x14ac:dyDescent="0.25">
      <c r="A187" s="61"/>
      <c r="B187" s="60"/>
      <c r="C187" s="61"/>
      <c r="D187" s="61"/>
      <c r="E187" s="61"/>
      <c r="F187" s="61"/>
      <c r="G187" s="61"/>
      <c r="H187" s="61"/>
      <c r="I187" s="60"/>
      <c r="J187" s="61"/>
    </row>
    <row r="188" ht="15" customHeight="1" spans="1:10" x14ac:dyDescent="0.25">
      <c r="A188" s="65"/>
      <c r="B188" s="64"/>
      <c r="C188" s="65"/>
      <c r="D188" s="65"/>
      <c r="E188" s="65"/>
      <c r="F188" s="65"/>
      <c r="G188" s="65"/>
      <c r="H188" s="65"/>
      <c r="I188" s="64"/>
      <c r="J188" s="65"/>
    </row>
    <row r="189" ht="15" customHeight="1" spans="1:10" x14ac:dyDescent="0.25">
      <c r="A189" s="61"/>
      <c r="B189" s="60"/>
      <c r="C189" s="61"/>
      <c r="D189" s="61"/>
      <c r="E189" s="61"/>
      <c r="F189" s="61"/>
      <c r="G189" s="61"/>
      <c r="H189" s="61"/>
      <c r="I189" s="60"/>
      <c r="J189" s="61"/>
    </row>
    <row r="190" ht="15" customHeight="1" spans="1:10" x14ac:dyDescent="0.25">
      <c r="A190" s="65"/>
      <c r="B190" s="64"/>
      <c r="C190" s="65"/>
      <c r="D190" s="65"/>
      <c r="E190" s="65"/>
      <c r="F190" s="65"/>
      <c r="G190" s="65"/>
      <c r="H190" s="65"/>
      <c r="I190" s="64"/>
      <c r="J190" s="65"/>
    </row>
    <row r="191" ht="15" customHeight="1" spans="1:10" x14ac:dyDescent="0.25">
      <c r="A191" s="61"/>
      <c r="B191" s="60"/>
      <c r="C191" s="61"/>
      <c r="D191" s="61"/>
      <c r="E191" s="61"/>
      <c r="F191" s="61"/>
      <c r="G191" s="61"/>
      <c r="H191" s="61"/>
      <c r="I191" s="60"/>
      <c r="J191" s="61"/>
    </row>
    <row r="192" ht="15" customHeight="1" spans="1:10" x14ac:dyDescent="0.25">
      <c r="A192" s="65"/>
      <c r="B192" s="64"/>
      <c r="C192" s="65"/>
      <c r="D192" s="65"/>
      <c r="E192" s="65"/>
      <c r="F192" s="65"/>
      <c r="G192" s="65"/>
      <c r="H192" s="65"/>
      <c r="I192" s="64"/>
      <c r="J192" s="65"/>
    </row>
    <row r="193" ht="15" customHeight="1" spans="1:10" x14ac:dyDescent="0.25">
      <c r="A193" s="61"/>
      <c r="B193" s="60"/>
      <c r="C193" s="61"/>
      <c r="D193" s="61"/>
      <c r="E193" s="61"/>
      <c r="F193" s="61"/>
      <c r="G193" s="61"/>
      <c r="H193" s="61"/>
      <c r="I193" s="60"/>
      <c r="J193" s="61"/>
    </row>
    <row r="194" ht="15" customHeight="1" spans="1:10" x14ac:dyDescent="0.25">
      <c r="A194" s="65"/>
      <c r="B194" s="64"/>
      <c r="C194" s="65"/>
      <c r="D194" s="65"/>
      <c r="E194" s="65"/>
      <c r="F194" s="65"/>
      <c r="G194" s="65"/>
      <c r="H194" s="65"/>
      <c r="I194" s="64"/>
      <c r="J194" s="65"/>
    </row>
    <row r="195" ht="15" customHeight="1" spans="1:10" x14ac:dyDescent="0.25">
      <c r="A195" s="61"/>
      <c r="B195" s="60"/>
      <c r="C195" s="61"/>
      <c r="D195" s="61"/>
      <c r="E195" s="61"/>
      <c r="F195" s="61"/>
      <c r="G195" s="61"/>
      <c r="H195" s="61"/>
      <c r="I195" s="60"/>
      <c r="J195" s="61"/>
    </row>
    <row r="196" ht="15" customHeight="1" spans="1:10" x14ac:dyDescent="0.25">
      <c r="A196" s="65"/>
      <c r="B196" s="64"/>
      <c r="C196" s="65"/>
      <c r="D196" s="65"/>
      <c r="E196" s="65"/>
      <c r="F196" s="65"/>
      <c r="G196" s="65"/>
      <c r="H196" s="65"/>
      <c r="I196" s="64"/>
      <c r="J196" s="65"/>
    </row>
    <row r="197" ht="15" customHeight="1" spans="1:10" x14ac:dyDescent="0.25">
      <c r="A197" s="61"/>
      <c r="B197" s="60"/>
      <c r="C197" s="61"/>
      <c r="D197" s="61"/>
      <c r="E197" s="61"/>
      <c r="F197" s="61"/>
      <c r="G197" s="61"/>
      <c r="H197" s="61"/>
      <c r="I197" s="60"/>
      <c r="J197" s="61"/>
    </row>
    <row r="198" ht="15" customHeight="1" spans="1:10" x14ac:dyDescent="0.25">
      <c r="A198" s="65"/>
      <c r="B198" s="64"/>
      <c r="C198" s="65"/>
      <c r="D198" s="65"/>
      <c r="E198" s="65"/>
      <c r="F198" s="65"/>
      <c r="G198" s="65"/>
      <c r="H198" s="65"/>
      <c r="I198" s="64"/>
      <c r="J198" s="65"/>
    </row>
    <row r="199" ht="15" customHeight="1" spans="1:10" x14ac:dyDescent="0.25">
      <c r="A199" s="61"/>
      <c r="B199" s="60"/>
      <c r="C199" s="61"/>
      <c r="D199" s="61"/>
      <c r="E199" s="61"/>
      <c r="F199" s="61"/>
      <c r="G199" s="61"/>
      <c r="H199" s="61"/>
      <c r="I199" s="60"/>
      <c r="J199" s="61"/>
    </row>
    <row r="200" ht="15" customHeight="1" spans="1:10" x14ac:dyDescent="0.25">
      <c r="A200" s="65"/>
      <c r="B200" s="64"/>
      <c r="C200" s="65"/>
      <c r="D200" s="65"/>
      <c r="E200" s="65"/>
      <c r="F200" s="65"/>
      <c r="G200" s="65"/>
      <c r="H200" s="65"/>
      <c r="I200" s="64"/>
      <c r="J200" s="65"/>
    </row>
    <row r="201" ht="15" customHeight="1" spans="1:10" x14ac:dyDescent="0.25">
      <c r="A201" s="61"/>
      <c r="B201" s="60"/>
      <c r="C201" s="61"/>
      <c r="D201" s="61"/>
      <c r="E201" s="61"/>
      <c r="F201" s="61"/>
      <c r="G201" s="61"/>
      <c r="H201" s="61"/>
      <c r="I201" s="60"/>
      <c r="J201" s="61"/>
    </row>
    <row r="202" ht="15" customHeight="1" spans="1:10" x14ac:dyDescent="0.25">
      <c r="A202" s="65"/>
      <c r="B202" s="64"/>
      <c r="C202" s="65"/>
      <c r="D202" s="65"/>
      <c r="E202" s="65"/>
      <c r="F202" s="65"/>
      <c r="G202" s="65"/>
      <c r="H202" s="65"/>
      <c r="I202" s="64"/>
      <c r="J202" s="65"/>
    </row>
    <row r="203" ht="15" customHeight="1" spans="1:10" x14ac:dyDescent="0.25">
      <c r="A203" s="61"/>
      <c r="B203" s="60"/>
      <c r="C203" s="61"/>
      <c r="D203" s="61"/>
      <c r="E203" s="61"/>
      <c r="F203" s="61"/>
      <c r="G203" s="61"/>
      <c r="H203" s="61"/>
      <c r="I203" s="60"/>
      <c r="J203" s="61"/>
    </row>
    <row r="204" ht="15" customHeight="1" spans="1:10" x14ac:dyDescent="0.25">
      <c r="A204" s="65"/>
      <c r="B204" s="64"/>
      <c r="C204" s="65"/>
      <c r="D204" s="65"/>
      <c r="E204" s="65"/>
      <c r="F204" s="65"/>
      <c r="G204" s="65"/>
      <c r="H204" s="65"/>
      <c r="I204" s="64"/>
      <c r="J204" s="65"/>
    </row>
    <row r="205" ht="15" customHeight="1" spans="1:10" x14ac:dyDescent="0.25">
      <c r="A205" s="61"/>
      <c r="B205" s="60"/>
      <c r="C205" s="61"/>
      <c r="D205" s="61"/>
      <c r="E205" s="61"/>
      <c r="F205" s="61"/>
      <c r="G205" s="61"/>
      <c r="H205" s="61"/>
      <c r="I205" s="60"/>
      <c r="J205" s="61"/>
    </row>
    <row r="206" ht="15" customHeight="1" spans="1:10" x14ac:dyDescent="0.25">
      <c r="A206" s="65"/>
      <c r="B206" s="64"/>
      <c r="C206" s="65"/>
      <c r="D206" s="65"/>
      <c r="E206" s="65"/>
      <c r="F206" s="65"/>
      <c r="G206" s="65"/>
      <c r="H206" s="65"/>
      <c r="I206" s="64"/>
      <c r="J206" s="65"/>
    </row>
    <row r="207" ht="15" customHeight="1" spans="1:10" x14ac:dyDescent="0.25">
      <c r="A207" s="61"/>
      <c r="B207" s="60"/>
      <c r="C207" s="61"/>
      <c r="D207" s="61"/>
      <c r="E207" s="61"/>
      <c r="F207" s="61"/>
      <c r="G207" s="61"/>
      <c r="H207" s="61"/>
      <c r="I207" s="60"/>
      <c r="J207" s="61"/>
    </row>
    <row r="208" ht="15" customHeight="1" spans="1:10" x14ac:dyDescent="0.25">
      <c r="A208" s="65"/>
      <c r="B208" s="64"/>
      <c r="C208" s="65"/>
      <c r="D208" s="65"/>
      <c r="E208" s="65"/>
      <c r="F208" s="65"/>
      <c r="G208" s="65"/>
      <c r="H208" s="65"/>
      <c r="I208" s="64"/>
      <c r="J208" s="65"/>
    </row>
    <row r="209" ht="15" customHeight="1" spans="1:10" x14ac:dyDescent="0.25">
      <c r="A209" s="61"/>
      <c r="B209" s="60"/>
      <c r="C209" s="61"/>
      <c r="D209" s="61"/>
      <c r="E209" s="61"/>
      <c r="F209" s="61"/>
      <c r="G209" s="61"/>
      <c r="H209" s="61"/>
      <c r="I209" s="60"/>
      <c r="J209" s="61"/>
    </row>
    <row r="210" ht="15" customHeight="1" spans="1:10" x14ac:dyDescent="0.25">
      <c r="A210" s="65"/>
      <c r="B210" s="64"/>
      <c r="C210" s="65"/>
      <c r="D210" s="65"/>
      <c r="E210" s="65"/>
      <c r="F210" s="65"/>
      <c r="G210" s="65"/>
      <c r="H210" s="65"/>
      <c r="I210" s="64"/>
      <c r="J210" s="65"/>
    </row>
    <row r="211" ht="15" customHeight="1" spans="1:10" x14ac:dyDescent="0.25">
      <c r="A211" s="61"/>
      <c r="B211" s="60"/>
      <c r="C211" s="61"/>
      <c r="D211" s="61"/>
      <c r="E211" s="61"/>
      <c r="F211" s="61"/>
      <c r="G211" s="61"/>
      <c r="H211" s="61"/>
      <c r="I211" s="60"/>
      <c r="J211" s="61"/>
    </row>
    <row r="212" ht="15" customHeight="1" spans="1:10" x14ac:dyDescent="0.25">
      <c r="A212" s="65"/>
      <c r="B212" s="64"/>
      <c r="C212" s="65"/>
      <c r="D212" s="65"/>
      <c r="E212" s="65"/>
      <c r="F212" s="65"/>
      <c r="G212" s="65"/>
      <c r="H212" s="65"/>
      <c r="I212" s="64"/>
      <c r="J212" s="65"/>
    </row>
    <row r="213" ht="15" customHeight="1" spans="1:10" x14ac:dyDescent="0.25">
      <c r="A213" s="61"/>
      <c r="B213" s="60"/>
      <c r="C213" s="61"/>
      <c r="D213" s="61"/>
      <c r="E213" s="61"/>
      <c r="F213" s="61"/>
      <c r="G213" s="61"/>
      <c r="H213" s="61"/>
      <c r="I213" s="60"/>
      <c r="J213" s="61"/>
    </row>
    <row r="214" ht="15" customHeight="1" spans="1:10" x14ac:dyDescent="0.25">
      <c r="A214" s="65"/>
      <c r="B214" s="64"/>
      <c r="C214" s="65"/>
      <c r="D214" s="65"/>
      <c r="E214" s="65"/>
      <c r="F214" s="65"/>
      <c r="G214" s="65"/>
      <c r="H214" s="65"/>
      <c r="I214" s="64"/>
      <c r="J214" s="65"/>
    </row>
    <row r="215" ht="15" customHeight="1" spans="1:10" x14ac:dyDescent="0.25">
      <c r="A215" s="61"/>
      <c r="B215" s="60"/>
      <c r="C215" s="61"/>
      <c r="D215" s="61"/>
      <c r="E215" s="61"/>
      <c r="F215" s="61"/>
      <c r="G215" s="61"/>
      <c r="H215" s="61"/>
      <c r="I215" s="60"/>
      <c r="J215" s="61"/>
    </row>
    <row r="216" ht="15" customHeight="1" spans="1:10" x14ac:dyDescent="0.25">
      <c r="A216" s="65"/>
      <c r="B216" s="64"/>
      <c r="C216" s="65"/>
      <c r="D216" s="65"/>
      <c r="E216" s="65"/>
      <c r="F216" s="65"/>
      <c r="G216" s="65"/>
      <c r="H216" s="65"/>
      <c r="I216" s="64"/>
      <c r="J216" s="65"/>
    </row>
    <row r="217" ht="15" customHeight="1" spans="1:10" x14ac:dyDescent="0.25">
      <c r="A217" s="61"/>
      <c r="B217" s="60"/>
      <c r="C217" s="61"/>
      <c r="D217" s="61"/>
      <c r="E217" s="61"/>
      <c r="F217" s="61"/>
      <c r="G217" s="61"/>
      <c r="H217" s="61"/>
      <c r="I217" s="60"/>
      <c r="J217" s="61"/>
    </row>
    <row r="218" ht="15" customHeight="1" spans="1:10" x14ac:dyDescent="0.25">
      <c r="A218" s="65"/>
      <c r="B218" s="64"/>
      <c r="C218" s="65"/>
      <c r="D218" s="65"/>
      <c r="E218" s="65"/>
      <c r="F218" s="65"/>
      <c r="G218" s="65"/>
      <c r="H218" s="65"/>
      <c r="I218" s="64"/>
      <c r="J218" s="65"/>
    </row>
    <row r="219" ht="15" customHeight="1" spans="1:10" x14ac:dyDescent="0.25">
      <c r="A219" s="61"/>
      <c r="B219" s="60"/>
      <c r="C219" s="61"/>
      <c r="D219" s="61"/>
      <c r="E219" s="61"/>
      <c r="F219" s="61"/>
      <c r="G219" s="61"/>
      <c r="H219" s="61"/>
      <c r="I219" s="60"/>
      <c r="J219" s="61"/>
    </row>
    <row r="220" ht="15" customHeight="1" spans="1:10" x14ac:dyDescent="0.25">
      <c r="A220" s="65"/>
      <c r="B220" s="64"/>
      <c r="C220" s="65"/>
      <c r="D220" s="65"/>
      <c r="E220" s="65"/>
      <c r="F220" s="65"/>
      <c r="G220" s="65"/>
      <c r="H220" s="65"/>
      <c r="I220" s="64"/>
      <c r="J220" s="65"/>
    </row>
    <row r="221" ht="15" customHeight="1" spans="1:10" x14ac:dyDescent="0.25">
      <c r="A221" s="61"/>
      <c r="B221" s="60"/>
      <c r="C221" s="61"/>
      <c r="D221" s="61"/>
      <c r="E221" s="61"/>
      <c r="F221" s="61"/>
      <c r="G221" s="61"/>
      <c r="H221" s="61"/>
      <c r="I221" s="60"/>
      <c r="J221" s="61"/>
    </row>
    <row r="222" ht="15" customHeight="1" spans="1:10" x14ac:dyDescent="0.25">
      <c r="A222" s="65"/>
      <c r="B222" s="64"/>
      <c r="C222" s="65"/>
      <c r="D222" s="65"/>
      <c r="E222" s="65"/>
      <c r="F222" s="65"/>
      <c r="G222" s="65"/>
      <c r="H222" s="65"/>
      <c r="I222" s="64"/>
      <c r="J222" s="65"/>
    </row>
    <row r="223" ht="15" customHeight="1" spans="1:10" x14ac:dyDescent="0.25">
      <c r="A223" s="61"/>
      <c r="B223" s="60"/>
      <c r="C223" s="61"/>
      <c r="D223" s="61"/>
      <c r="E223" s="61"/>
      <c r="F223" s="61"/>
      <c r="G223" s="61"/>
      <c r="H223" s="61"/>
      <c r="I223" s="60"/>
      <c r="J223" s="61"/>
    </row>
    <row r="224" ht="15" customHeight="1" spans="1:10" x14ac:dyDescent="0.25">
      <c r="A224" s="65"/>
      <c r="B224" s="64"/>
      <c r="C224" s="65"/>
      <c r="D224" s="65"/>
      <c r="E224" s="65"/>
      <c r="F224" s="65"/>
      <c r="G224" s="65"/>
      <c r="H224" s="65"/>
      <c r="I224" s="64"/>
      <c r="J224" s="65"/>
    </row>
    <row r="225" ht="15" customHeight="1" spans="1:10" x14ac:dyDescent="0.25">
      <c r="A225" s="61"/>
      <c r="B225" s="60"/>
      <c r="C225" s="61"/>
      <c r="D225" s="61"/>
      <c r="E225" s="61"/>
      <c r="F225" s="61"/>
      <c r="G225" s="61"/>
      <c r="H225" s="61"/>
      <c r="I225" s="60"/>
      <c r="J225" s="61"/>
    </row>
    <row r="226" ht="15" customHeight="1" spans="1:10" x14ac:dyDescent="0.25">
      <c r="A226" s="65"/>
      <c r="B226" s="64"/>
      <c r="C226" s="65"/>
      <c r="D226" s="65"/>
      <c r="E226" s="65"/>
      <c r="F226" s="65"/>
      <c r="G226" s="65"/>
      <c r="H226" s="65"/>
      <c r="I226" s="64"/>
      <c r="J226" s="65"/>
    </row>
    <row r="227" ht="15" customHeight="1" spans="1:10" x14ac:dyDescent="0.25">
      <c r="A227" s="61"/>
      <c r="B227" s="60"/>
      <c r="C227" s="61"/>
      <c r="D227" s="61"/>
      <c r="E227" s="61"/>
      <c r="F227" s="61"/>
      <c r="G227" s="61"/>
      <c r="H227" s="61"/>
      <c r="I227" s="60"/>
      <c r="J227" s="61"/>
    </row>
    <row r="228" ht="15" customHeight="1" spans="1:10" x14ac:dyDescent="0.25">
      <c r="A228" s="65"/>
      <c r="B228" s="64"/>
      <c r="C228" s="65"/>
      <c r="D228" s="65"/>
      <c r="E228" s="65"/>
      <c r="F228" s="65"/>
      <c r="G228" s="65"/>
      <c r="H228" s="65"/>
      <c r="I228" s="64"/>
      <c r="J228" s="65"/>
    </row>
    <row r="229" ht="15" customHeight="1" spans="1:10" x14ac:dyDescent="0.25">
      <c r="A229" s="61"/>
      <c r="B229" s="60"/>
      <c r="C229" s="61"/>
      <c r="D229" s="61"/>
      <c r="E229" s="61"/>
      <c r="F229" s="61"/>
      <c r="G229" s="61"/>
      <c r="H229" s="61"/>
      <c r="I229" s="60"/>
      <c r="J229" s="61"/>
    </row>
    <row r="230" ht="15" customHeight="1" spans="1:10" x14ac:dyDescent="0.25">
      <c r="A230" s="65"/>
      <c r="B230" s="64"/>
      <c r="C230" s="65"/>
      <c r="D230" s="65"/>
      <c r="E230" s="65"/>
      <c r="F230" s="65"/>
      <c r="G230" s="65"/>
      <c r="H230" s="65"/>
      <c r="I230" s="64"/>
      <c r="J230" s="65"/>
    </row>
    <row r="231" ht="15" customHeight="1" spans="1:10" x14ac:dyDescent="0.25">
      <c r="A231" s="61"/>
      <c r="B231" s="60"/>
      <c r="C231" s="61"/>
      <c r="D231" s="61"/>
      <c r="E231" s="61"/>
      <c r="F231" s="61"/>
      <c r="G231" s="61"/>
      <c r="H231" s="61"/>
      <c r="I231" s="60"/>
      <c r="J231" s="61"/>
    </row>
    <row r="232" ht="15" customHeight="1" spans="1:10" x14ac:dyDescent="0.25">
      <c r="A232" s="65"/>
      <c r="B232" s="64"/>
      <c r="C232" s="65"/>
      <c r="D232" s="65"/>
      <c r="E232" s="65"/>
      <c r="F232" s="65"/>
      <c r="G232" s="65"/>
      <c r="H232" s="65"/>
      <c r="I232" s="64"/>
      <c r="J232" s="65"/>
    </row>
    <row r="233" ht="15" customHeight="1" spans="1:10" x14ac:dyDescent="0.25">
      <c r="A233" s="61"/>
      <c r="B233" s="60"/>
      <c r="C233" s="61"/>
      <c r="D233" s="61"/>
      <c r="E233" s="61"/>
      <c r="F233" s="61"/>
      <c r="G233" s="61"/>
      <c r="H233" s="61"/>
      <c r="I233" s="60"/>
      <c r="J233" s="61"/>
    </row>
    <row r="234" ht="15" customHeight="1" spans="1:10" x14ac:dyDescent="0.25">
      <c r="A234" s="65"/>
      <c r="B234" s="64"/>
      <c r="C234" s="65"/>
      <c r="D234" s="65"/>
      <c r="E234" s="65"/>
      <c r="F234" s="65"/>
      <c r="G234" s="65"/>
      <c r="H234" s="65"/>
      <c r="I234" s="64"/>
      <c r="J234" s="65"/>
    </row>
    <row r="235" ht="15" customHeight="1" spans="1:10" x14ac:dyDescent="0.25">
      <c r="A235" s="61"/>
      <c r="B235" s="60"/>
      <c r="C235" s="61"/>
      <c r="D235" s="61"/>
      <c r="E235" s="61"/>
      <c r="F235" s="61"/>
      <c r="G235" s="61"/>
      <c r="H235" s="61"/>
      <c r="I235" s="60"/>
      <c r="J235" s="61"/>
    </row>
    <row r="236" ht="15" customHeight="1" spans="1:10" x14ac:dyDescent="0.25">
      <c r="A236" s="65"/>
      <c r="B236" s="64"/>
      <c r="C236" s="65"/>
      <c r="D236" s="65"/>
      <c r="E236" s="65"/>
      <c r="F236" s="65"/>
      <c r="G236" s="65"/>
      <c r="H236" s="65"/>
      <c r="I236" s="64"/>
      <c r="J236" s="65"/>
    </row>
    <row r="237" ht="15" customHeight="1" spans="1:10" x14ac:dyDescent="0.25">
      <c r="A237" s="61"/>
      <c r="B237" s="60"/>
      <c r="C237" s="61"/>
      <c r="D237" s="61"/>
      <c r="E237" s="61"/>
      <c r="F237" s="61"/>
      <c r="G237" s="61"/>
      <c r="H237" s="61"/>
      <c r="I237" s="60"/>
      <c r="J237" s="61"/>
    </row>
    <row r="238" ht="15" customHeight="1" spans="1:10" x14ac:dyDescent="0.25">
      <c r="A238" s="65"/>
      <c r="B238" s="64"/>
      <c r="C238" s="65"/>
      <c r="D238" s="65"/>
      <c r="E238" s="65"/>
      <c r="F238" s="65"/>
      <c r="G238" s="65"/>
      <c r="H238" s="65"/>
      <c r="I238" s="64"/>
      <c r="J238" s="65"/>
    </row>
    <row r="239" ht="15" customHeight="1" spans="1:10" x14ac:dyDescent="0.25">
      <c r="A239" s="61"/>
      <c r="B239" s="60"/>
      <c r="C239" s="61"/>
      <c r="D239" s="61"/>
      <c r="E239" s="61"/>
      <c r="F239" s="61"/>
      <c r="G239" s="61"/>
      <c r="H239" s="61"/>
      <c r="I239" s="60"/>
      <c r="J239" s="61"/>
    </row>
    <row r="240" ht="15" customHeight="1" spans="1:10" x14ac:dyDescent="0.25">
      <c r="A240" s="65"/>
      <c r="B240" s="64"/>
      <c r="C240" s="65"/>
      <c r="D240" s="65"/>
      <c r="E240" s="65"/>
      <c r="F240" s="65"/>
      <c r="G240" s="65"/>
      <c r="H240" s="65"/>
      <c r="I240" s="64"/>
      <c r="J240" s="65"/>
    </row>
    <row r="241" ht="15" customHeight="1" spans="1:10" x14ac:dyDescent="0.25">
      <c r="A241" s="61"/>
      <c r="B241" s="60"/>
      <c r="C241" s="61"/>
      <c r="D241" s="61"/>
      <c r="E241" s="61"/>
      <c r="F241" s="61"/>
      <c r="G241" s="61"/>
      <c r="H241" s="61"/>
      <c r="I241" s="60"/>
      <c r="J241" s="61"/>
    </row>
    <row r="242" ht="15" customHeight="1" spans="1:10" x14ac:dyDescent="0.25">
      <c r="A242" s="65"/>
      <c r="B242" s="64"/>
      <c r="C242" s="65"/>
      <c r="D242" s="65"/>
      <c r="E242" s="65"/>
      <c r="F242" s="65"/>
      <c r="G242" s="65"/>
      <c r="H242" s="65"/>
      <c r="I242" s="64"/>
      <c r="J242" s="65"/>
    </row>
    <row r="243" ht="15" customHeight="1" spans="1:10" x14ac:dyDescent="0.25">
      <c r="A243" s="61"/>
      <c r="B243" s="60"/>
      <c r="C243" s="61"/>
      <c r="D243" s="61"/>
      <c r="E243" s="61"/>
      <c r="F243" s="61"/>
      <c r="G243" s="61"/>
      <c r="H243" s="61"/>
      <c r="I243" s="60"/>
      <c r="J243" s="61"/>
    </row>
    <row r="244" ht="15" customHeight="1" spans="1:10" x14ac:dyDescent="0.25">
      <c r="A244" s="65"/>
      <c r="B244" s="64"/>
      <c r="C244" s="65"/>
      <c r="D244" s="65"/>
      <c r="E244" s="65"/>
      <c r="F244" s="65"/>
      <c r="G244" s="65"/>
      <c r="H244" s="65"/>
      <c r="I244" s="64"/>
      <c r="J244" s="65"/>
    </row>
    <row r="245" ht="15" customHeight="1" spans="1:10" x14ac:dyDescent="0.25">
      <c r="A245" s="61"/>
      <c r="B245" s="60"/>
      <c r="C245" s="61"/>
      <c r="D245" s="61"/>
      <c r="E245" s="61"/>
      <c r="F245" s="61"/>
      <c r="G245" s="61"/>
      <c r="H245" s="61"/>
      <c r="I245" s="60"/>
      <c r="J245" s="61"/>
    </row>
    <row r="246" ht="15" customHeight="1" spans="1:10" x14ac:dyDescent="0.25">
      <c r="A246" s="65"/>
      <c r="B246" s="64"/>
      <c r="C246" s="65"/>
      <c r="D246" s="65"/>
      <c r="E246" s="65"/>
      <c r="F246" s="65"/>
      <c r="G246" s="65"/>
      <c r="H246" s="65"/>
      <c r="I246" s="64"/>
      <c r="J246" s="65"/>
    </row>
    <row r="247" ht="15" customHeight="1" spans="1:10" x14ac:dyDescent="0.25">
      <c r="A247" s="61"/>
      <c r="B247" s="60"/>
      <c r="C247" s="61"/>
      <c r="D247" s="61"/>
      <c r="E247" s="61"/>
      <c r="F247" s="61"/>
      <c r="G247" s="61"/>
      <c r="H247" s="61"/>
      <c r="I247" s="60"/>
      <c r="J247" s="61"/>
    </row>
    <row r="248" ht="15" customHeight="1" spans="1:10" x14ac:dyDescent="0.25">
      <c r="A248" s="65"/>
      <c r="B248" s="64"/>
      <c r="C248" s="65"/>
      <c r="D248" s="65"/>
      <c r="E248" s="65"/>
      <c r="F248" s="65"/>
      <c r="G248" s="65"/>
      <c r="H248" s="65"/>
      <c r="I248" s="64"/>
      <c r="J248" s="65"/>
    </row>
    <row r="249" ht="15" customHeight="1" spans="1:10" x14ac:dyDescent="0.25">
      <c r="A249" s="61"/>
      <c r="B249" s="60"/>
      <c r="C249" s="61"/>
      <c r="D249" s="61"/>
      <c r="E249" s="61"/>
      <c r="F249" s="61"/>
      <c r="G249" s="61"/>
      <c r="H249" s="61"/>
      <c r="I249" s="60"/>
      <c r="J249" s="61"/>
    </row>
    <row r="250" ht="15" customHeight="1" spans="1:10" x14ac:dyDescent="0.25">
      <c r="A250" s="65"/>
      <c r="B250" s="64"/>
      <c r="C250" s="65"/>
      <c r="D250" s="65"/>
      <c r="E250" s="65"/>
      <c r="F250" s="65"/>
      <c r="G250" s="65"/>
      <c r="H250" s="65"/>
      <c r="I250" s="64"/>
      <c r="J250" s="65"/>
    </row>
    <row r="251" ht="15" customHeight="1" spans="1:10" x14ac:dyDescent="0.25">
      <c r="A251" s="61"/>
      <c r="B251" s="60"/>
      <c r="C251" s="61"/>
      <c r="D251" s="61"/>
      <c r="E251" s="61"/>
      <c r="F251" s="61"/>
      <c r="G251" s="61"/>
      <c r="H251" s="61"/>
      <c r="I251" s="60"/>
      <c r="J251" s="61"/>
    </row>
    <row r="252" ht="15" customHeight="1" spans="1:10" x14ac:dyDescent="0.25">
      <c r="A252" s="65"/>
      <c r="B252" s="64"/>
      <c r="C252" s="65"/>
      <c r="D252" s="65"/>
      <c r="E252" s="65"/>
      <c r="F252" s="65"/>
      <c r="G252" s="65"/>
      <c r="H252" s="65"/>
      <c r="I252" s="64"/>
      <c r="J252" s="65"/>
    </row>
    <row r="253" ht="15" customHeight="1" spans="1:10" x14ac:dyDescent="0.25">
      <c r="A253" s="61"/>
      <c r="B253" s="60"/>
      <c r="C253" s="61"/>
      <c r="D253" s="61"/>
      <c r="E253" s="61"/>
      <c r="F253" s="61"/>
      <c r="G253" s="61"/>
      <c r="H253" s="61"/>
      <c r="I253" s="60"/>
      <c r="J253" s="61"/>
    </row>
    <row r="254" ht="15" customHeight="1" spans="1:10" x14ac:dyDescent="0.25">
      <c r="A254" s="65"/>
      <c r="B254" s="64"/>
      <c r="C254" s="65"/>
      <c r="D254" s="65"/>
      <c r="E254" s="65"/>
      <c r="F254" s="65"/>
      <c r="G254" s="65"/>
      <c r="H254" s="65"/>
      <c r="I254" s="64"/>
      <c r="J254" s="65"/>
    </row>
    <row r="255" ht="15" customHeight="1" spans="1:10" x14ac:dyDescent="0.25">
      <c r="A255" s="61"/>
      <c r="B255" s="60"/>
      <c r="C255" s="61"/>
      <c r="D255" s="61"/>
      <c r="E255" s="61"/>
      <c r="F255" s="61"/>
      <c r="G255" s="61"/>
      <c r="H255" s="61"/>
      <c r="I255" s="60"/>
      <c r="J255" s="61"/>
    </row>
    <row r="256" ht="15" customHeight="1" spans="1:10" x14ac:dyDescent="0.25">
      <c r="A256" s="65"/>
      <c r="B256" s="64"/>
      <c r="C256" s="65"/>
      <c r="D256" s="65"/>
      <c r="E256" s="65"/>
      <c r="F256" s="65"/>
      <c r="G256" s="65"/>
      <c r="H256" s="65"/>
      <c r="I256" s="64"/>
      <c r="J256" s="65"/>
    </row>
    <row r="257" ht="15" customHeight="1" spans="1:10" x14ac:dyDescent="0.25">
      <c r="A257" s="61"/>
      <c r="B257" s="60"/>
      <c r="C257" s="61"/>
      <c r="D257" s="61"/>
      <c r="E257" s="61"/>
      <c r="F257" s="61"/>
      <c r="G257" s="61"/>
      <c r="H257" s="61"/>
      <c r="I257" s="60"/>
      <c r="J257" s="61"/>
    </row>
    <row r="258" ht="15" customHeight="1" spans="1:10" x14ac:dyDescent="0.25">
      <c r="A258" s="65"/>
      <c r="B258" s="64"/>
      <c r="C258" s="65"/>
      <c r="D258" s="65"/>
      <c r="E258" s="65"/>
      <c r="F258" s="65"/>
      <c r="G258" s="65"/>
      <c r="H258" s="65"/>
      <c r="I258" s="64"/>
      <c r="J258" s="65"/>
    </row>
    <row r="259" ht="15" customHeight="1" spans="1:10" x14ac:dyDescent="0.25">
      <c r="A259" s="61"/>
      <c r="B259" s="60"/>
      <c r="C259" s="61"/>
      <c r="D259" s="61"/>
      <c r="E259" s="61"/>
      <c r="F259" s="61"/>
      <c r="G259" s="61"/>
      <c r="H259" s="61"/>
      <c r="I259" s="60"/>
      <c r="J259" s="61"/>
    </row>
    <row r="260" ht="15" customHeight="1" spans="1:10" x14ac:dyDescent="0.25">
      <c r="A260" s="65"/>
      <c r="B260" s="64"/>
      <c r="C260" s="65"/>
      <c r="D260" s="65"/>
      <c r="E260" s="65"/>
      <c r="F260" s="65"/>
      <c r="G260" s="65"/>
      <c r="H260" s="65"/>
      <c r="I260" s="64"/>
      <c r="J260" s="65"/>
    </row>
    <row r="261" ht="15" customHeight="1" spans="1:10" x14ac:dyDescent="0.25">
      <c r="A261" s="61"/>
      <c r="B261" s="60"/>
      <c r="C261" s="61"/>
      <c r="D261" s="61"/>
      <c r="E261" s="61"/>
      <c r="F261" s="61"/>
      <c r="G261" s="61"/>
      <c r="H261" s="61"/>
      <c r="I261" s="60"/>
      <c r="J261" s="61"/>
    </row>
    <row r="262" ht="15" customHeight="1" spans="1:10" x14ac:dyDescent="0.25">
      <c r="A262" s="65"/>
      <c r="B262" s="64"/>
      <c r="C262" s="65"/>
      <c r="D262" s="65"/>
      <c r="E262" s="65"/>
      <c r="F262" s="65"/>
      <c r="G262" s="65"/>
      <c r="H262" s="65"/>
      <c r="I262" s="64"/>
      <c r="J262" s="65"/>
    </row>
    <row r="263" ht="15" customHeight="1" spans="1:10" x14ac:dyDescent="0.25">
      <c r="A263" s="61"/>
      <c r="B263" s="60"/>
      <c r="C263" s="61"/>
      <c r="D263" s="61"/>
      <c r="E263" s="61"/>
      <c r="F263" s="61"/>
      <c r="G263" s="61"/>
      <c r="H263" s="61"/>
      <c r="I263" s="60"/>
      <c r="J263" s="61"/>
    </row>
    <row r="264" ht="15" customHeight="1" spans="1:10" x14ac:dyDescent="0.25">
      <c r="A264" s="65"/>
      <c r="B264" s="64"/>
      <c r="C264" s="65"/>
      <c r="D264" s="65"/>
      <c r="E264" s="65"/>
      <c r="F264" s="65"/>
      <c r="G264" s="65"/>
      <c r="H264" s="65"/>
      <c r="I264" s="64"/>
      <c r="J264" s="65"/>
    </row>
    <row r="265" ht="15" customHeight="1" spans="1:10" x14ac:dyDescent="0.25">
      <c r="A265" s="61"/>
      <c r="B265" s="60"/>
      <c r="C265" s="61"/>
      <c r="D265" s="61"/>
      <c r="E265" s="61"/>
      <c r="F265" s="61"/>
      <c r="G265" s="61"/>
      <c r="H265" s="61"/>
      <c r="I265" s="60"/>
      <c r="J265" s="61"/>
    </row>
    <row r="266" ht="15" customHeight="1" spans="1:10" x14ac:dyDescent="0.25">
      <c r="A266" s="65"/>
      <c r="B266" s="64"/>
      <c r="C266" s="65"/>
      <c r="D266" s="65"/>
      <c r="E266" s="65"/>
      <c r="F266" s="65"/>
      <c r="G266" s="65"/>
      <c r="H266" s="65"/>
      <c r="I266" s="64"/>
      <c r="J266" s="65"/>
    </row>
    <row r="267" ht="15" customHeight="1" spans="1:10" x14ac:dyDescent="0.25">
      <c r="A267" s="61"/>
      <c r="B267" s="60"/>
      <c r="C267" s="61"/>
      <c r="D267" s="61"/>
      <c r="E267" s="61"/>
      <c r="F267" s="61"/>
      <c r="G267" s="61"/>
      <c r="H267" s="61"/>
      <c r="I267" s="60"/>
      <c r="J267" s="61"/>
    </row>
    <row r="268" ht="15" customHeight="1" spans="1:10" x14ac:dyDescent="0.25">
      <c r="A268" s="65"/>
      <c r="B268" s="64"/>
      <c r="C268" s="65"/>
      <c r="D268" s="65"/>
      <c r="E268" s="65"/>
      <c r="F268" s="65"/>
      <c r="G268" s="65"/>
      <c r="H268" s="65"/>
      <c r="I268" s="64"/>
      <c r="J268" s="65"/>
    </row>
    <row r="269" ht="15" customHeight="1" spans="1:10" x14ac:dyDescent="0.25">
      <c r="A269" s="61"/>
      <c r="B269" s="60"/>
      <c r="C269" s="61"/>
      <c r="D269" s="61"/>
      <c r="E269" s="61"/>
      <c r="F269" s="61"/>
      <c r="G269" s="61"/>
      <c r="H269" s="61"/>
      <c r="I269" s="60"/>
      <c r="J269" s="61"/>
    </row>
    <row r="270" ht="15" customHeight="1" spans="1:10" x14ac:dyDescent="0.25">
      <c r="A270" s="65"/>
      <c r="B270" s="64"/>
      <c r="C270" s="65"/>
      <c r="D270" s="65"/>
      <c r="E270" s="65"/>
      <c r="F270" s="65"/>
      <c r="G270" s="65"/>
      <c r="H270" s="65"/>
      <c r="I270" s="64"/>
      <c r="J270" s="65"/>
    </row>
    <row r="271" ht="15" customHeight="1" spans="1:10" x14ac:dyDescent="0.25">
      <c r="A271" s="61"/>
      <c r="B271" s="60"/>
      <c r="C271" s="61"/>
      <c r="D271" s="61"/>
      <c r="E271" s="61"/>
      <c r="F271" s="61"/>
      <c r="G271" s="61"/>
      <c r="H271" s="61"/>
      <c r="I271" s="60"/>
      <c r="J271" s="61"/>
    </row>
    <row r="272" ht="15" customHeight="1" spans="1:10" x14ac:dyDescent="0.25">
      <c r="A272" s="65"/>
      <c r="B272" s="64"/>
      <c r="C272" s="65"/>
      <c r="D272" s="65"/>
      <c r="E272" s="65"/>
      <c r="F272" s="65"/>
      <c r="G272" s="65"/>
      <c r="H272" s="65"/>
      <c r="I272" s="64"/>
      <c r="J272" s="65"/>
    </row>
    <row r="273" ht="15" customHeight="1" spans="1:10" x14ac:dyDescent="0.25">
      <c r="A273" s="61"/>
      <c r="B273" s="60"/>
      <c r="C273" s="61"/>
      <c r="D273" s="61"/>
      <c r="E273" s="61"/>
      <c r="F273" s="61"/>
      <c r="G273" s="61"/>
      <c r="H273" s="61"/>
      <c r="I273" s="60"/>
      <c r="J273" s="61"/>
    </row>
    <row r="274" ht="15" customHeight="1" spans="1:10" x14ac:dyDescent="0.25">
      <c r="A274" s="65"/>
      <c r="B274" s="64"/>
      <c r="C274" s="65"/>
      <c r="D274" s="65"/>
      <c r="E274" s="65"/>
      <c r="F274" s="65"/>
      <c r="G274" s="65"/>
      <c r="H274" s="65"/>
      <c r="I274" s="64"/>
      <c r="J274" s="65"/>
    </row>
    <row r="275" ht="15" customHeight="1" spans="1:10" x14ac:dyDescent="0.25">
      <c r="A275" s="61"/>
      <c r="B275" s="60"/>
      <c r="C275" s="61"/>
      <c r="D275" s="61"/>
      <c r="E275" s="61"/>
      <c r="F275" s="61"/>
      <c r="G275" s="61"/>
      <c r="H275" s="61"/>
      <c r="I275" s="60"/>
      <c r="J275" s="61"/>
    </row>
    <row r="276" ht="15" customHeight="1" spans="1:10" x14ac:dyDescent="0.25">
      <c r="A276" s="65"/>
      <c r="B276" s="64"/>
      <c r="C276" s="65"/>
      <c r="D276" s="65"/>
      <c r="E276" s="65"/>
      <c r="F276" s="65"/>
      <c r="G276" s="65"/>
      <c r="H276" s="65"/>
      <c r="I276" s="64"/>
      <c r="J276" s="65"/>
    </row>
    <row r="277" ht="15" customHeight="1" spans="1:10" x14ac:dyDescent="0.25">
      <c r="A277" s="61"/>
      <c r="B277" s="60"/>
      <c r="C277" s="61"/>
      <c r="D277" s="61"/>
      <c r="E277" s="61"/>
      <c r="F277" s="61"/>
      <c r="G277" s="61"/>
      <c r="H277" s="61"/>
      <c r="I277" s="60"/>
      <c r="J277" s="61"/>
    </row>
    <row r="278" ht="15" customHeight="1" spans="1:10" x14ac:dyDescent="0.25">
      <c r="A278" s="65"/>
      <c r="B278" s="64"/>
      <c r="C278" s="65"/>
      <c r="D278" s="65"/>
      <c r="E278" s="65"/>
      <c r="F278" s="65"/>
      <c r="G278" s="65"/>
      <c r="H278" s="65"/>
      <c r="I278" s="64"/>
      <c r="J278" s="65"/>
    </row>
    <row r="279" ht="15" customHeight="1" spans="1:10" x14ac:dyDescent="0.25">
      <c r="A279" s="61"/>
      <c r="B279" s="60"/>
      <c r="C279" s="61"/>
      <c r="D279" s="61"/>
      <c r="E279" s="61"/>
      <c r="F279" s="61"/>
      <c r="G279" s="61"/>
      <c r="H279" s="61"/>
      <c r="I279" s="60"/>
      <c r="J279" s="61"/>
    </row>
    <row r="280" ht="15" customHeight="1" spans="1:10" x14ac:dyDescent="0.25">
      <c r="A280" s="65"/>
      <c r="B280" s="64"/>
      <c r="C280" s="65"/>
      <c r="D280" s="65"/>
      <c r="E280" s="65"/>
      <c r="F280" s="65"/>
      <c r="G280" s="65"/>
      <c r="H280" s="65"/>
      <c r="I280" s="64"/>
      <c r="J280" s="65"/>
    </row>
    <row r="281" ht="15" customHeight="1" spans="1:10" x14ac:dyDescent="0.25">
      <c r="A281" s="61"/>
      <c r="B281" s="60"/>
      <c r="C281" s="61"/>
      <c r="D281" s="61"/>
      <c r="E281" s="61"/>
      <c r="F281" s="61"/>
      <c r="G281" s="61"/>
      <c r="H281" s="61"/>
      <c r="I281" s="60"/>
      <c r="J281" s="61"/>
    </row>
    <row r="282" ht="15" customHeight="1" spans="1:10" x14ac:dyDescent="0.25">
      <c r="A282" s="65"/>
      <c r="B282" s="64"/>
      <c r="C282" s="65"/>
      <c r="D282" s="65"/>
      <c r="E282" s="65"/>
      <c r="F282" s="65"/>
      <c r="G282" s="65"/>
      <c r="H282" s="65"/>
      <c r="I282" s="64"/>
      <c r="J282" s="65"/>
    </row>
    <row r="283" ht="15" customHeight="1" spans="1:10" x14ac:dyDescent="0.25">
      <c r="A283" s="61"/>
      <c r="B283" s="60"/>
      <c r="C283" s="61"/>
      <c r="D283" s="61"/>
      <c r="E283" s="61"/>
      <c r="F283" s="61"/>
      <c r="G283" s="61"/>
      <c r="H283" s="61"/>
      <c r="I283" s="60"/>
      <c r="J283" s="61"/>
    </row>
    <row r="284" ht="15" customHeight="1" spans="1:10" x14ac:dyDescent="0.25">
      <c r="A284" s="65"/>
      <c r="B284" s="64"/>
      <c r="C284" s="65"/>
      <c r="D284" s="65"/>
      <c r="E284" s="65"/>
      <c r="F284" s="65"/>
      <c r="G284" s="65"/>
      <c r="H284" s="65"/>
      <c r="I284" s="64"/>
      <c r="J284" s="65"/>
    </row>
    <row r="285" ht="15" customHeight="1" spans="1:10" x14ac:dyDescent="0.25">
      <c r="A285" s="61"/>
      <c r="B285" s="60"/>
      <c r="C285" s="61"/>
      <c r="D285" s="61"/>
      <c r="E285" s="61"/>
      <c r="F285" s="61"/>
      <c r="G285" s="61"/>
      <c r="H285" s="61"/>
      <c r="I285" s="60"/>
      <c r="J285" s="61"/>
    </row>
    <row r="286" ht="15" customHeight="1" spans="1:10" x14ac:dyDescent="0.25">
      <c r="A286" s="65"/>
      <c r="B286" s="64"/>
      <c r="C286" s="65"/>
      <c r="D286" s="65"/>
      <c r="E286" s="65"/>
      <c r="F286" s="65"/>
      <c r="G286" s="65"/>
      <c r="H286" s="65"/>
      <c r="I286" s="64"/>
      <c r="J286" s="65"/>
    </row>
    <row r="287" ht="15" customHeight="1" spans="1:10" x14ac:dyDescent="0.25">
      <c r="A287" s="61"/>
      <c r="B287" s="60"/>
      <c r="C287" s="61"/>
      <c r="D287" s="61"/>
      <c r="E287" s="61"/>
      <c r="F287" s="61"/>
      <c r="G287" s="61"/>
      <c r="H287" s="61"/>
      <c r="I287" s="60"/>
      <c r="J287" s="61"/>
    </row>
    <row r="288" ht="15" customHeight="1" spans="1:10" x14ac:dyDescent="0.25">
      <c r="A288" s="65"/>
      <c r="B288" s="64"/>
      <c r="C288" s="65"/>
      <c r="D288" s="65"/>
      <c r="E288" s="65"/>
      <c r="F288" s="65"/>
      <c r="G288" s="65"/>
      <c r="H288" s="65"/>
      <c r="I288" s="64"/>
      <c r="J288" s="65"/>
    </row>
    <row r="289" ht="15" customHeight="1" spans="1:10" x14ac:dyDescent="0.25">
      <c r="A289" s="61"/>
      <c r="B289" s="60"/>
      <c r="C289" s="61"/>
      <c r="D289" s="61"/>
      <c r="E289" s="61"/>
      <c r="F289" s="61"/>
      <c r="G289" s="61"/>
      <c r="H289" s="61"/>
      <c r="I289" s="60"/>
      <c r="J289" s="61"/>
    </row>
    <row r="290" ht="15" customHeight="1" spans="1:10" x14ac:dyDescent="0.25">
      <c r="A290" s="65"/>
      <c r="B290" s="64"/>
      <c r="C290" s="65"/>
      <c r="D290" s="65"/>
      <c r="E290" s="65"/>
      <c r="F290" s="65"/>
      <c r="G290" s="65"/>
      <c r="H290" s="65"/>
      <c r="I290" s="64"/>
      <c r="J290" s="65"/>
    </row>
    <row r="291" ht="15" customHeight="1" spans="1:10" x14ac:dyDescent="0.25">
      <c r="A291" s="61"/>
      <c r="B291" s="60"/>
      <c r="C291" s="61"/>
      <c r="D291" s="61"/>
      <c r="E291" s="61"/>
      <c r="F291" s="61"/>
      <c r="G291" s="61"/>
      <c r="H291" s="61"/>
      <c r="I291" s="60"/>
      <c r="J291" s="61"/>
    </row>
    <row r="292" ht="15" customHeight="1" spans="1:10" x14ac:dyDescent="0.25">
      <c r="A292" s="65"/>
      <c r="B292" s="64"/>
      <c r="C292" s="65"/>
      <c r="D292" s="65"/>
      <c r="E292" s="65"/>
      <c r="F292" s="65"/>
      <c r="G292" s="65"/>
      <c r="H292" s="65"/>
      <c r="I292" s="64"/>
      <c r="J292" s="65"/>
    </row>
    <row r="293" ht="15" customHeight="1" spans="1:10" x14ac:dyDescent="0.25">
      <c r="A293" s="61"/>
      <c r="B293" s="60"/>
      <c r="C293" s="61"/>
      <c r="D293" s="61"/>
      <c r="E293" s="61"/>
      <c r="F293" s="61"/>
      <c r="G293" s="61"/>
      <c r="H293" s="61"/>
      <c r="I293" s="60"/>
      <c r="J293" s="61"/>
    </row>
    <row r="294" ht="15" customHeight="1" spans="1:10" x14ac:dyDescent="0.25">
      <c r="A294" s="65"/>
      <c r="B294" s="64"/>
      <c r="C294" s="65"/>
      <c r="D294" s="65"/>
      <c r="E294" s="65"/>
      <c r="F294" s="65"/>
      <c r="G294" s="65"/>
      <c r="H294" s="65"/>
      <c r="I294" s="64"/>
      <c r="J294" s="65"/>
    </row>
    <row r="295" ht="15" customHeight="1" spans="1:10" x14ac:dyDescent="0.25">
      <c r="A295" s="61"/>
      <c r="B295" s="60"/>
      <c r="C295" s="61"/>
      <c r="D295" s="61"/>
      <c r="E295" s="61"/>
      <c r="F295" s="61"/>
      <c r="G295" s="61"/>
      <c r="H295" s="61"/>
      <c r="I295" s="60"/>
      <c r="J295" s="61"/>
    </row>
    <row r="296" ht="15" customHeight="1" spans="1:10" x14ac:dyDescent="0.25">
      <c r="A296" s="65"/>
      <c r="B296" s="64"/>
      <c r="C296" s="65"/>
      <c r="D296" s="65"/>
      <c r="E296" s="65"/>
      <c r="F296" s="65"/>
      <c r="G296" s="65"/>
      <c r="H296" s="65"/>
      <c r="I296" s="64"/>
      <c r="J296" s="65"/>
    </row>
    <row r="297" ht="15" customHeight="1" spans="1:10" x14ac:dyDescent="0.25">
      <c r="A297" s="61"/>
      <c r="B297" s="60"/>
      <c r="C297" s="61"/>
      <c r="D297" s="61"/>
      <c r="E297" s="61"/>
      <c r="F297" s="61"/>
      <c r="G297" s="61"/>
      <c r="H297" s="61"/>
      <c r="I297" s="60"/>
      <c r="J297" s="61"/>
    </row>
    <row r="298" ht="15" customHeight="1" spans="1:10" x14ac:dyDescent="0.25">
      <c r="A298" s="65"/>
      <c r="B298" s="64"/>
      <c r="C298" s="65"/>
      <c r="D298" s="65"/>
      <c r="E298" s="65"/>
      <c r="F298" s="65"/>
      <c r="G298" s="65"/>
      <c r="H298" s="65"/>
      <c r="I298" s="64"/>
      <c r="J298" s="65"/>
    </row>
    <row r="299" ht="15" customHeight="1" spans="1:10" x14ac:dyDescent="0.25">
      <c r="A299" s="61"/>
      <c r="B299" s="60"/>
      <c r="C299" s="61"/>
      <c r="D299" s="61"/>
      <c r="E299" s="61"/>
      <c r="F299" s="61"/>
      <c r="G299" s="61"/>
      <c r="H299" s="61"/>
      <c r="I299" s="60"/>
      <c r="J299" s="61"/>
    </row>
    <row r="300" ht="15" customHeight="1" spans="1:10" x14ac:dyDescent="0.25">
      <c r="A300" s="65"/>
      <c r="B300" s="64"/>
      <c r="C300" s="65"/>
      <c r="D300" s="65"/>
      <c r="E300" s="65"/>
      <c r="F300" s="65"/>
      <c r="G300" s="65"/>
      <c r="H300" s="65"/>
      <c r="I300" s="64"/>
      <c r="J300" s="65"/>
    </row>
    <row r="301" ht="15" customHeight="1" spans="1:10" x14ac:dyDescent="0.25">
      <c r="A301" s="61"/>
      <c r="B301" s="60"/>
      <c r="C301" s="61"/>
      <c r="D301" s="61"/>
      <c r="E301" s="61"/>
      <c r="F301" s="61"/>
      <c r="G301" s="61"/>
      <c r="H301" s="61"/>
      <c r="I301" s="60"/>
      <c r="J301" s="61"/>
    </row>
    <row r="302" ht="15" customHeight="1" spans="1:10" x14ac:dyDescent="0.25">
      <c r="A302" s="65"/>
      <c r="B302" s="64"/>
      <c r="C302" s="65"/>
      <c r="D302" s="65"/>
      <c r="E302" s="65"/>
      <c r="F302" s="65"/>
      <c r="G302" s="65"/>
      <c r="H302" s="65"/>
      <c r="I302" s="64"/>
      <c r="J302" s="65"/>
    </row>
    <row r="303" ht="15" customHeight="1" spans="1:10" x14ac:dyDescent="0.25">
      <c r="A303" s="61"/>
      <c r="B303" s="60"/>
      <c r="C303" s="61"/>
      <c r="D303" s="61"/>
      <c r="E303" s="61"/>
      <c r="F303" s="61"/>
      <c r="G303" s="61"/>
      <c r="H303" s="61"/>
      <c r="I303" s="60"/>
      <c r="J303" s="61"/>
    </row>
    <row r="304" ht="15" customHeight="1" spans="1:10" x14ac:dyDescent="0.25">
      <c r="A304" s="65"/>
      <c r="B304" s="64"/>
      <c r="C304" s="65"/>
      <c r="D304" s="65"/>
      <c r="E304" s="65"/>
      <c r="F304" s="65"/>
      <c r="G304" s="65"/>
      <c r="H304" s="65"/>
      <c r="I304" s="64"/>
      <c r="J304" s="65"/>
    </row>
  </sheetData>
  <autoFilter ref="A4:J304"/>
  <mergeCells count="3">
    <mergeCell ref="A1:J1"/>
    <mergeCell ref="A2:J2"/>
    <mergeCell ref="A3:J3"/>
  </mergeCells>
  <conditionalFormatting sqref="H5:H304">
    <cfRule type="containsText" dxfId="30" priority="1">
      <formula>NOT(ISERROR(SEARCH("Failed",H5)))</formula>
    </cfRule>
    <cfRule type="containsText" dxfId="31" priority="2">
      <formula>NOT(ISERROR(SEARCH("Reverted",H5)))</formula>
    </cfRule>
    <cfRule type="containsText" dxfId="32" priority="3">
      <formula>NOT(ISERROR(SEARCH("Pushed",H5)))</formula>
    </cfRule>
  </conditionalFormatting>
  <dataValidations count="3">
    <dataValidation type="list" allowBlank="1" showErrorMessage="1" errorStyle="warning" errorTitle="Value not in list" error="Pick a value from the drop-down, or override deliberately." sqref="C5:C304">
      <formula1>'13_Dropdowns'!$Q$2:$Q$18</formula1>
    </dataValidation>
    <dataValidation type="list" allowBlank="1" showErrorMessage="1" errorStyle="warning" errorTitle="Value not in list" error="Pick a value from the drop-down, or override deliberately." sqref="D5:D304">
      <formula1>'02_Work_Items'!$A$5:$A$511</formula1>
    </dataValidation>
    <dataValidation type="list" allowBlank="1" showErrorMessage="1" errorStyle="warning" errorTitle="Value not in list" error="Pick a value from the drop-down, or override deliberately." sqref="H5:H304">
      <formula1>'13_Dropdowns'!$G$2:$G$5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E9E"/>
  </sheetPr>
  <dimension ref="A1:N40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2" width="12" customWidth="1"/>
    <col min="3" max="3" width="10" customWidth="1"/>
    <col min="4" max="4" width="15" customWidth="1"/>
    <col min="5" max="5" width="30" customWidth="1"/>
    <col min="6" max="7" width="14" customWidth="1"/>
    <col min="8" max="8" width="46" customWidth="1"/>
    <col min="9" max="10" width="40" customWidth="1"/>
    <col min="11" max="11" width="15" customWidth="1"/>
    <col min="12" max="12" width="12" customWidth="1"/>
    <col min="13" max="13" width="16" customWidth="1"/>
    <col min="14" max="14" width="36" customWidth="1"/>
  </cols>
  <sheetData>
    <row r="1" ht="26" customHeight="1" spans="1:14" x14ac:dyDescent="0.25">
      <c r="A1" s="33" t="s">
        <v>2477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ht="18" customHeight="1" spans="1:14" x14ac:dyDescent="0.25">
      <c r="A2" s="34" t="s">
        <v>2478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ht="16" customHeight="1" spans="1:14" x14ac:dyDescent="0.25">
      <c r="A3" s="59" t="s">
        <v>2459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</row>
    <row r="4" ht="32" customHeight="1" spans="1:14" x14ac:dyDescent="0.25">
      <c r="A4" s="37" t="s">
        <v>2479</v>
      </c>
      <c r="B4" s="37" t="s">
        <v>2460</v>
      </c>
      <c r="C4" s="37" t="s">
        <v>76</v>
      </c>
      <c r="D4" s="37" t="s">
        <v>209</v>
      </c>
      <c r="E4" s="37" t="s">
        <v>138</v>
      </c>
      <c r="F4" s="37" t="s">
        <v>2480</v>
      </c>
      <c r="G4" s="37" t="s">
        <v>2481</v>
      </c>
      <c r="H4" s="37" t="s">
        <v>2482</v>
      </c>
      <c r="I4" s="37" t="s">
        <v>2483</v>
      </c>
      <c r="J4" s="37" t="s">
        <v>2484</v>
      </c>
      <c r="K4" s="37" t="s">
        <v>2485</v>
      </c>
      <c r="L4" s="37" t="s">
        <v>2486</v>
      </c>
      <c r="M4" s="37" t="s">
        <v>2487</v>
      </c>
      <c r="N4" s="37" t="s">
        <v>225</v>
      </c>
    </row>
    <row r="5" ht="15" customHeight="1" spans="1:14" x14ac:dyDescent="0.25">
      <c r="A5" s="61"/>
      <c r="B5" s="60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</row>
    <row r="6" ht="15" customHeight="1" spans="1:14" x14ac:dyDescent="0.25">
      <c r="A6" s="65"/>
      <c r="B6" s="64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</row>
    <row r="7" ht="15" customHeight="1" spans="1:14" x14ac:dyDescent="0.25">
      <c r="A7" s="61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</row>
    <row r="8" ht="15" customHeight="1" spans="1:14" x14ac:dyDescent="0.25">
      <c r="A8" s="65"/>
      <c r="B8" s="64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</row>
    <row r="9" ht="15" customHeight="1" spans="1:14" x14ac:dyDescent="0.25">
      <c r="A9" s="61"/>
      <c r="B9" s="60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</row>
    <row r="10" ht="15" customHeight="1" spans="1:14" x14ac:dyDescent="0.25">
      <c r="A10" s="65"/>
      <c r="B10" s="64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</row>
    <row r="11" ht="15" customHeight="1" spans="1:14" x14ac:dyDescent="0.25">
      <c r="A11" s="61"/>
      <c r="B11" s="60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</row>
    <row r="12" ht="15" customHeight="1" spans="1:14" x14ac:dyDescent="0.25">
      <c r="A12" s="65"/>
      <c r="B12" s="64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</row>
    <row r="13" ht="15" customHeight="1" spans="1:14" x14ac:dyDescent="0.25">
      <c r="A13" s="61"/>
      <c r="B13" s="60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</row>
    <row r="14" ht="15" customHeight="1" spans="1:14" x14ac:dyDescent="0.25">
      <c r="A14" s="65"/>
      <c r="B14" s="64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</row>
    <row r="15" ht="15" customHeight="1" spans="1:14" x14ac:dyDescent="0.25">
      <c r="A15" s="61"/>
      <c r="B15" s="60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</row>
    <row r="16" ht="15" customHeight="1" spans="1:14" x14ac:dyDescent="0.25">
      <c r="A16" s="65"/>
      <c r="B16" s="64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</row>
    <row r="17" ht="15" customHeight="1" spans="1:14" x14ac:dyDescent="0.25">
      <c r="A17" s="61"/>
      <c r="B17" s="60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</row>
    <row r="18" ht="15" customHeight="1" spans="1:14" x14ac:dyDescent="0.25">
      <c r="A18" s="65"/>
      <c r="B18" s="64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</row>
    <row r="19" ht="15" customHeight="1" spans="1:14" x14ac:dyDescent="0.25">
      <c r="A19" s="61"/>
      <c r="B19" s="60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</row>
    <row r="20" ht="15" customHeight="1" spans="1:14" x14ac:dyDescent="0.25">
      <c r="A20" s="65"/>
      <c r="B20" s="64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</row>
    <row r="21" ht="15" customHeight="1" spans="1:14" x14ac:dyDescent="0.25">
      <c r="A21" s="61"/>
      <c r="B21" s="60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</row>
    <row r="22" ht="15" customHeight="1" spans="1:14" x14ac:dyDescent="0.25">
      <c r="A22" s="65"/>
      <c r="B22" s="64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</row>
    <row r="23" ht="15" customHeight="1" spans="1:14" x14ac:dyDescent="0.25">
      <c r="A23" s="61"/>
      <c r="B23" s="60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</row>
    <row r="24" ht="15" customHeight="1" spans="1:14" x14ac:dyDescent="0.25">
      <c r="A24" s="65"/>
      <c r="B24" s="64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</row>
    <row r="25" ht="15" customHeight="1" spans="1:14" x14ac:dyDescent="0.25">
      <c r="A25" s="61"/>
      <c r="B25" s="60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</row>
    <row r="26" ht="15" customHeight="1" spans="1:14" x14ac:dyDescent="0.25">
      <c r="A26" s="65"/>
      <c r="B26" s="64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</row>
    <row r="27" ht="15" customHeight="1" spans="1:14" x14ac:dyDescent="0.25">
      <c r="A27" s="61"/>
      <c r="B27" s="60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</row>
    <row r="28" ht="15" customHeight="1" spans="1:14" x14ac:dyDescent="0.25">
      <c r="A28" s="65"/>
      <c r="B28" s="64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</row>
    <row r="29" ht="15" customHeight="1" spans="1:14" x14ac:dyDescent="0.25">
      <c r="A29" s="61"/>
      <c r="B29" s="60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</row>
    <row r="30" ht="15" customHeight="1" spans="1:14" x14ac:dyDescent="0.25">
      <c r="A30" s="65"/>
      <c r="B30" s="64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</row>
    <row r="31" ht="15" customHeight="1" spans="1:14" x14ac:dyDescent="0.25">
      <c r="A31" s="61"/>
      <c r="B31" s="60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</row>
    <row r="32" ht="15" customHeight="1" spans="1:14" x14ac:dyDescent="0.25">
      <c r="A32" s="65"/>
      <c r="B32" s="64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</row>
    <row r="33" ht="15" customHeight="1" spans="1:14" x14ac:dyDescent="0.25">
      <c r="A33" s="61"/>
      <c r="B33" s="60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</row>
    <row r="34" ht="15" customHeight="1" spans="1:14" x14ac:dyDescent="0.25">
      <c r="A34" s="65"/>
      <c r="B34" s="64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</row>
    <row r="35" ht="15" customHeight="1" spans="1:14" x14ac:dyDescent="0.25">
      <c r="A35" s="61"/>
      <c r="B35" s="60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</row>
    <row r="36" ht="15" customHeight="1" spans="1:14" x14ac:dyDescent="0.25">
      <c r="A36" s="65"/>
      <c r="B36" s="64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</row>
    <row r="37" ht="15" customHeight="1" spans="1:14" x14ac:dyDescent="0.25">
      <c r="A37" s="61"/>
      <c r="B37" s="60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</row>
    <row r="38" ht="15" customHeight="1" spans="1:14" x14ac:dyDescent="0.25">
      <c r="A38" s="65"/>
      <c r="B38" s="64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</row>
    <row r="39" ht="15" customHeight="1" spans="1:14" x14ac:dyDescent="0.25">
      <c r="A39" s="61"/>
      <c r="B39" s="60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</row>
    <row r="40" ht="15" customHeight="1" spans="1:14" x14ac:dyDescent="0.25">
      <c r="A40" s="65"/>
      <c r="B40" s="64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</row>
    <row r="41" ht="15" customHeight="1" spans="1:14" x14ac:dyDescent="0.25">
      <c r="A41" s="61"/>
      <c r="B41" s="60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</row>
    <row r="42" ht="15" customHeight="1" spans="1:14" x14ac:dyDescent="0.25">
      <c r="A42" s="65"/>
      <c r="B42" s="64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</row>
    <row r="43" ht="15" customHeight="1" spans="1:14" x14ac:dyDescent="0.25">
      <c r="A43" s="61"/>
      <c r="B43" s="60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</row>
    <row r="44" ht="15" customHeight="1" spans="1:14" x14ac:dyDescent="0.25">
      <c r="A44" s="65"/>
      <c r="B44" s="64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</row>
    <row r="45" ht="15" customHeight="1" spans="1:14" x14ac:dyDescent="0.25">
      <c r="A45" s="61"/>
      <c r="B45" s="60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</row>
    <row r="46" ht="15" customHeight="1" spans="1:14" x14ac:dyDescent="0.25">
      <c r="A46" s="65"/>
      <c r="B46" s="64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</row>
    <row r="47" ht="15" customHeight="1" spans="1:14" x14ac:dyDescent="0.25">
      <c r="A47" s="61"/>
      <c r="B47" s="60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</row>
    <row r="48" ht="15" customHeight="1" spans="1:14" x14ac:dyDescent="0.25">
      <c r="A48" s="65"/>
      <c r="B48" s="64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</row>
    <row r="49" ht="15" customHeight="1" spans="1:14" x14ac:dyDescent="0.25">
      <c r="A49" s="61"/>
      <c r="B49" s="60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</row>
    <row r="50" ht="15" customHeight="1" spans="1:14" x14ac:dyDescent="0.25">
      <c r="A50" s="65"/>
      <c r="B50" s="64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</row>
    <row r="51" ht="15" customHeight="1" spans="1:14" x14ac:dyDescent="0.25">
      <c r="A51" s="61"/>
      <c r="B51" s="60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</row>
    <row r="52" ht="15" customHeight="1" spans="1:14" x14ac:dyDescent="0.25">
      <c r="A52" s="65"/>
      <c r="B52" s="64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</row>
    <row r="53" ht="15" customHeight="1" spans="1:14" x14ac:dyDescent="0.25">
      <c r="A53" s="61"/>
      <c r="B53" s="60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ht="15" customHeight="1" spans="1:14" x14ac:dyDescent="0.25">
      <c r="A54" s="65"/>
      <c r="B54" s="64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</row>
    <row r="55" ht="15" customHeight="1" spans="1:14" x14ac:dyDescent="0.25">
      <c r="A55" s="61"/>
      <c r="B55" s="60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</row>
    <row r="56" ht="15" customHeight="1" spans="1:14" x14ac:dyDescent="0.25">
      <c r="A56" s="65"/>
      <c r="B56" s="64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</row>
    <row r="57" ht="15" customHeight="1" spans="1:14" x14ac:dyDescent="0.25">
      <c r="A57" s="61"/>
      <c r="B57" s="60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</row>
    <row r="58" ht="15" customHeight="1" spans="1:14" x14ac:dyDescent="0.25">
      <c r="A58" s="65"/>
      <c r="B58" s="64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</row>
    <row r="59" ht="15" customHeight="1" spans="1:14" x14ac:dyDescent="0.25">
      <c r="A59" s="61"/>
      <c r="B59" s="60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</row>
    <row r="60" ht="15" customHeight="1" spans="1:14" x14ac:dyDescent="0.25">
      <c r="A60" s="65"/>
      <c r="B60" s="64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</row>
    <row r="61" ht="15" customHeight="1" spans="1:14" x14ac:dyDescent="0.25">
      <c r="A61" s="61"/>
      <c r="B61" s="60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</row>
    <row r="62" ht="15" customHeight="1" spans="1:14" x14ac:dyDescent="0.25">
      <c r="A62" s="65"/>
      <c r="B62" s="64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</row>
    <row r="63" ht="15" customHeight="1" spans="1:14" x14ac:dyDescent="0.25">
      <c r="A63" s="61"/>
      <c r="B63" s="60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</row>
    <row r="64" ht="15" customHeight="1" spans="1:14" x14ac:dyDescent="0.25">
      <c r="A64" s="65"/>
      <c r="B64" s="64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</row>
    <row r="65" ht="15" customHeight="1" spans="1:14" x14ac:dyDescent="0.25">
      <c r="A65" s="61"/>
      <c r="B65" s="60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</row>
    <row r="66" ht="15" customHeight="1" spans="1:14" x14ac:dyDescent="0.25">
      <c r="A66" s="65"/>
      <c r="B66" s="64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</row>
    <row r="67" ht="15" customHeight="1" spans="1:14" x14ac:dyDescent="0.25">
      <c r="A67" s="61"/>
      <c r="B67" s="60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</row>
    <row r="68" ht="15" customHeight="1" spans="1:14" x14ac:dyDescent="0.25">
      <c r="A68" s="65"/>
      <c r="B68" s="64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</row>
    <row r="69" ht="15" customHeight="1" spans="1:14" x14ac:dyDescent="0.25">
      <c r="A69" s="61"/>
      <c r="B69" s="60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</row>
    <row r="70" ht="15" customHeight="1" spans="1:14" x14ac:dyDescent="0.25">
      <c r="A70" s="65"/>
      <c r="B70" s="64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</row>
    <row r="71" ht="15" customHeight="1" spans="1:14" x14ac:dyDescent="0.25">
      <c r="A71" s="61"/>
      <c r="B71" s="60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</row>
    <row r="72" ht="15" customHeight="1" spans="1:14" x14ac:dyDescent="0.25">
      <c r="A72" s="65"/>
      <c r="B72" s="64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</row>
    <row r="73" ht="15" customHeight="1" spans="1:14" x14ac:dyDescent="0.25">
      <c r="A73" s="61"/>
      <c r="B73" s="60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</row>
    <row r="74" ht="15" customHeight="1" spans="1:14" x14ac:dyDescent="0.25">
      <c r="A74" s="65"/>
      <c r="B74" s="64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</row>
    <row r="75" ht="15" customHeight="1" spans="1:14" x14ac:dyDescent="0.25">
      <c r="A75" s="61"/>
      <c r="B75" s="60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</row>
    <row r="76" ht="15" customHeight="1" spans="1:14" x14ac:dyDescent="0.25">
      <c r="A76" s="65"/>
      <c r="B76" s="64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</row>
    <row r="77" ht="15" customHeight="1" spans="1:14" x14ac:dyDescent="0.25">
      <c r="A77" s="61"/>
      <c r="B77" s="60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</row>
    <row r="78" ht="15" customHeight="1" spans="1:14" x14ac:dyDescent="0.25">
      <c r="A78" s="65"/>
      <c r="B78" s="64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</row>
    <row r="79" ht="15" customHeight="1" spans="1:14" x14ac:dyDescent="0.25">
      <c r="A79" s="61"/>
      <c r="B79" s="60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</row>
    <row r="80" ht="15" customHeight="1" spans="1:14" x14ac:dyDescent="0.25">
      <c r="A80" s="65"/>
      <c r="B80" s="64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</row>
    <row r="81" ht="15" customHeight="1" spans="1:14" x14ac:dyDescent="0.25">
      <c r="A81" s="61"/>
      <c r="B81" s="60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</row>
    <row r="82" ht="15" customHeight="1" spans="1:14" x14ac:dyDescent="0.25">
      <c r="A82" s="65"/>
      <c r="B82" s="64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</row>
    <row r="83" ht="15" customHeight="1" spans="1:14" x14ac:dyDescent="0.25">
      <c r="A83" s="61"/>
      <c r="B83" s="60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</row>
    <row r="84" ht="15" customHeight="1" spans="1:14" x14ac:dyDescent="0.25">
      <c r="A84" s="65"/>
      <c r="B84" s="64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</row>
    <row r="85" ht="15" customHeight="1" spans="1:14" x14ac:dyDescent="0.25">
      <c r="A85" s="61"/>
      <c r="B85" s="60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</row>
    <row r="86" ht="15" customHeight="1" spans="1:14" x14ac:dyDescent="0.25">
      <c r="A86" s="65"/>
      <c r="B86" s="64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</row>
    <row r="87" ht="15" customHeight="1" spans="1:14" x14ac:dyDescent="0.25">
      <c r="A87" s="61"/>
      <c r="B87" s="60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</row>
    <row r="88" ht="15" customHeight="1" spans="1:14" x14ac:dyDescent="0.25">
      <c r="A88" s="65"/>
      <c r="B88" s="64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</row>
    <row r="89" ht="15" customHeight="1" spans="1:14" x14ac:dyDescent="0.25">
      <c r="A89" s="61"/>
      <c r="B89" s="60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</row>
    <row r="90" ht="15" customHeight="1" spans="1:14" x14ac:dyDescent="0.25">
      <c r="A90" s="65"/>
      <c r="B90" s="64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</row>
    <row r="91" ht="15" customHeight="1" spans="1:14" x14ac:dyDescent="0.25">
      <c r="A91" s="61"/>
      <c r="B91" s="60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</row>
    <row r="92" ht="15" customHeight="1" spans="1:14" x14ac:dyDescent="0.25">
      <c r="A92" s="65"/>
      <c r="B92" s="64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</row>
    <row r="93" ht="15" customHeight="1" spans="1:14" x14ac:dyDescent="0.25">
      <c r="A93" s="61"/>
      <c r="B93" s="60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</row>
    <row r="94" ht="15" customHeight="1" spans="1:14" x14ac:dyDescent="0.25">
      <c r="A94" s="65"/>
      <c r="B94" s="64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</row>
    <row r="95" ht="15" customHeight="1" spans="1:14" x14ac:dyDescent="0.25">
      <c r="A95" s="61"/>
      <c r="B95" s="60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</row>
    <row r="96" ht="15" customHeight="1" spans="1:14" x14ac:dyDescent="0.25">
      <c r="A96" s="65"/>
      <c r="B96" s="64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</row>
    <row r="97" ht="15" customHeight="1" spans="1:14" x14ac:dyDescent="0.25">
      <c r="A97" s="61"/>
      <c r="B97" s="60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</row>
    <row r="98" ht="15" customHeight="1" spans="1:14" x14ac:dyDescent="0.25">
      <c r="A98" s="65"/>
      <c r="B98" s="64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</row>
    <row r="99" ht="15" customHeight="1" spans="1:14" x14ac:dyDescent="0.25">
      <c r="A99" s="61"/>
      <c r="B99" s="60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</row>
    <row r="100" ht="15" customHeight="1" spans="1:14" x14ac:dyDescent="0.25">
      <c r="A100" s="65"/>
      <c r="B100" s="64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</row>
    <row r="101" ht="15" customHeight="1" spans="1:14" x14ac:dyDescent="0.25">
      <c r="A101" s="61"/>
      <c r="B101" s="60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</row>
    <row r="102" ht="15" customHeight="1" spans="1:14" x14ac:dyDescent="0.25">
      <c r="A102" s="65"/>
      <c r="B102" s="64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</row>
    <row r="103" ht="15" customHeight="1" spans="1:14" x14ac:dyDescent="0.25">
      <c r="A103" s="61"/>
      <c r="B103" s="60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</row>
    <row r="104" ht="15" customHeight="1" spans="1:14" x14ac:dyDescent="0.25">
      <c r="A104" s="65"/>
      <c r="B104" s="64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</row>
    <row r="105" ht="15" customHeight="1" spans="1:14" x14ac:dyDescent="0.25">
      <c r="A105" s="61"/>
      <c r="B105" s="60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</row>
    <row r="106" ht="15" customHeight="1" spans="1:14" x14ac:dyDescent="0.25">
      <c r="A106" s="65"/>
      <c r="B106" s="64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</row>
    <row r="107" ht="15" customHeight="1" spans="1:14" x14ac:dyDescent="0.25">
      <c r="A107" s="61"/>
      <c r="B107" s="60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</row>
    <row r="108" ht="15" customHeight="1" spans="1:14" x14ac:dyDescent="0.25">
      <c r="A108" s="65"/>
      <c r="B108" s="64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</row>
    <row r="109" ht="15" customHeight="1" spans="1:14" x14ac:dyDescent="0.25">
      <c r="A109" s="61"/>
      <c r="B109" s="60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</row>
    <row r="110" ht="15" customHeight="1" spans="1:14" x14ac:dyDescent="0.25">
      <c r="A110" s="65"/>
      <c r="B110" s="64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</row>
    <row r="111" ht="15" customHeight="1" spans="1:14" x14ac:dyDescent="0.25">
      <c r="A111" s="61"/>
      <c r="B111" s="60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</row>
    <row r="112" ht="15" customHeight="1" spans="1:14" x14ac:dyDescent="0.25">
      <c r="A112" s="65"/>
      <c r="B112" s="64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</row>
    <row r="113" ht="15" customHeight="1" spans="1:14" x14ac:dyDescent="0.25">
      <c r="A113" s="61"/>
      <c r="B113" s="60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</row>
    <row r="114" ht="15" customHeight="1" spans="1:14" x14ac:dyDescent="0.25">
      <c r="A114" s="65"/>
      <c r="B114" s="64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</row>
    <row r="115" ht="15" customHeight="1" spans="1:14" x14ac:dyDescent="0.25">
      <c r="A115" s="61"/>
      <c r="B115" s="60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</row>
    <row r="116" ht="15" customHeight="1" spans="1:14" x14ac:dyDescent="0.25">
      <c r="A116" s="65"/>
      <c r="B116" s="64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</row>
    <row r="117" ht="15" customHeight="1" spans="1:14" x14ac:dyDescent="0.25">
      <c r="A117" s="61"/>
      <c r="B117" s="60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</row>
    <row r="118" ht="15" customHeight="1" spans="1:14" x14ac:dyDescent="0.25">
      <c r="A118" s="65"/>
      <c r="B118" s="64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</row>
    <row r="119" ht="15" customHeight="1" spans="1:14" x14ac:dyDescent="0.25">
      <c r="A119" s="61"/>
      <c r="B119" s="60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</row>
    <row r="120" ht="15" customHeight="1" spans="1:14" x14ac:dyDescent="0.25">
      <c r="A120" s="65"/>
      <c r="B120" s="64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</row>
    <row r="121" ht="15" customHeight="1" spans="1:14" x14ac:dyDescent="0.25">
      <c r="A121" s="61"/>
      <c r="B121" s="60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</row>
    <row r="122" ht="15" customHeight="1" spans="1:14" x14ac:dyDescent="0.25">
      <c r="A122" s="65"/>
      <c r="B122" s="64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</row>
    <row r="123" ht="15" customHeight="1" spans="1:14" x14ac:dyDescent="0.25">
      <c r="A123" s="61"/>
      <c r="B123" s="60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</row>
    <row r="124" ht="15" customHeight="1" spans="1:14" x14ac:dyDescent="0.25">
      <c r="A124" s="65"/>
      <c r="B124" s="64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</row>
    <row r="125" ht="15" customHeight="1" spans="1:14" x14ac:dyDescent="0.25">
      <c r="A125" s="61"/>
      <c r="B125" s="60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</row>
    <row r="126" ht="15" customHeight="1" spans="1:14" x14ac:dyDescent="0.25">
      <c r="A126" s="65"/>
      <c r="B126" s="64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</row>
    <row r="127" ht="15" customHeight="1" spans="1:14" x14ac:dyDescent="0.25">
      <c r="A127" s="61"/>
      <c r="B127" s="60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</row>
    <row r="128" ht="15" customHeight="1" spans="1:14" x14ac:dyDescent="0.25">
      <c r="A128" s="65"/>
      <c r="B128" s="64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</row>
    <row r="129" ht="15" customHeight="1" spans="1:14" x14ac:dyDescent="0.25">
      <c r="A129" s="61"/>
      <c r="B129" s="60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</row>
    <row r="130" ht="15" customHeight="1" spans="1:14" x14ac:dyDescent="0.25">
      <c r="A130" s="65"/>
      <c r="B130" s="64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</row>
    <row r="131" ht="15" customHeight="1" spans="1:14" x14ac:dyDescent="0.25">
      <c r="A131" s="61"/>
      <c r="B131" s="60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</row>
    <row r="132" ht="15" customHeight="1" spans="1:14" x14ac:dyDescent="0.25">
      <c r="A132" s="65"/>
      <c r="B132" s="64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</row>
    <row r="133" ht="15" customHeight="1" spans="1:14" x14ac:dyDescent="0.25">
      <c r="A133" s="61"/>
      <c r="B133" s="60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</row>
    <row r="134" ht="15" customHeight="1" spans="1:14" x14ac:dyDescent="0.25">
      <c r="A134" s="65"/>
      <c r="B134" s="64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</row>
    <row r="135" ht="15" customHeight="1" spans="1:14" x14ac:dyDescent="0.25">
      <c r="A135" s="61"/>
      <c r="B135" s="60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</row>
    <row r="136" ht="15" customHeight="1" spans="1:14" x14ac:dyDescent="0.25">
      <c r="A136" s="65"/>
      <c r="B136" s="64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</row>
    <row r="137" ht="15" customHeight="1" spans="1:14" x14ac:dyDescent="0.25">
      <c r="A137" s="61"/>
      <c r="B137" s="60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</row>
    <row r="138" ht="15" customHeight="1" spans="1:14" x14ac:dyDescent="0.25">
      <c r="A138" s="65"/>
      <c r="B138" s="64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</row>
    <row r="139" ht="15" customHeight="1" spans="1:14" x14ac:dyDescent="0.25">
      <c r="A139" s="61"/>
      <c r="B139" s="60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</row>
    <row r="140" ht="15" customHeight="1" spans="1:14" x14ac:dyDescent="0.25">
      <c r="A140" s="65"/>
      <c r="B140" s="64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</row>
    <row r="141" ht="15" customHeight="1" spans="1:14" x14ac:dyDescent="0.25">
      <c r="A141" s="61"/>
      <c r="B141" s="60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</row>
    <row r="142" ht="15" customHeight="1" spans="1:14" x14ac:dyDescent="0.25">
      <c r="A142" s="65"/>
      <c r="B142" s="64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</row>
    <row r="143" ht="15" customHeight="1" spans="1:14" x14ac:dyDescent="0.25">
      <c r="A143" s="61"/>
      <c r="B143" s="60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</row>
    <row r="144" ht="15" customHeight="1" spans="1:14" x14ac:dyDescent="0.25">
      <c r="A144" s="65"/>
      <c r="B144" s="64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</row>
    <row r="145" ht="15" customHeight="1" spans="1:14" x14ac:dyDescent="0.25">
      <c r="A145" s="61"/>
      <c r="B145" s="60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</row>
    <row r="146" ht="15" customHeight="1" spans="1:14" x14ac:dyDescent="0.25">
      <c r="A146" s="65"/>
      <c r="B146" s="64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</row>
    <row r="147" ht="15" customHeight="1" spans="1:14" x14ac:dyDescent="0.25">
      <c r="A147" s="61"/>
      <c r="B147" s="60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</row>
    <row r="148" ht="15" customHeight="1" spans="1:14" x14ac:dyDescent="0.25">
      <c r="A148" s="65"/>
      <c r="B148" s="64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</row>
    <row r="149" ht="15" customHeight="1" spans="1:14" x14ac:dyDescent="0.25">
      <c r="A149" s="61"/>
      <c r="B149" s="60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</row>
    <row r="150" ht="15" customHeight="1" spans="1:14" x14ac:dyDescent="0.25">
      <c r="A150" s="65"/>
      <c r="B150" s="64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</row>
    <row r="151" ht="15" customHeight="1" spans="1:14" x14ac:dyDescent="0.25">
      <c r="A151" s="61"/>
      <c r="B151" s="60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</row>
    <row r="152" ht="15" customHeight="1" spans="1:14" x14ac:dyDescent="0.25">
      <c r="A152" s="65"/>
      <c r="B152" s="64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</row>
    <row r="153" ht="15" customHeight="1" spans="1:14" x14ac:dyDescent="0.25">
      <c r="A153" s="61"/>
      <c r="B153" s="60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</row>
    <row r="154" ht="15" customHeight="1" spans="1:14" x14ac:dyDescent="0.25">
      <c r="A154" s="65"/>
      <c r="B154" s="64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</row>
    <row r="155" ht="15" customHeight="1" spans="1:14" x14ac:dyDescent="0.25">
      <c r="A155" s="61"/>
      <c r="B155" s="60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</row>
    <row r="156" ht="15" customHeight="1" spans="1:14" x14ac:dyDescent="0.25">
      <c r="A156" s="65"/>
      <c r="B156" s="64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</row>
    <row r="157" ht="15" customHeight="1" spans="1:14" x14ac:dyDescent="0.25">
      <c r="A157" s="61"/>
      <c r="B157" s="60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</row>
    <row r="158" ht="15" customHeight="1" spans="1:14" x14ac:dyDescent="0.25">
      <c r="A158" s="65"/>
      <c r="B158" s="64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</row>
    <row r="159" ht="15" customHeight="1" spans="1:14" x14ac:dyDescent="0.25">
      <c r="A159" s="61"/>
      <c r="B159" s="60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</row>
    <row r="160" ht="15" customHeight="1" spans="1:14" x14ac:dyDescent="0.25">
      <c r="A160" s="65"/>
      <c r="B160" s="64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</row>
    <row r="161" ht="15" customHeight="1" spans="1:14" x14ac:dyDescent="0.25">
      <c r="A161" s="61"/>
      <c r="B161" s="60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</row>
    <row r="162" ht="15" customHeight="1" spans="1:14" x14ac:dyDescent="0.25">
      <c r="A162" s="65"/>
      <c r="B162" s="64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</row>
    <row r="163" ht="15" customHeight="1" spans="1:14" x14ac:dyDescent="0.25">
      <c r="A163" s="61"/>
      <c r="B163" s="60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</row>
    <row r="164" ht="15" customHeight="1" spans="1:14" x14ac:dyDescent="0.25">
      <c r="A164" s="65"/>
      <c r="B164" s="64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</row>
    <row r="165" ht="15" customHeight="1" spans="1:14" x14ac:dyDescent="0.25">
      <c r="A165" s="61"/>
      <c r="B165" s="60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</row>
    <row r="166" ht="15" customHeight="1" spans="1:14" x14ac:dyDescent="0.25">
      <c r="A166" s="65"/>
      <c r="B166" s="64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</row>
    <row r="167" ht="15" customHeight="1" spans="1:14" x14ac:dyDescent="0.25">
      <c r="A167" s="61"/>
      <c r="B167" s="60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</row>
    <row r="168" ht="15" customHeight="1" spans="1:14" x14ac:dyDescent="0.25">
      <c r="A168" s="65"/>
      <c r="B168" s="64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</row>
    <row r="169" ht="15" customHeight="1" spans="1:14" x14ac:dyDescent="0.25">
      <c r="A169" s="61"/>
      <c r="B169" s="60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</row>
    <row r="170" ht="15" customHeight="1" spans="1:14" x14ac:dyDescent="0.25">
      <c r="A170" s="65"/>
      <c r="B170" s="64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</row>
    <row r="171" ht="15" customHeight="1" spans="1:14" x14ac:dyDescent="0.25">
      <c r="A171" s="61"/>
      <c r="B171" s="60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</row>
    <row r="172" ht="15" customHeight="1" spans="1:14" x14ac:dyDescent="0.25">
      <c r="A172" s="65"/>
      <c r="B172" s="64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</row>
    <row r="173" ht="15" customHeight="1" spans="1:14" x14ac:dyDescent="0.25">
      <c r="A173" s="61"/>
      <c r="B173" s="60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</row>
    <row r="174" ht="15" customHeight="1" spans="1:14" x14ac:dyDescent="0.25">
      <c r="A174" s="65"/>
      <c r="B174" s="64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</row>
    <row r="175" ht="15" customHeight="1" spans="1:14" x14ac:dyDescent="0.25">
      <c r="A175" s="61"/>
      <c r="B175" s="60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</row>
    <row r="176" ht="15" customHeight="1" spans="1:14" x14ac:dyDescent="0.25">
      <c r="A176" s="65"/>
      <c r="B176" s="64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</row>
    <row r="177" ht="15" customHeight="1" spans="1:14" x14ac:dyDescent="0.25">
      <c r="A177" s="61"/>
      <c r="B177" s="60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</row>
    <row r="178" ht="15" customHeight="1" spans="1:14" x14ac:dyDescent="0.25">
      <c r="A178" s="65"/>
      <c r="B178" s="64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</row>
    <row r="179" ht="15" customHeight="1" spans="1:14" x14ac:dyDescent="0.25">
      <c r="A179" s="61"/>
      <c r="B179" s="60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</row>
    <row r="180" ht="15" customHeight="1" spans="1:14" x14ac:dyDescent="0.25">
      <c r="A180" s="65"/>
      <c r="B180" s="64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</row>
    <row r="181" ht="15" customHeight="1" spans="1:14" x14ac:dyDescent="0.25">
      <c r="A181" s="61"/>
      <c r="B181" s="60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</row>
    <row r="182" ht="15" customHeight="1" spans="1:14" x14ac:dyDescent="0.25">
      <c r="A182" s="65"/>
      <c r="B182" s="64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</row>
    <row r="183" ht="15" customHeight="1" spans="1:14" x14ac:dyDescent="0.25">
      <c r="A183" s="61"/>
      <c r="B183" s="60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</row>
    <row r="184" ht="15" customHeight="1" spans="1:14" x14ac:dyDescent="0.25">
      <c r="A184" s="65"/>
      <c r="B184" s="64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</row>
    <row r="185" ht="15" customHeight="1" spans="1:14" x14ac:dyDescent="0.25">
      <c r="A185" s="61"/>
      <c r="B185" s="60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</row>
    <row r="186" ht="15" customHeight="1" spans="1:14" x14ac:dyDescent="0.25">
      <c r="A186" s="65"/>
      <c r="B186" s="64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</row>
    <row r="187" ht="15" customHeight="1" spans="1:14" x14ac:dyDescent="0.25">
      <c r="A187" s="61"/>
      <c r="B187" s="60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</row>
    <row r="188" ht="15" customHeight="1" spans="1:14" x14ac:dyDescent="0.25">
      <c r="A188" s="65"/>
      <c r="B188" s="64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</row>
    <row r="189" ht="15" customHeight="1" spans="1:14" x14ac:dyDescent="0.25">
      <c r="A189" s="61"/>
      <c r="B189" s="60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</row>
    <row r="190" ht="15" customHeight="1" spans="1:14" x14ac:dyDescent="0.25">
      <c r="A190" s="65"/>
      <c r="B190" s="64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</row>
    <row r="191" ht="15" customHeight="1" spans="1:14" x14ac:dyDescent="0.25">
      <c r="A191" s="61"/>
      <c r="B191" s="60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</row>
    <row r="192" ht="15" customHeight="1" spans="1:14" x14ac:dyDescent="0.25">
      <c r="A192" s="65"/>
      <c r="B192" s="64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</row>
    <row r="193" ht="15" customHeight="1" spans="1:14" x14ac:dyDescent="0.25">
      <c r="A193" s="61"/>
      <c r="B193" s="60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</row>
    <row r="194" ht="15" customHeight="1" spans="1:14" x14ac:dyDescent="0.25">
      <c r="A194" s="65"/>
      <c r="B194" s="64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</row>
    <row r="195" ht="15" customHeight="1" spans="1:14" x14ac:dyDescent="0.25">
      <c r="A195" s="61"/>
      <c r="B195" s="60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</row>
    <row r="196" ht="15" customHeight="1" spans="1:14" x14ac:dyDescent="0.25">
      <c r="A196" s="65"/>
      <c r="B196" s="64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</row>
    <row r="197" ht="15" customHeight="1" spans="1:14" x14ac:dyDescent="0.25">
      <c r="A197" s="61"/>
      <c r="B197" s="60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</row>
    <row r="198" ht="15" customHeight="1" spans="1:14" x14ac:dyDescent="0.25">
      <c r="A198" s="65"/>
      <c r="B198" s="64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</row>
    <row r="199" ht="15" customHeight="1" spans="1:14" x14ac:dyDescent="0.25">
      <c r="A199" s="61"/>
      <c r="B199" s="60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</row>
    <row r="200" ht="15" customHeight="1" spans="1:14" x14ac:dyDescent="0.25">
      <c r="A200" s="65"/>
      <c r="B200" s="64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</row>
    <row r="201" ht="15" customHeight="1" spans="1:14" x14ac:dyDescent="0.25">
      <c r="A201" s="61"/>
      <c r="B201" s="60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</row>
    <row r="202" ht="15" customHeight="1" spans="1:14" x14ac:dyDescent="0.25">
      <c r="A202" s="65"/>
      <c r="B202" s="64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</row>
    <row r="203" ht="15" customHeight="1" spans="1:14" x14ac:dyDescent="0.25">
      <c r="A203" s="61"/>
      <c r="B203" s="60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</row>
    <row r="204" ht="15" customHeight="1" spans="1:14" x14ac:dyDescent="0.25">
      <c r="A204" s="65"/>
      <c r="B204" s="64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</row>
    <row r="205" ht="15" customHeight="1" spans="1:14" x14ac:dyDescent="0.25">
      <c r="A205" s="61"/>
      <c r="B205" s="60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</row>
    <row r="206" ht="15" customHeight="1" spans="1:14" x14ac:dyDescent="0.25">
      <c r="A206" s="65"/>
      <c r="B206" s="64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</row>
    <row r="207" ht="15" customHeight="1" spans="1:14" x14ac:dyDescent="0.25">
      <c r="A207" s="61"/>
      <c r="B207" s="60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</row>
    <row r="208" ht="15" customHeight="1" spans="1:14" x14ac:dyDescent="0.25">
      <c r="A208" s="65"/>
      <c r="B208" s="64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</row>
    <row r="209" ht="15" customHeight="1" spans="1:14" x14ac:dyDescent="0.25">
      <c r="A209" s="61"/>
      <c r="B209" s="60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</row>
    <row r="210" ht="15" customHeight="1" spans="1:14" x14ac:dyDescent="0.25">
      <c r="A210" s="65"/>
      <c r="B210" s="64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</row>
    <row r="211" ht="15" customHeight="1" spans="1:14" x14ac:dyDescent="0.25">
      <c r="A211" s="61"/>
      <c r="B211" s="60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</row>
    <row r="212" ht="15" customHeight="1" spans="1:14" x14ac:dyDescent="0.25">
      <c r="A212" s="65"/>
      <c r="B212" s="64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</row>
    <row r="213" ht="15" customHeight="1" spans="1:14" x14ac:dyDescent="0.25">
      <c r="A213" s="61"/>
      <c r="B213" s="60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</row>
    <row r="214" ht="15" customHeight="1" spans="1:14" x14ac:dyDescent="0.25">
      <c r="A214" s="65"/>
      <c r="B214" s="64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</row>
    <row r="215" ht="15" customHeight="1" spans="1:14" x14ac:dyDescent="0.25">
      <c r="A215" s="61"/>
      <c r="B215" s="60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</row>
    <row r="216" ht="15" customHeight="1" spans="1:14" x14ac:dyDescent="0.25">
      <c r="A216" s="65"/>
      <c r="B216" s="64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</row>
    <row r="217" ht="15" customHeight="1" spans="1:14" x14ac:dyDescent="0.25">
      <c r="A217" s="61"/>
      <c r="B217" s="60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</row>
    <row r="218" ht="15" customHeight="1" spans="1:14" x14ac:dyDescent="0.25">
      <c r="A218" s="65"/>
      <c r="B218" s="64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</row>
    <row r="219" ht="15" customHeight="1" spans="1:14" x14ac:dyDescent="0.25">
      <c r="A219" s="61"/>
      <c r="B219" s="60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</row>
    <row r="220" ht="15" customHeight="1" spans="1:14" x14ac:dyDescent="0.25">
      <c r="A220" s="65"/>
      <c r="B220" s="64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</row>
    <row r="221" ht="15" customHeight="1" spans="1:14" x14ac:dyDescent="0.25">
      <c r="A221" s="61"/>
      <c r="B221" s="60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</row>
    <row r="222" ht="15" customHeight="1" spans="1:14" x14ac:dyDescent="0.25">
      <c r="A222" s="65"/>
      <c r="B222" s="64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</row>
    <row r="223" ht="15" customHeight="1" spans="1:14" x14ac:dyDescent="0.25">
      <c r="A223" s="61"/>
      <c r="B223" s="60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</row>
    <row r="224" ht="15" customHeight="1" spans="1:14" x14ac:dyDescent="0.25">
      <c r="A224" s="65"/>
      <c r="B224" s="64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</row>
    <row r="225" ht="15" customHeight="1" spans="1:14" x14ac:dyDescent="0.25">
      <c r="A225" s="61"/>
      <c r="B225" s="60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</row>
    <row r="226" ht="15" customHeight="1" spans="1:14" x14ac:dyDescent="0.25">
      <c r="A226" s="65"/>
      <c r="B226" s="64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</row>
    <row r="227" ht="15" customHeight="1" spans="1:14" x14ac:dyDescent="0.25">
      <c r="A227" s="61"/>
      <c r="B227" s="60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</row>
    <row r="228" ht="15" customHeight="1" spans="1:14" x14ac:dyDescent="0.25">
      <c r="A228" s="65"/>
      <c r="B228" s="64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</row>
    <row r="229" ht="15" customHeight="1" spans="1:14" x14ac:dyDescent="0.25">
      <c r="A229" s="61"/>
      <c r="B229" s="60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</row>
    <row r="230" ht="15" customHeight="1" spans="1:14" x14ac:dyDescent="0.25">
      <c r="A230" s="65"/>
      <c r="B230" s="64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</row>
    <row r="231" ht="15" customHeight="1" spans="1:14" x14ac:dyDescent="0.25">
      <c r="A231" s="61"/>
      <c r="B231" s="60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</row>
    <row r="232" ht="15" customHeight="1" spans="1:14" x14ac:dyDescent="0.25">
      <c r="A232" s="65"/>
      <c r="B232" s="64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</row>
    <row r="233" ht="15" customHeight="1" spans="1:14" x14ac:dyDescent="0.25">
      <c r="A233" s="61"/>
      <c r="B233" s="60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</row>
    <row r="234" ht="15" customHeight="1" spans="1:14" x14ac:dyDescent="0.25">
      <c r="A234" s="65"/>
      <c r="B234" s="64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</row>
    <row r="235" ht="15" customHeight="1" spans="1:14" x14ac:dyDescent="0.25">
      <c r="A235" s="61"/>
      <c r="B235" s="60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</row>
    <row r="236" ht="15" customHeight="1" spans="1:14" x14ac:dyDescent="0.25">
      <c r="A236" s="65"/>
      <c r="B236" s="64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</row>
    <row r="237" ht="15" customHeight="1" spans="1:14" x14ac:dyDescent="0.25">
      <c r="A237" s="61"/>
      <c r="B237" s="60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</row>
    <row r="238" ht="15" customHeight="1" spans="1:14" x14ac:dyDescent="0.25">
      <c r="A238" s="65"/>
      <c r="B238" s="64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</row>
    <row r="239" ht="15" customHeight="1" spans="1:14" x14ac:dyDescent="0.25">
      <c r="A239" s="61"/>
      <c r="B239" s="60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</row>
    <row r="240" ht="15" customHeight="1" spans="1:14" x14ac:dyDescent="0.25">
      <c r="A240" s="65"/>
      <c r="B240" s="64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</row>
    <row r="241" ht="15" customHeight="1" spans="1:14" x14ac:dyDescent="0.25">
      <c r="A241" s="61"/>
      <c r="B241" s="60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</row>
    <row r="242" ht="15" customHeight="1" spans="1:14" x14ac:dyDescent="0.25">
      <c r="A242" s="65"/>
      <c r="B242" s="64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</row>
    <row r="243" ht="15" customHeight="1" spans="1:14" x14ac:dyDescent="0.25">
      <c r="A243" s="61"/>
      <c r="B243" s="60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</row>
    <row r="244" ht="15" customHeight="1" spans="1:14" x14ac:dyDescent="0.25">
      <c r="A244" s="65"/>
      <c r="B244" s="64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</row>
    <row r="245" ht="15" customHeight="1" spans="1:14" x14ac:dyDescent="0.25">
      <c r="A245" s="61"/>
      <c r="B245" s="60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</row>
    <row r="246" ht="15" customHeight="1" spans="1:14" x14ac:dyDescent="0.25">
      <c r="A246" s="65"/>
      <c r="B246" s="64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</row>
    <row r="247" ht="15" customHeight="1" spans="1:14" x14ac:dyDescent="0.25">
      <c r="A247" s="61"/>
      <c r="B247" s="60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</row>
    <row r="248" ht="15" customHeight="1" spans="1:14" x14ac:dyDescent="0.25">
      <c r="A248" s="65"/>
      <c r="B248" s="64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</row>
    <row r="249" ht="15" customHeight="1" spans="1:14" x14ac:dyDescent="0.25">
      <c r="A249" s="61"/>
      <c r="B249" s="60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</row>
    <row r="250" ht="15" customHeight="1" spans="1:14" x14ac:dyDescent="0.25">
      <c r="A250" s="65"/>
      <c r="B250" s="64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</row>
    <row r="251" ht="15" customHeight="1" spans="1:14" x14ac:dyDescent="0.25">
      <c r="A251" s="61"/>
      <c r="B251" s="60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</row>
    <row r="252" ht="15" customHeight="1" spans="1:14" x14ac:dyDescent="0.25">
      <c r="A252" s="65"/>
      <c r="B252" s="64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</row>
    <row r="253" ht="15" customHeight="1" spans="1:14" x14ac:dyDescent="0.25">
      <c r="A253" s="61"/>
      <c r="B253" s="60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</row>
    <row r="254" ht="15" customHeight="1" spans="1:14" x14ac:dyDescent="0.25">
      <c r="A254" s="65"/>
      <c r="B254" s="64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</row>
    <row r="255" ht="15" customHeight="1" spans="1:14" x14ac:dyDescent="0.25">
      <c r="A255" s="61"/>
      <c r="B255" s="60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</row>
    <row r="256" ht="15" customHeight="1" spans="1:14" x14ac:dyDescent="0.25">
      <c r="A256" s="65"/>
      <c r="B256" s="64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</row>
    <row r="257" ht="15" customHeight="1" spans="1:14" x14ac:dyDescent="0.25">
      <c r="A257" s="61"/>
      <c r="B257" s="60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</row>
    <row r="258" ht="15" customHeight="1" spans="1:14" x14ac:dyDescent="0.25">
      <c r="A258" s="65"/>
      <c r="B258" s="64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</row>
    <row r="259" ht="15" customHeight="1" spans="1:14" x14ac:dyDescent="0.25">
      <c r="A259" s="61"/>
      <c r="B259" s="60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</row>
    <row r="260" ht="15" customHeight="1" spans="1:14" x14ac:dyDescent="0.25">
      <c r="A260" s="65"/>
      <c r="B260" s="64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</row>
    <row r="261" ht="15" customHeight="1" spans="1:14" x14ac:dyDescent="0.25">
      <c r="A261" s="61"/>
      <c r="B261" s="60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</row>
    <row r="262" ht="15" customHeight="1" spans="1:14" x14ac:dyDescent="0.25">
      <c r="A262" s="65"/>
      <c r="B262" s="64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</row>
    <row r="263" ht="15" customHeight="1" spans="1:14" x14ac:dyDescent="0.25">
      <c r="A263" s="61"/>
      <c r="B263" s="60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</row>
    <row r="264" ht="15" customHeight="1" spans="1:14" x14ac:dyDescent="0.25">
      <c r="A264" s="65"/>
      <c r="B264" s="64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</row>
    <row r="265" ht="15" customHeight="1" spans="1:14" x14ac:dyDescent="0.25">
      <c r="A265" s="61"/>
      <c r="B265" s="60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</row>
    <row r="266" ht="15" customHeight="1" spans="1:14" x14ac:dyDescent="0.25">
      <c r="A266" s="65"/>
      <c r="B266" s="64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</row>
    <row r="267" ht="15" customHeight="1" spans="1:14" x14ac:dyDescent="0.25">
      <c r="A267" s="61"/>
      <c r="B267" s="60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</row>
    <row r="268" ht="15" customHeight="1" spans="1:14" x14ac:dyDescent="0.25">
      <c r="A268" s="65"/>
      <c r="B268" s="64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</row>
    <row r="269" ht="15" customHeight="1" spans="1:14" x14ac:dyDescent="0.25">
      <c r="A269" s="61"/>
      <c r="B269" s="60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</row>
    <row r="270" ht="15" customHeight="1" spans="1:14" x14ac:dyDescent="0.25">
      <c r="A270" s="65"/>
      <c r="B270" s="64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</row>
    <row r="271" ht="15" customHeight="1" spans="1:14" x14ac:dyDescent="0.25">
      <c r="A271" s="61"/>
      <c r="B271" s="60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</row>
    <row r="272" ht="15" customHeight="1" spans="1:14" x14ac:dyDescent="0.25">
      <c r="A272" s="65"/>
      <c r="B272" s="64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</row>
    <row r="273" ht="15" customHeight="1" spans="1:14" x14ac:dyDescent="0.25">
      <c r="A273" s="61"/>
      <c r="B273" s="60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</row>
    <row r="274" ht="15" customHeight="1" spans="1:14" x14ac:dyDescent="0.25">
      <c r="A274" s="65"/>
      <c r="B274" s="64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</row>
    <row r="275" ht="15" customHeight="1" spans="1:14" x14ac:dyDescent="0.25">
      <c r="A275" s="61"/>
      <c r="B275" s="60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</row>
    <row r="276" ht="15" customHeight="1" spans="1:14" x14ac:dyDescent="0.25">
      <c r="A276" s="65"/>
      <c r="B276" s="64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</row>
    <row r="277" ht="15" customHeight="1" spans="1:14" x14ac:dyDescent="0.25">
      <c r="A277" s="61"/>
      <c r="B277" s="60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</row>
    <row r="278" ht="15" customHeight="1" spans="1:14" x14ac:dyDescent="0.25">
      <c r="A278" s="65"/>
      <c r="B278" s="64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</row>
    <row r="279" ht="15" customHeight="1" spans="1:14" x14ac:dyDescent="0.25">
      <c r="A279" s="61"/>
      <c r="B279" s="60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</row>
    <row r="280" ht="15" customHeight="1" spans="1:14" x14ac:dyDescent="0.25">
      <c r="A280" s="65"/>
      <c r="B280" s="64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</row>
    <row r="281" ht="15" customHeight="1" spans="1:14" x14ac:dyDescent="0.25">
      <c r="A281" s="61"/>
      <c r="B281" s="60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</row>
    <row r="282" ht="15" customHeight="1" spans="1:14" x14ac:dyDescent="0.25">
      <c r="A282" s="65"/>
      <c r="B282" s="64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</row>
    <row r="283" ht="15" customHeight="1" spans="1:14" x14ac:dyDescent="0.25">
      <c r="A283" s="61"/>
      <c r="B283" s="60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</row>
    <row r="284" ht="15" customHeight="1" spans="1:14" x14ac:dyDescent="0.25">
      <c r="A284" s="65"/>
      <c r="B284" s="64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</row>
    <row r="285" ht="15" customHeight="1" spans="1:14" x14ac:dyDescent="0.25">
      <c r="A285" s="61"/>
      <c r="B285" s="60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</row>
    <row r="286" ht="15" customHeight="1" spans="1:14" x14ac:dyDescent="0.25">
      <c r="A286" s="65"/>
      <c r="B286" s="64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</row>
    <row r="287" ht="15" customHeight="1" spans="1:14" x14ac:dyDescent="0.25">
      <c r="A287" s="61"/>
      <c r="B287" s="60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</row>
    <row r="288" ht="15" customHeight="1" spans="1:14" x14ac:dyDescent="0.25">
      <c r="A288" s="65"/>
      <c r="B288" s="64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</row>
    <row r="289" ht="15" customHeight="1" spans="1:14" x14ac:dyDescent="0.25">
      <c r="A289" s="61"/>
      <c r="B289" s="60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</row>
    <row r="290" ht="15" customHeight="1" spans="1:14" x14ac:dyDescent="0.25">
      <c r="A290" s="65"/>
      <c r="B290" s="64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</row>
    <row r="291" ht="15" customHeight="1" spans="1:14" x14ac:dyDescent="0.25">
      <c r="A291" s="61"/>
      <c r="B291" s="60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</row>
    <row r="292" ht="15" customHeight="1" spans="1:14" x14ac:dyDescent="0.25">
      <c r="A292" s="65"/>
      <c r="B292" s="64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</row>
    <row r="293" ht="15" customHeight="1" spans="1:14" x14ac:dyDescent="0.25">
      <c r="A293" s="61"/>
      <c r="B293" s="60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</row>
    <row r="294" ht="15" customHeight="1" spans="1:14" x14ac:dyDescent="0.25">
      <c r="A294" s="65"/>
      <c r="B294" s="64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</row>
    <row r="295" ht="15" customHeight="1" spans="1:14" x14ac:dyDescent="0.25">
      <c r="A295" s="61"/>
      <c r="B295" s="60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</row>
    <row r="296" ht="15" customHeight="1" spans="1:14" x14ac:dyDescent="0.25">
      <c r="A296" s="65"/>
      <c r="B296" s="64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</row>
    <row r="297" ht="15" customHeight="1" spans="1:14" x14ac:dyDescent="0.25">
      <c r="A297" s="61"/>
      <c r="B297" s="60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</row>
    <row r="298" ht="15" customHeight="1" spans="1:14" x14ac:dyDescent="0.25">
      <c r="A298" s="65"/>
      <c r="B298" s="64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</row>
    <row r="299" ht="15" customHeight="1" spans="1:14" x14ac:dyDescent="0.25">
      <c r="A299" s="61"/>
      <c r="B299" s="60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</row>
    <row r="300" ht="15" customHeight="1" spans="1:14" x14ac:dyDescent="0.25">
      <c r="A300" s="65"/>
      <c r="B300" s="64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</row>
    <row r="301" ht="15" customHeight="1" spans="1:14" x14ac:dyDescent="0.25">
      <c r="A301" s="61"/>
      <c r="B301" s="60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</row>
    <row r="302" ht="15" customHeight="1" spans="1:14" x14ac:dyDescent="0.25">
      <c r="A302" s="65"/>
      <c r="B302" s="64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</row>
    <row r="303" ht="15" customHeight="1" spans="1:14" x14ac:dyDescent="0.25">
      <c r="A303" s="61"/>
      <c r="B303" s="60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</row>
    <row r="304" ht="15" customHeight="1" spans="1:14" x14ac:dyDescent="0.25">
      <c r="A304" s="65"/>
      <c r="B304" s="64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</row>
    <row r="305" ht="15" customHeight="1" spans="1:14" x14ac:dyDescent="0.25">
      <c r="A305" s="61"/>
      <c r="B305" s="60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</row>
    <row r="306" ht="15" customHeight="1" spans="1:14" x14ac:dyDescent="0.25">
      <c r="A306" s="65"/>
      <c r="B306" s="64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</row>
    <row r="307" ht="15" customHeight="1" spans="1:14" x14ac:dyDescent="0.25">
      <c r="A307" s="61"/>
      <c r="B307" s="60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</row>
    <row r="308" ht="15" customHeight="1" spans="1:14" x14ac:dyDescent="0.25">
      <c r="A308" s="65"/>
      <c r="B308" s="64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</row>
    <row r="309" ht="15" customHeight="1" spans="1:14" x14ac:dyDescent="0.25">
      <c r="A309" s="61"/>
      <c r="B309" s="60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</row>
    <row r="310" ht="15" customHeight="1" spans="1:14" x14ac:dyDescent="0.25">
      <c r="A310" s="65"/>
      <c r="B310" s="64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</row>
    <row r="311" ht="15" customHeight="1" spans="1:14" x14ac:dyDescent="0.25">
      <c r="A311" s="61"/>
      <c r="B311" s="60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</row>
    <row r="312" ht="15" customHeight="1" spans="1:14" x14ac:dyDescent="0.25">
      <c r="A312" s="65"/>
      <c r="B312" s="64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</row>
    <row r="313" ht="15" customHeight="1" spans="1:14" x14ac:dyDescent="0.25">
      <c r="A313" s="61"/>
      <c r="B313" s="60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</row>
    <row r="314" ht="15" customHeight="1" spans="1:14" x14ac:dyDescent="0.25">
      <c r="A314" s="65"/>
      <c r="B314" s="64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</row>
    <row r="315" ht="15" customHeight="1" spans="1:14" x14ac:dyDescent="0.25">
      <c r="A315" s="61"/>
      <c r="B315" s="60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</row>
    <row r="316" ht="15" customHeight="1" spans="1:14" x14ac:dyDescent="0.25">
      <c r="A316" s="65"/>
      <c r="B316" s="64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</row>
    <row r="317" ht="15" customHeight="1" spans="1:14" x14ac:dyDescent="0.25">
      <c r="A317" s="61"/>
      <c r="B317" s="60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</row>
    <row r="318" ht="15" customHeight="1" spans="1:14" x14ac:dyDescent="0.25">
      <c r="A318" s="65"/>
      <c r="B318" s="64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</row>
    <row r="319" ht="15" customHeight="1" spans="1:14" x14ac:dyDescent="0.25">
      <c r="A319" s="61"/>
      <c r="B319" s="60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</row>
    <row r="320" ht="15" customHeight="1" spans="1:14" x14ac:dyDescent="0.25">
      <c r="A320" s="65"/>
      <c r="B320" s="64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</row>
    <row r="321" ht="15" customHeight="1" spans="1:14" x14ac:dyDescent="0.25">
      <c r="A321" s="61"/>
      <c r="B321" s="60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</row>
    <row r="322" ht="15" customHeight="1" spans="1:14" x14ac:dyDescent="0.25">
      <c r="A322" s="65"/>
      <c r="B322" s="64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</row>
    <row r="323" ht="15" customHeight="1" spans="1:14" x14ac:dyDescent="0.25">
      <c r="A323" s="61"/>
      <c r="B323" s="60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</row>
    <row r="324" ht="15" customHeight="1" spans="1:14" x14ac:dyDescent="0.25">
      <c r="A324" s="65"/>
      <c r="B324" s="64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</row>
    <row r="325" ht="15" customHeight="1" spans="1:14" x14ac:dyDescent="0.25">
      <c r="A325" s="61"/>
      <c r="B325" s="60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</row>
    <row r="326" ht="15" customHeight="1" spans="1:14" x14ac:dyDescent="0.25">
      <c r="A326" s="65"/>
      <c r="B326" s="64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</row>
    <row r="327" ht="15" customHeight="1" spans="1:14" x14ac:dyDescent="0.25">
      <c r="A327" s="61"/>
      <c r="B327" s="60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</row>
    <row r="328" ht="15" customHeight="1" spans="1:14" x14ac:dyDescent="0.25">
      <c r="A328" s="65"/>
      <c r="B328" s="64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</row>
    <row r="329" ht="15" customHeight="1" spans="1:14" x14ac:dyDescent="0.25">
      <c r="A329" s="61"/>
      <c r="B329" s="60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</row>
    <row r="330" ht="15" customHeight="1" spans="1:14" x14ac:dyDescent="0.25">
      <c r="A330" s="65"/>
      <c r="B330" s="64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</row>
    <row r="331" ht="15" customHeight="1" spans="1:14" x14ac:dyDescent="0.25">
      <c r="A331" s="61"/>
      <c r="B331" s="60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</row>
    <row r="332" ht="15" customHeight="1" spans="1:14" x14ac:dyDescent="0.25">
      <c r="A332" s="65"/>
      <c r="B332" s="64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</row>
    <row r="333" ht="15" customHeight="1" spans="1:14" x14ac:dyDescent="0.25">
      <c r="A333" s="61"/>
      <c r="B333" s="60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</row>
    <row r="334" ht="15" customHeight="1" spans="1:14" x14ac:dyDescent="0.25">
      <c r="A334" s="65"/>
      <c r="B334" s="64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</row>
    <row r="335" ht="15" customHeight="1" spans="1:14" x14ac:dyDescent="0.25">
      <c r="A335" s="61"/>
      <c r="B335" s="60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</row>
    <row r="336" ht="15" customHeight="1" spans="1:14" x14ac:dyDescent="0.25">
      <c r="A336" s="65"/>
      <c r="B336" s="64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</row>
    <row r="337" ht="15" customHeight="1" spans="1:14" x14ac:dyDescent="0.25">
      <c r="A337" s="61"/>
      <c r="B337" s="60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</row>
    <row r="338" ht="15" customHeight="1" spans="1:14" x14ac:dyDescent="0.25">
      <c r="A338" s="65"/>
      <c r="B338" s="64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</row>
    <row r="339" ht="15" customHeight="1" spans="1:14" x14ac:dyDescent="0.25">
      <c r="A339" s="61"/>
      <c r="B339" s="60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</row>
    <row r="340" ht="15" customHeight="1" spans="1:14" x14ac:dyDescent="0.25">
      <c r="A340" s="65"/>
      <c r="B340" s="64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</row>
    <row r="341" ht="15" customHeight="1" spans="1:14" x14ac:dyDescent="0.25">
      <c r="A341" s="61"/>
      <c r="B341" s="60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</row>
    <row r="342" ht="15" customHeight="1" spans="1:14" x14ac:dyDescent="0.25">
      <c r="A342" s="65"/>
      <c r="B342" s="64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</row>
    <row r="343" ht="15" customHeight="1" spans="1:14" x14ac:dyDescent="0.25">
      <c r="A343" s="61"/>
      <c r="B343" s="60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</row>
    <row r="344" ht="15" customHeight="1" spans="1:14" x14ac:dyDescent="0.25">
      <c r="A344" s="65"/>
      <c r="B344" s="64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</row>
    <row r="345" ht="15" customHeight="1" spans="1:14" x14ac:dyDescent="0.25">
      <c r="A345" s="61"/>
      <c r="B345" s="60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</row>
    <row r="346" ht="15" customHeight="1" spans="1:14" x14ac:dyDescent="0.25">
      <c r="A346" s="65"/>
      <c r="B346" s="64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</row>
    <row r="347" ht="15" customHeight="1" spans="1:14" x14ac:dyDescent="0.25">
      <c r="A347" s="61"/>
      <c r="B347" s="60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</row>
    <row r="348" ht="15" customHeight="1" spans="1:14" x14ac:dyDescent="0.25">
      <c r="A348" s="65"/>
      <c r="B348" s="64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</row>
    <row r="349" ht="15" customHeight="1" spans="1:14" x14ac:dyDescent="0.25">
      <c r="A349" s="61"/>
      <c r="B349" s="60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</row>
    <row r="350" ht="15" customHeight="1" spans="1:14" x14ac:dyDescent="0.25">
      <c r="A350" s="65"/>
      <c r="B350" s="64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</row>
    <row r="351" ht="15" customHeight="1" spans="1:14" x14ac:dyDescent="0.25">
      <c r="A351" s="61"/>
      <c r="B351" s="60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</row>
    <row r="352" ht="15" customHeight="1" spans="1:14" x14ac:dyDescent="0.25">
      <c r="A352" s="65"/>
      <c r="B352" s="64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</row>
    <row r="353" ht="15" customHeight="1" spans="1:14" x14ac:dyDescent="0.25">
      <c r="A353" s="61"/>
      <c r="B353" s="60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</row>
    <row r="354" ht="15" customHeight="1" spans="1:14" x14ac:dyDescent="0.25">
      <c r="A354" s="65"/>
      <c r="B354" s="64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</row>
    <row r="355" ht="15" customHeight="1" spans="1:14" x14ac:dyDescent="0.25">
      <c r="A355" s="61"/>
      <c r="B355" s="60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</row>
    <row r="356" ht="15" customHeight="1" spans="1:14" x14ac:dyDescent="0.25">
      <c r="A356" s="65"/>
      <c r="B356" s="64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</row>
    <row r="357" ht="15" customHeight="1" spans="1:14" x14ac:dyDescent="0.25">
      <c r="A357" s="61"/>
      <c r="B357" s="60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</row>
    <row r="358" ht="15" customHeight="1" spans="1:14" x14ac:dyDescent="0.25">
      <c r="A358" s="65"/>
      <c r="B358" s="64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</row>
    <row r="359" ht="15" customHeight="1" spans="1:14" x14ac:dyDescent="0.25">
      <c r="A359" s="61"/>
      <c r="B359" s="60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</row>
    <row r="360" ht="15" customHeight="1" spans="1:14" x14ac:dyDescent="0.25">
      <c r="A360" s="65"/>
      <c r="B360" s="64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</row>
    <row r="361" ht="15" customHeight="1" spans="1:14" x14ac:dyDescent="0.25">
      <c r="A361" s="61"/>
      <c r="B361" s="60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</row>
    <row r="362" ht="15" customHeight="1" spans="1:14" x14ac:dyDescent="0.25">
      <c r="A362" s="65"/>
      <c r="B362" s="64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</row>
    <row r="363" ht="15" customHeight="1" spans="1:14" x14ac:dyDescent="0.25">
      <c r="A363" s="61"/>
      <c r="B363" s="60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</row>
    <row r="364" ht="15" customHeight="1" spans="1:14" x14ac:dyDescent="0.25">
      <c r="A364" s="65"/>
      <c r="B364" s="64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</row>
    <row r="365" ht="15" customHeight="1" spans="1:14" x14ac:dyDescent="0.25">
      <c r="A365" s="61"/>
      <c r="B365" s="60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</row>
    <row r="366" ht="15" customHeight="1" spans="1:14" x14ac:dyDescent="0.25">
      <c r="A366" s="65"/>
      <c r="B366" s="64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</row>
    <row r="367" ht="15" customHeight="1" spans="1:14" x14ac:dyDescent="0.25">
      <c r="A367" s="61"/>
      <c r="B367" s="60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</row>
    <row r="368" ht="15" customHeight="1" spans="1:14" x14ac:dyDescent="0.25">
      <c r="A368" s="65"/>
      <c r="B368" s="64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</row>
    <row r="369" ht="15" customHeight="1" spans="1:14" x14ac:dyDescent="0.25">
      <c r="A369" s="61"/>
      <c r="B369" s="60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</row>
    <row r="370" ht="15" customHeight="1" spans="1:14" x14ac:dyDescent="0.25">
      <c r="A370" s="65"/>
      <c r="B370" s="64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</row>
    <row r="371" ht="15" customHeight="1" spans="1:14" x14ac:dyDescent="0.25">
      <c r="A371" s="61"/>
      <c r="B371" s="60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</row>
    <row r="372" ht="15" customHeight="1" spans="1:14" x14ac:dyDescent="0.25">
      <c r="A372" s="65"/>
      <c r="B372" s="64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</row>
    <row r="373" ht="15" customHeight="1" spans="1:14" x14ac:dyDescent="0.25">
      <c r="A373" s="61"/>
      <c r="B373" s="60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</row>
    <row r="374" ht="15" customHeight="1" spans="1:14" x14ac:dyDescent="0.25">
      <c r="A374" s="65"/>
      <c r="B374" s="64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</row>
    <row r="375" ht="15" customHeight="1" spans="1:14" x14ac:dyDescent="0.25">
      <c r="A375" s="61"/>
      <c r="B375" s="60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</row>
    <row r="376" ht="15" customHeight="1" spans="1:14" x14ac:dyDescent="0.25">
      <c r="A376" s="65"/>
      <c r="B376" s="64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</row>
    <row r="377" ht="15" customHeight="1" spans="1:14" x14ac:dyDescent="0.25">
      <c r="A377" s="61"/>
      <c r="B377" s="60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</row>
    <row r="378" ht="15" customHeight="1" spans="1:14" x14ac:dyDescent="0.25">
      <c r="A378" s="65"/>
      <c r="B378" s="64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</row>
    <row r="379" ht="15" customHeight="1" spans="1:14" x14ac:dyDescent="0.25">
      <c r="A379" s="61"/>
      <c r="B379" s="60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</row>
    <row r="380" ht="15" customHeight="1" spans="1:14" x14ac:dyDescent="0.25">
      <c r="A380" s="65"/>
      <c r="B380" s="64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</row>
    <row r="381" ht="15" customHeight="1" spans="1:14" x14ac:dyDescent="0.25">
      <c r="A381" s="61"/>
      <c r="B381" s="60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</row>
    <row r="382" ht="15" customHeight="1" spans="1:14" x14ac:dyDescent="0.25">
      <c r="A382" s="65"/>
      <c r="B382" s="64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</row>
    <row r="383" ht="15" customHeight="1" spans="1:14" x14ac:dyDescent="0.25">
      <c r="A383" s="61"/>
      <c r="B383" s="60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</row>
    <row r="384" ht="15" customHeight="1" spans="1:14" x14ac:dyDescent="0.25">
      <c r="A384" s="65"/>
      <c r="B384" s="64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</row>
    <row r="385" ht="15" customHeight="1" spans="1:14" x14ac:dyDescent="0.25">
      <c r="A385" s="61"/>
      <c r="B385" s="60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</row>
    <row r="386" ht="15" customHeight="1" spans="1:14" x14ac:dyDescent="0.25">
      <c r="A386" s="65"/>
      <c r="B386" s="64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</row>
    <row r="387" ht="15" customHeight="1" spans="1:14" x14ac:dyDescent="0.25">
      <c r="A387" s="61"/>
      <c r="B387" s="60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</row>
    <row r="388" ht="15" customHeight="1" spans="1:14" x14ac:dyDescent="0.25">
      <c r="A388" s="65"/>
      <c r="B388" s="64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</row>
    <row r="389" ht="15" customHeight="1" spans="1:14" x14ac:dyDescent="0.25">
      <c r="A389" s="61"/>
      <c r="B389" s="60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</row>
    <row r="390" ht="15" customHeight="1" spans="1:14" x14ac:dyDescent="0.25">
      <c r="A390" s="65"/>
      <c r="B390" s="64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</row>
    <row r="391" ht="15" customHeight="1" spans="1:14" x14ac:dyDescent="0.25">
      <c r="A391" s="61"/>
      <c r="B391" s="60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</row>
    <row r="392" ht="15" customHeight="1" spans="1:14" x14ac:dyDescent="0.25">
      <c r="A392" s="65"/>
      <c r="B392" s="64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</row>
    <row r="393" ht="15" customHeight="1" spans="1:14" x14ac:dyDescent="0.25">
      <c r="A393" s="61"/>
      <c r="B393" s="60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</row>
    <row r="394" ht="15" customHeight="1" spans="1:14" x14ac:dyDescent="0.25">
      <c r="A394" s="65"/>
      <c r="B394" s="64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</row>
    <row r="395" ht="15" customHeight="1" spans="1:14" x14ac:dyDescent="0.25">
      <c r="A395" s="61"/>
      <c r="B395" s="60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</row>
    <row r="396" ht="15" customHeight="1" spans="1:14" x14ac:dyDescent="0.25">
      <c r="A396" s="65"/>
      <c r="B396" s="64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</row>
    <row r="397" ht="15" customHeight="1" spans="1:14" x14ac:dyDescent="0.25">
      <c r="A397" s="61"/>
      <c r="B397" s="60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</row>
    <row r="398" ht="15" customHeight="1" spans="1:14" x14ac:dyDescent="0.25">
      <c r="A398" s="65"/>
      <c r="B398" s="64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</row>
    <row r="399" ht="15" customHeight="1" spans="1:14" x14ac:dyDescent="0.25">
      <c r="A399" s="61"/>
      <c r="B399" s="60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</row>
    <row r="400" ht="15" customHeight="1" spans="1:14" x14ac:dyDescent="0.25">
      <c r="A400" s="65"/>
      <c r="B400" s="64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</row>
    <row r="401" ht="15" customHeight="1" spans="1:14" x14ac:dyDescent="0.25">
      <c r="A401" s="61"/>
      <c r="B401" s="60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</row>
    <row r="402" ht="15" customHeight="1" spans="1:14" x14ac:dyDescent="0.25">
      <c r="A402" s="65"/>
      <c r="B402" s="64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</row>
    <row r="403" ht="15" customHeight="1" spans="1:14" x14ac:dyDescent="0.25">
      <c r="A403" s="61"/>
      <c r="B403" s="60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</row>
    <row r="404" ht="15" customHeight="1" spans="1:14" x14ac:dyDescent="0.25">
      <c r="A404" s="65"/>
      <c r="B404" s="64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</row>
  </sheetData>
  <autoFilter ref="A4:N404"/>
  <mergeCells count="3">
    <mergeCell ref="A1:N1"/>
    <mergeCell ref="A2:N2"/>
    <mergeCell ref="A3:N3"/>
  </mergeCells>
  <conditionalFormatting sqref="A5:N404">
    <cfRule type="expression" dxfId="33" priority="1">
      <formula>$K5="Fail"</formula>
    </cfRule>
    <cfRule type="expression" dxfId="34" priority="2">
      <formula>$K5="Blocked"</formula>
    </cfRule>
    <cfRule type="expression" dxfId="35" priority="3">
      <formula>$K5="Retest Required"</formula>
    </cfRule>
    <cfRule type="expression" dxfId="36" priority="4">
      <formula>$K5="Pass"</formula>
    </cfRule>
  </conditionalFormatting>
  <dataValidations count="4">
    <dataValidation type="list" allowBlank="1" showErrorMessage="1" errorStyle="warning" errorTitle="Value not in list" error="Pick a value from the drop-down, or override deliberately." sqref="C5:C404">
      <formula1>'13_Dropdowns'!$Q$2:$Q$18</formula1>
    </dataValidation>
    <dataValidation type="list" allowBlank="1" showErrorMessage="1" errorStyle="warning" errorTitle="Value not in list" error="Pick a value from the drop-down, or override deliberately." sqref="D5:D404">
      <formula1>'02_Work_Items'!$A$5:$A$511</formula1>
    </dataValidation>
    <dataValidation type="list" allowBlank="1" showErrorMessage="1" errorStyle="warning" errorTitle="Value not in list" error="Pick a value from the drop-down, or override deliberately." sqref="F5:F404">
      <formula1>'13_Dropdowns'!$I$2:$I$12</formula1>
    </dataValidation>
    <dataValidation type="list" allowBlank="1" showErrorMessage="1" errorStyle="warning" errorTitle="Value not in list" error="Pick a value from the drop-down, or override deliberately." sqref="K5:K404">
      <formula1>'13_Dropdowns'!$H$2:$H$6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E4E4E"/>
  </sheetPr>
  <dimension ref="A1:P30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2" width="12" customWidth="1"/>
    <col min="3" max="3" width="15" customWidth="1"/>
    <col min="4" max="4" width="30" customWidth="1"/>
    <col min="5" max="5" width="12" customWidth="1"/>
    <col min="6" max="6" width="10" customWidth="1"/>
    <col min="7" max="8" width="44" customWidth="1"/>
    <col min="9" max="10" width="32" customWidth="1"/>
    <col min="11" max="11" width="14" customWidth="1"/>
    <col min="12" max="12" width="16" customWidth="1"/>
    <col min="13" max="13" width="10" customWidth="1"/>
    <col min="14" max="14" width="20" customWidth="1"/>
    <col min="15" max="15" width="11" customWidth="1"/>
    <col min="16" max="16" width="32" customWidth="1"/>
  </cols>
  <sheetData>
    <row r="1" ht="26" customHeight="1" spans="1:16" x14ac:dyDescent="0.25">
      <c r="A1" s="33" t="s">
        <v>2488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ht="18" customHeight="1" spans="1:16" x14ac:dyDescent="0.25">
      <c r="A2" s="34" t="s">
        <v>2489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ht="16" customHeight="1" spans="1:16" x14ac:dyDescent="0.25">
      <c r="A3" s="59" t="s">
        <v>2459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ht="32" customHeight="1" spans="1:16" x14ac:dyDescent="0.25">
      <c r="A4" s="37" t="s">
        <v>2486</v>
      </c>
      <c r="B4" s="37" t="s">
        <v>2460</v>
      </c>
      <c r="C4" s="37" t="s">
        <v>209</v>
      </c>
      <c r="D4" s="37" t="s">
        <v>138</v>
      </c>
      <c r="E4" s="37" t="s">
        <v>2490</v>
      </c>
      <c r="F4" s="37" t="s">
        <v>118</v>
      </c>
      <c r="G4" s="37" t="s">
        <v>2491</v>
      </c>
      <c r="H4" s="37" t="s">
        <v>2492</v>
      </c>
      <c r="I4" s="37" t="s">
        <v>2493</v>
      </c>
      <c r="J4" s="37" t="s">
        <v>2494</v>
      </c>
      <c r="K4" s="37" t="s">
        <v>63</v>
      </c>
      <c r="L4" s="37" t="s">
        <v>220</v>
      </c>
      <c r="M4" s="37" t="s">
        <v>2495</v>
      </c>
      <c r="N4" s="37" t="s">
        <v>222</v>
      </c>
      <c r="O4" s="37" t="s">
        <v>2496</v>
      </c>
      <c r="P4" s="37" t="s">
        <v>225</v>
      </c>
    </row>
    <row r="5" ht="15" customHeight="1" spans="1:16" x14ac:dyDescent="0.25">
      <c r="A5" s="61"/>
      <c r="B5" s="60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</row>
    <row r="6" ht="15" customHeight="1" spans="1:16" x14ac:dyDescent="0.25">
      <c r="A6" s="65"/>
      <c r="B6" s="64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</row>
    <row r="7" ht="15" customHeight="1" spans="1:16" x14ac:dyDescent="0.25">
      <c r="A7" s="61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</row>
    <row r="8" ht="15" customHeight="1" spans="1:16" x14ac:dyDescent="0.25">
      <c r="A8" s="65"/>
      <c r="B8" s="64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</row>
    <row r="9" ht="15" customHeight="1" spans="1:16" x14ac:dyDescent="0.25">
      <c r="A9" s="61"/>
      <c r="B9" s="60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</row>
    <row r="10" ht="15" customHeight="1" spans="1:16" x14ac:dyDescent="0.25">
      <c r="A10" s="65"/>
      <c r="B10" s="64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</row>
    <row r="11" ht="15" customHeight="1" spans="1:16" x14ac:dyDescent="0.25">
      <c r="A11" s="61"/>
      <c r="B11" s="60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</row>
    <row r="12" ht="15" customHeight="1" spans="1:16" x14ac:dyDescent="0.25">
      <c r="A12" s="65"/>
      <c r="B12" s="64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</row>
    <row r="13" ht="15" customHeight="1" spans="1:16" x14ac:dyDescent="0.25">
      <c r="A13" s="61"/>
      <c r="B13" s="60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</row>
    <row r="14" ht="15" customHeight="1" spans="1:16" x14ac:dyDescent="0.25">
      <c r="A14" s="65"/>
      <c r="B14" s="64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</row>
    <row r="15" ht="15" customHeight="1" spans="1:16" x14ac:dyDescent="0.25">
      <c r="A15" s="61"/>
      <c r="B15" s="60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</row>
    <row r="16" ht="15" customHeight="1" spans="1:16" x14ac:dyDescent="0.25">
      <c r="A16" s="65"/>
      <c r="B16" s="64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</row>
    <row r="17" ht="15" customHeight="1" spans="1:16" x14ac:dyDescent="0.25">
      <c r="A17" s="61"/>
      <c r="B17" s="60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</row>
    <row r="18" ht="15" customHeight="1" spans="1:16" x14ac:dyDescent="0.25">
      <c r="A18" s="65"/>
      <c r="B18" s="64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</row>
    <row r="19" ht="15" customHeight="1" spans="1:16" x14ac:dyDescent="0.25">
      <c r="A19" s="61"/>
      <c r="B19" s="60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</row>
    <row r="20" ht="15" customHeight="1" spans="1:16" x14ac:dyDescent="0.25">
      <c r="A20" s="65"/>
      <c r="B20" s="64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</row>
    <row r="21" ht="15" customHeight="1" spans="1:16" x14ac:dyDescent="0.25">
      <c r="A21" s="61"/>
      <c r="B21" s="60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</row>
    <row r="22" ht="15" customHeight="1" spans="1:16" x14ac:dyDescent="0.25">
      <c r="A22" s="65"/>
      <c r="B22" s="64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</row>
    <row r="23" ht="15" customHeight="1" spans="1:16" x14ac:dyDescent="0.25">
      <c r="A23" s="61"/>
      <c r="B23" s="60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</row>
    <row r="24" ht="15" customHeight="1" spans="1:16" x14ac:dyDescent="0.25">
      <c r="A24" s="65"/>
      <c r="B24" s="64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</row>
    <row r="25" ht="15" customHeight="1" spans="1:16" x14ac:dyDescent="0.25">
      <c r="A25" s="61"/>
      <c r="B25" s="60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</row>
    <row r="26" ht="15" customHeight="1" spans="1:16" x14ac:dyDescent="0.25">
      <c r="A26" s="65"/>
      <c r="B26" s="64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</row>
    <row r="27" ht="15" customHeight="1" spans="1:16" x14ac:dyDescent="0.25">
      <c r="A27" s="61"/>
      <c r="B27" s="60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</row>
    <row r="28" ht="15" customHeight="1" spans="1:16" x14ac:dyDescent="0.25">
      <c r="A28" s="65"/>
      <c r="B28" s="64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</row>
    <row r="29" ht="15" customHeight="1" spans="1:16" x14ac:dyDescent="0.25">
      <c r="A29" s="61"/>
      <c r="B29" s="60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</row>
    <row r="30" ht="15" customHeight="1" spans="1:16" x14ac:dyDescent="0.25">
      <c r="A30" s="65"/>
      <c r="B30" s="64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</row>
    <row r="31" ht="15" customHeight="1" spans="1:16" x14ac:dyDescent="0.25">
      <c r="A31" s="61"/>
      <c r="B31" s="60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</row>
    <row r="32" ht="15" customHeight="1" spans="1:16" x14ac:dyDescent="0.25">
      <c r="A32" s="65"/>
      <c r="B32" s="64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</row>
    <row r="33" ht="15" customHeight="1" spans="1:16" x14ac:dyDescent="0.25">
      <c r="A33" s="61"/>
      <c r="B33" s="60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</row>
    <row r="34" ht="15" customHeight="1" spans="1:16" x14ac:dyDescent="0.25">
      <c r="A34" s="65"/>
      <c r="B34" s="64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</row>
    <row r="35" ht="15" customHeight="1" spans="1:16" x14ac:dyDescent="0.25">
      <c r="A35" s="61"/>
      <c r="B35" s="60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</row>
    <row r="36" ht="15" customHeight="1" spans="1:16" x14ac:dyDescent="0.25">
      <c r="A36" s="65"/>
      <c r="B36" s="64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</row>
    <row r="37" ht="15" customHeight="1" spans="1:16" x14ac:dyDescent="0.25">
      <c r="A37" s="61"/>
      <c r="B37" s="60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</row>
    <row r="38" ht="15" customHeight="1" spans="1:16" x14ac:dyDescent="0.25">
      <c r="A38" s="65"/>
      <c r="B38" s="64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</row>
    <row r="39" ht="15" customHeight="1" spans="1:16" x14ac:dyDescent="0.25">
      <c r="A39" s="61"/>
      <c r="B39" s="60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</row>
    <row r="40" ht="15" customHeight="1" spans="1:16" x14ac:dyDescent="0.25">
      <c r="A40" s="65"/>
      <c r="B40" s="64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</row>
    <row r="41" ht="15" customHeight="1" spans="1:16" x14ac:dyDescent="0.25">
      <c r="A41" s="61"/>
      <c r="B41" s="60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</row>
    <row r="42" ht="15" customHeight="1" spans="1:16" x14ac:dyDescent="0.25">
      <c r="A42" s="65"/>
      <c r="B42" s="64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</row>
    <row r="43" ht="15" customHeight="1" spans="1:16" x14ac:dyDescent="0.25">
      <c r="A43" s="61"/>
      <c r="B43" s="60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</row>
    <row r="44" ht="15" customHeight="1" spans="1:16" x14ac:dyDescent="0.25">
      <c r="A44" s="65"/>
      <c r="B44" s="64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</row>
    <row r="45" ht="15" customHeight="1" spans="1:16" x14ac:dyDescent="0.25">
      <c r="A45" s="61"/>
      <c r="B45" s="60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</row>
    <row r="46" ht="15" customHeight="1" spans="1:16" x14ac:dyDescent="0.25">
      <c r="A46" s="65"/>
      <c r="B46" s="64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</row>
    <row r="47" ht="15" customHeight="1" spans="1:16" x14ac:dyDescent="0.25">
      <c r="A47" s="61"/>
      <c r="B47" s="60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</row>
    <row r="48" ht="15" customHeight="1" spans="1:16" x14ac:dyDescent="0.25">
      <c r="A48" s="65"/>
      <c r="B48" s="64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</row>
    <row r="49" ht="15" customHeight="1" spans="1:16" x14ac:dyDescent="0.25">
      <c r="A49" s="61"/>
      <c r="B49" s="60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</row>
    <row r="50" ht="15" customHeight="1" spans="1:16" x14ac:dyDescent="0.25">
      <c r="A50" s="65"/>
      <c r="B50" s="64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</row>
    <row r="51" ht="15" customHeight="1" spans="1:16" x14ac:dyDescent="0.25">
      <c r="A51" s="61"/>
      <c r="B51" s="60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</row>
    <row r="52" ht="15" customHeight="1" spans="1:16" x14ac:dyDescent="0.25">
      <c r="A52" s="65"/>
      <c r="B52" s="64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</row>
    <row r="53" ht="15" customHeight="1" spans="1:16" x14ac:dyDescent="0.25">
      <c r="A53" s="61"/>
      <c r="B53" s="60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</row>
    <row r="54" ht="15" customHeight="1" spans="1:16" x14ac:dyDescent="0.25">
      <c r="A54" s="65"/>
      <c r="B54" s="64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</row>
    <row r="55" ht="15" customHeight="1" spans="1:16" x14ac:dyDescent="0.25">
      <c r="A55" s="61"/>
      <c r="B55" s="60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</row>
    <row r="56" ht="15" customHeight="1" spans="1:16" x14ac:dyDescent="0.25">
      <c r="A56" s="65"/>
      <c r="B56" s="64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</row>
    <row r="57" ht="15" customHeight="1" spans="1:16" x14ac:dyDescent="0.25">
      <c r="A57" s="61"/>
      <c r="B57" s="60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</row>
    <row r="58" ht="15" customHeight="1" spans="1:16" x14ac:dyDescent="0.25">
      <c r="A58" s="65"/>
      <c r="B58" s="64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</row>
    <row r="59" ht="15" customHeight="1" spans="1:16" x14ac:dyDescent="0.25">
      <c r="A59" s="61"/>
      <c r="B59" s="60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</row>
    <row r="60" ht="15" customHeight="1" spans="1:16" x14ac:dyDescent="0.25">
      <c r="A60" s="65"/>
      <c r="B60" s="64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</row>
    <row r="61" ht="15" customHeight="1" spans="1:16" x14ac:dyDescent="0.25">
      <c r="A61" s="61"/>
      <c r="B61" s="60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</row>
    <row r="62" ht="15" customHeight="1" spans="1:16" x14ac:dyDescent="0.25">
      <c r="A62" s="65"/>
      <c r="B62" s="64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</row>
    <row r="63" ht="15" customHeight="1" spans="1:16" x14ac:dyDescent="0.25">
      <c r="A63" s="61"/>
      <c r="B63" s="60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</row>
    <row r="64" ht="15" customHeight="1" spans="1:16" x14ac:dyDescent="0.25">
      <c r="A64" s="65"/>
      <c r="B64" s="64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</row>
    <row r="65" ht="15" customHeight="1" spans="1:16" x14ac:dyDescent="0.25">
      <c r="A65" s="61"/>
      <c r="B65" s="60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</row>
    <row r="66" ht="15" customHeight="1" spans="1:16" x14ac:dyDescent="0.25">
      <c r="A66" s="65"/>
      <c r="B66" s="64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</row>
    <row r="67" ht="15" customHeight="1" spans="1:16" x14ac:dyDescent="0.25">
      <c r="A67" s="61"/>
      <c r="B67" s="60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</row>
    <row r="68" ht="15" customHeight="1" spans="1:16" x14ac:dyDescent="0.25">
      <c r="A68" s="65"/>
      <c r="B68" s="64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</row>
    <row r="69" ht="15" customHeight="1" spans="1:16" x14ac:dyDescent="0.25">
      <c r="A69" s="61"/>
      <c r="B69" s="60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</row>
    <row r="70" ht="15" customHeight="1" spans="1:16" x14ac:dyDescent="0.25">
      <c r="A70" s="65"/>
      <c r="B70" s="64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</row>
    <row r="71" ht="15" customHeight="1" spans="1:16" x14ac:dyDescent="0.25">
      <c r="A71" s="61"/>
      <c r="B71" s="60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</row>
    <row r="72" ht="15" customHeight="1" spans="1:16" x14ac:dyDescent="0.25">
      <c r="A72" s="65"/>
      <c r="B72" s="64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</row>
    <row r="73" ht="15" customHeight="1" spans="1:16" x14ac:dyDescent="0.25">
      <c r="A73" s="61"/>
      <c r="B73" s="60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</row>
    <row r="74" ht="15" customHeight="1" spans="1:16" x14ac:dyDescent="0.25">
      <c r="A74" s="65"/>
      <c r="B74" s="64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</row>
    <row r="75" ht="15" customHeight="1" spans="1:16" x14ac:dyDescent="0.25">
      <c r="A75" s="61"/>
      <c r="B75" s="60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</row>
    <row r="76" ht="15" customHeight="1" spans="1:16" x14ac:dyDescent="0.25">
      <c r="A76" s="65"/>
      <c r="B76" s="64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</row>
    <row r="77" ht="15" customHeight="1" spans="1:16" x14ac:dyDescent="0.25">
      <c r="A77" s="61"/>
      <c r="B77" s="60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</row>
    <row r="78" ht="15" customHeight="1" spans="1:16" x14ac:dyDescent="0.25">
      <c r="A78" s="65"/>
      <c r="B78" s="64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</row>
    <row r="79" ht="15" customHeight="1" spans="1:16" x14ac:dyDescent="0.25">
      <c r="A79" s="61"/>
      <c r="B79" s="60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</row>
    <row r="80" ht="15" customHeight="1" spans="1:16" x14ac:dyDescent="0.25">
      <c r="A80" s="65"/>
      <c r="B80" s="64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</row>
    <row r="81" ht="15" customHeight="1" spans="1:16" x14ac:dyDescent="0.25">
      <c r="A81" s="61"/>
      <c r="B81" s="60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</row>
    <row r="82" ht="15" customHeight="1" spans="1:16" x14ac:dyDescent="0.25">
      <c r="A82" s="65"/>
      <c r="B82" s="64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</row>
    <row r="83" ht="15" customHeight="1" spans="1:16" x14ac:dyDescent="0.25">
      <c r="A83" s="61"/>
      <c r="B83" s="60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</row>
    <row r="84" ht="15" customHeight="1" spans="1:16" x14ac:dyDescent="0.25">
      <c r="A84" s="65"/>
      <c r="B84" s="64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</row>
    <row r="85" ht="15" customHeight="1" spans="1:16" x14ac:dyDescent="0.25">
      <c r="A85" s="61"/>
      <c r="B85" s="60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</row>
    <row r="86" ht="15" customHeight="1" spans="1:16" x14ac:dyDescent="0.25">
      <c r="A86" s="65"/>
      <c r="B86" s="64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</row>
    <row r="87" ht="15" customHeight="1" spans="1:16" x14ac:dyDescent="0.25">
      <c r="A87" s="61"/>
      <c r="B87" s="60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</row>
    <row r="88" ht="15" customHeight="1" spans="1:16" x14ac:dyDescent="0.25">
      <c r="A88" s="65"/>
      <c r="B88" s="64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</row>
    <row r="89" ht="15" customHeight="1" spans="1:16" x14ac:dyDescent="0.25">
      <c r="A89" s="61"/>
      <c r="B89" s="60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</row>
    <row r="90" ht="15" customHeight="1" spans="1:16" x14ac:dyDescent="0.25">
      <c r="A90" s="65"/>
      <c r="B90" s="64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</row>
    <row r="91" ht="15" customHeight="1" spans="1:16" x14ac:dyDescent="0.25">
      <c r="A91" s="61"/>
      <c r="B91" s="60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</row>
    <row r="92" ht="15" customHeight="1" spans="1:16" x14ac:dyDescent="0.25">
      <c r="A92" s="65"/>
      <c r="B92" s="64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</row>
    <row r="93" ht="15" customHeight="1" spans="1:16" x14ac:dyDescent="0.25">
      <c r="A93" s="61"/>
      <c r="B93" s="60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</row>
    <row r="94" ht="15" customHeight="1" spans="1:16" x14ac:dyDescent="0.25">
      <c r="A94" s="65"/>
      <c r="B94" s="64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</row>
    <row r="95" ht="15" customHeight="1" spans="1:16" x14ac:dyDescent="0.25">
      <c r="A95" s="61"/>
      <c r="B95" s="60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</row>
    <row r="96" ht="15" customHeight="1" spans="1:16" x14ac:dyDescent="0.25">
      <c r="A96" s="65"/>
      <c r="B96" s="64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</row>
    <row r="97" ht="15" customHeight="1" spans="1:16" x14ac:dyDescent="0.25">
      <c r="A97" s="61"/>
      <c r="B97" s="60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</row>
    <row r="98" ht="15" customHeight="1" spans="1:16" x14ac:dyDescent="0.25">
      <c r="A98" s="65"/>
      <c r="B98" s="64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</row>
    <row r="99" ht="15" customHeight="1" spans="1:16" x14ac:dyDescent="0.25">
      <c r="A99" s="61"/>
      <c r="B99" s="60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</row>
    <row r="100" ht="15" customHeight="1" spans="1:16" x14ac:dyDescent="0.25">
      <c r="A100" s="65"/>
      <c r="B100" s="64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</row>
    <row r="101" ht="15" customHeight="1" spans="1:16" x14ac:dyDescent="0.25">
      <c r="A101" s="61"/>
      <c r="B101" s="60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</row>
    <row r="102" ht="15" customHeight="1" spans="1:16" x14ac:dyDescent="0.25">
      <c r="A102" s="65"/>
      <c r="B102" s="64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</row>
    <row r="103" ht="15" customHeight="1" spans="1:16" x14ac:dyDescent="0.25">
      <c r="A103" s="61"/>
      <c r="B103" s="60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</row>
    <row r="104" ht="15" customHeight="1" spans="1:16" x14ac:dyDescent="0.25">
      <c r="A104" s="65"/>
      <c r="B104" s="64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</row>
    <row r="105" ht="15" customHeight="1" spans="1:16" x14ac:dyDescent="0.25">
      <c r="A105" s="61"/>
      <c r="B105" s="60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</row>
    <row r="106" ht="15" customHeight="1" spans="1:16" x14ac:dyDescent="0.25">
      <c r="A106" s="65"/>
      <c r="B106" s="64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</row>
    <row r="107" ht="15" customHeight="1" spans="1:16" x14ac:dyDescent="0.25">
      <c r="A107" s="61"/>
      <c r="B107" s="60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</row>
    <row r="108" ht="15" customHeight="1" spans="1:16" x14ac:dyDescent="0.25">
      <c r="A108" s="65"/>
      <c r="B108" s="64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</row>
    <row r="109" ht="15" customHeight="1" spans="1:16" x14ac:dyDescent="0.25">
      <c r="A109" s="61"/>
      <c r="B109" s="60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</row>
    <row r="110" ht="15" customHeight="1" spans="1:16" x14ac:dyDescent="0.25">
      <c r="A110" s="65"/>
      <c r="B110" s="64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</row>
    <row r="111" ht="15" customHeight="1" spans="1:16" x14ac:dyDescent="0.25">
      <c r="A111" s="61"/>
      <c r="B111" s="60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</row>
    <row r="112" ht="15" customHeight="1" spans="1:16" x14ac:dyDescent="0.25">
      <c r="A112" s="65"/>
      <c r="B112" s="64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</row>
    <row r="113" ht="15" customHeight="1" spans="1:16" x14ac:dyDescent="0.25">
      <c r="A113" s="61"/>
      <c r="B113" s="60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</row>
    <row r="114" ht="15" customHeight="1" spans="1:16" x14ac:dyDescent="0.25">
      <c r="A114" s="65"/>
      <c r="B114" s="64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</row>
    <row r="115" ht="15" customHeight="1" spans="1:16" x14ac:dyDescent="0.25">
      <c r="A115" s="61"/>
      <c r="B115" s="60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</row>
    <row r="116" ht="15" customHeight="1" spans="1:16" x14ac:dyDescent="0.25">
      <c r="A116" s="65"/>
      <c r="B116" s="64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</row>
    <row r="117" ht="15" customHeight="1" spans="1:16" x14ac:dyDescent="0.25">
      <c r="A117" s="61"/>
      <c r="B117" s="60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</row>
    <row r="118" ht="15" customHeight="1" spans="1:16" x14ac:dyDescent="0.25">
      <c r="A118" s="65"/>
      <c r="B118" s="64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</row>
    <row r="119" ht="15" customHeight="1" spans="1:16" x14ac:dyDescent="0.25">
      <c r="A119" s="61"/>
      <c r="B119" s="60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</row>
    <row r="120" ht="15" customHeight="1" spans="1:16" x14ac:dyDescent="0.25">
      <c r="A120" s="65"/>
      <c r="B120" s="64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</row>
    <row r="121" ht="15" customHeight="1" spans="1:16" x14ac:dyDescent="0.25">
      <c r="A121" s="61"/>
      <c r="B121" s="60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</row>
    <row r="122" ht="15" customHeight="1" spans="1:16" x14ac:dyDescent="0.25">
      <c r="A122" s="65"/>
      <c r="B122" s="64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</row>
    <row r="123" ht="15" customHeight="1" spans="1:16" x14ac:dyDescent="0.25">
      <c r="A123" s="61"/>
      <c r="B123" s="60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</row>
    <row r="124" ht="15" customHeight="1" spans="1:16" x14ac:dyDescent="0.25">
      <c r="A124" s="65"/>
      <c r="B124" s="64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</row>
    <row r="125" ht="15" customHeight="1" spans="1:16" x14ac:dyDescent="0.25">
      <c r="A125" s="61"/>
      <c r="B125" s="60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</row>
    <row r="126" ht="15" customHeight="1" spans="1:16" x14ac:dyDescent="0.25">
      <c r="A126" s="65"/>
      <c r="B126" s="64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</row>
    <row r="127" ht="15" customHeight="1" spans="1:16" x14ac:dyDescent="0.25">
      <c r="A127" s="61"/>
      <c r="B127" s="60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</row>
    <row r="128" ht="15" customHeight="1" spans="1:16" x14ac:dyDescent="0.25">
      <c r="A128" s="65"/>
      <c r="B128" s="64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</row>
    <row r="129" ht="15" customHeight="1" spans="1:16" x14ac:dyDescent="0.25">
      <c r="A129" s="61"/>
      <c r="B129" s="60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</row>
    <row r="130" ht="15" customHeight="1" spans="1:16" x14ac:dyDescent="0.25">
      <c r="A130" s="65"/>
      <c r="B130" s="64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</row>
    <row r="131" ht="15" customHeight="1" spans="1:16" x14ac:dyDescent="0.25">
      <c r="A131" s="61"/>
      <c r="B131" s="60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</row>
    <row r="132" ht="15" customHeight="1" spans="1:16" x14ac:dyDescent="0.25">
      <c r="A132" s="65"/>
      <c r="B132" s="64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</row>
    <row r="133" ht="15" customHeight="1" spans="1:16" x14ac:dyDescent="0.25">
      <c r="A133" s="61"/>
      <c r="B133" s="60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</row>
    <row r="134" ht="15" customHeight="1" spans="1:16" x14ac:dyDescent="0.25">
      <c r="A134" s="65"/>
      <c r="B134" s="64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</row>
    <row r="135" ht="15" customHeight="1" spans="1:16" x14ac:dyDescent="0.25">
      <c r="A135" s="61"/>
      <c r="B135" s="60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</row>
    <row r="136" ht="15" customHeight="1" spans="1:16" x14ac:dyDescent="0.25">
      <c r="A136" s="65"/>
      <c r="B136" s="64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</row>
    <row r="137" ht="15" customHeight="1" spans="1:16" x14ac:dyDescent="0.25">
      <c r="A137" s="61"/>
      <c r="B137" s="60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</row>
    <row r="138" ht="15" customHeight="1" spans="1:16" x14ac:dyDescent="0.25">
      <c r="A138" s="65"/>
      <c r="B138" s="64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</row>
    <row r="139" ht="15" customHeight="1" spans="1:16" x14ac:dyDescent="0.25">
      <c r="A139" s="61"/>
      <c r="B139" s="60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</row>
    <row r="140" ht="15" customHeight="1" spans="1:16" x14ac:dyDescent="0.25">
      <c r="A140" s="65"/>
      <c r="B140" s="64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</row>
    <row r="141" ht="15" customHeight="1" spans="1:16" x14ac:dyDescent="0.25">
      <c r="A141" s="61"/>
      <c r="B141" s="60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</row>
    <row r="142" ht="15" customHeight="1" spans="1:16" x14ac:dyDescent="0.25">
      <c r="A142" s="65"/>
      <c r="B142" s="64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</row>
    <row r="143" ht="15" customHeight="1" spans="1:16" x14ac:dyDescent="0.25">
      <c r="A143" s="61"/>
      <c r="B143" s="60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</row>
    <row r="144" ht="15" customHeight="1" spans="1:16" x14ac:dyDescent="0.25">
      <c r="A144" s="65"/>
      <c r="B144" s="64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</row>
    <row r="145" ht="15" customHeight="1" spans="1:16" x14ac:dyDescent="0.25">
      <c r="A145" s="61"/>
      <c r="B145" s="60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</row>
    <row r="146" ht="15" customHeight="1" spans="1:16" x14ac:dyDescent="0.25">
      <c r="A146" s="65"/>
      <c r="B146" s="64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</row>
    <row r="147" ht="15" customHeight="1" spans="1:16" x14ac:dyDescent="0.25">
      <c r="A147" s="61"/>
      <c r="B147" s="60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</row>
    <row r="148" ht="15" customHeight="1" spans="1:16" x14ac:dyDescent="0.25">
      <c r="A148" s="65"/>
      <c r="B148" s="64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</row>
    <row r="149" ht="15" customHeight="1" spans="1:16" x14ac:dyDescent="0.25">
      <c r="A149" s="61"/>
      <c r="B149" s="60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</row>
    <row r="150" ht="15" customHeight="1" spans="1:16" x14ac:dyDescent="0.25">
      <c r="A150" s="65"/>
      <c r="B150" s="64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</row>
    <row r="151" ht="15" customHeight="1" spans="1:16" x14ac:dyDescent="0.25">
      <c r="A151" s="61"/>
      <c r="B151" s="60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</row>
    <row r="152" ht="15" customHeight="1" spans="1:16" x14ac:dyDescent="0.25">
      <c r="A152" s="65"/>
      <c r="B152" s="64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</row>
    <row r="153" ht="15" customHeight="1" spans="1:16" x14ac:dyDescent="0.25">
      <c r="A153" s="61"/>
      <c r="B153" s="60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</row>
    <row r="154" ht="15" customHeight="1" spans="1:16" x14ac:dyDescent="0.25">
      <c r="A154" s="65"/>
      <c r="B154" s="64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</row>
    <row r="155" ht="15" customHeight="1" spans="1:16" x14ac:dyDescent="0.25">
      <c r="A155" s="61"/>
      <c r="B155" s="60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</row>
    <row r="156" ht="15" customHeight="1" spans="1:16" x14ac:dyDescent="0.25">
      <c r="A156" s="65"/>
      <c r="B156" s="64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</row>
    <row r="157" ht="15" customHeight="1" spans="1:16" x14ac:dyDescent="0.25">
      <c r="A157" s="61"/>
      <c r="B157" s="60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</row>
    <row r="158" ht="15" customHeight="1" spans="1:16" x14ac:dyDescent="0.25">
      <c r="A158" s="65"/>
      <c r="B158" s="64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</row>
    <row r="159" ht="15" customHeight="1" spans="1:16" x14ac:dyDescent="0.25">
      <c r="A159" s="61"/>
      <c r="B159" s="60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</row>
    <row r="160" ht="15" customHeight="1" spans="1:16" x14ac:dyDescent="0.25">
      <c r="A160" s="65"/>
      <c r="B160" s="64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</row>
    <row r="161" ht="15" customHeight="1" spans="1:16" x14ac:dyDescent="0.25">
      <c r="A161" s="61"/>
      <c r="B161" s="60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</row>
    <row r="162" ht="15" customHeight="1" spans="1:16" x14ac:dyDescent="0.25">
      <c r="A162" s="65"/>
      <c r="B162" s="64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</row>
    <row r="163" ht="15" customHeight="1" spans="1:16" x14ac:dyDescent="0.25">
      <c r="A163" s="61"/>
      <c r="B163" s="60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</row>
    <row r="164" ht="15" customHeight="1" spans="1:16" x14ac:dyDescent="0.25">
      <c r="A164" s="65"/>
      <c r="B164" s="64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</row>
    <row r="165" ht="15" customHeight="1" spans="1:16" x14ac:dyDescent="0.25">
      <c r="A165" s="61"/>
      <c r="B165" s="60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</row>
    <row r="166" ht="15" customHeight="1" spans="1:16" x14ac:dyDescent="0.25">
      <c r="A166" s="65"/>
      <c r="B166" s="64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</row>
    <row r="167" ht="15" customHeight="1" spans="1:16" x14ac:dyDescent="0.25">
      <c r="A167" s="61"/>
      <c r="B167" s="60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</row>
    <row r="168" ht="15" customHeight="1" spans="1:16" x14ac:dyDescent="0.25">
      <c r="A168" s="65"/>
      <c r="B168" s="64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</row>
    <row r="169" ht="15" customHeight="1" spans="1:16" x14ac:dyDescent="0.25">
      <c r="A169" s="61"/>
      <c r="B169" s="60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</row>
    <row r="170" ht="15" customHeight="1" spans="1:16" x14ac:dyDescent="0.25">
      <c r="A170" s="65"/>
      <c r="B170" s="64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</row>
    <row r="171" ht="15" customHeight="1" spans="1:16" x14ac:dyDescent="0.25">
      <c r="A171" s="61"/>
      <c r="B171" s="60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</row>
    <row r="172" ht="15" customHeight="1" spans="1:16" x14ac:dyDescent="0.25">
      <c r="A172" s="65"/>
      <c r="B172" s="64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</row>
    <row r="173" ht="15" customHeight="1" spans="1:16" x14ac:dyDescent="0.25">
      <c r="A173" s="61"/>
      <c r="B173" s="60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</row>
    <row r="174" ht="15" customHeight="1" spans="1:16" x14ac:dyDescent="0.25">
      <c r="A174" s="65"/>
      <c r="B174" s="64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</row>
    <row r="175" ht="15" customHeight="1" spans="1:16" x14ac:dyDescent="0.25">
      <c r="A175" s="61"/>
      <c r="B175" s="60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</row>
    <row r="176" ht="15" customHeight="1" spans="1:16" x14ac:dyDescent="0.25">
      <c r="A176" s="65"/>
      <c r="B176" s="64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</row>
    <row r="177" ht="15" customHeight="1" spans="1:16" x14ac:dyDescent="0.25">
      <c r="A177" s="61"/>
      <c r="B177" s="60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</row>
    <row r="178" ht="15" customHeight="1" spans="1:16" x14ac:dyDescent="0.25">
      <c r="A178" s="65"/>
      <c r="B178" s="64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</row>
    <row r="179" ht="15" customHeight="1" spans="1:16" x14ac:dyDescent="0.25">
      <c r="A179" s="61"/>
      <c r="B179" s="60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</row>
    <row r="180" ht="15" customHeight="1" spans="1:16" x14ac:dyDescent="0.25">
      <c r="A180" s="65"/>
      <c r="B180" s="64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</row>
    <row r="181" ht="15" customHeight="1" spans="1:16" x14ac:dyDescent="0.25">
      <c r="A181" s="61"/>
      <c r="B181" s="60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</row>
    <row r="182" ht="15" customHeight="1" spans="1:16" x14ac:dyDescent="0.25">
      <c r="A182" s="65"/>
      <c r="B182" s="64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</row>
    <row r="183" ht="15" customHeight="1" spans="1:16" x14ac:dyDescent="0.25">
      <c r="A183" s="61"/>
      <c r="B183" s="60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</row>
    <row r="184" ht="15" customHeight="1" spans="1:16" x14ac:dyDescent="0.25">
      <c r="A184" s="65"/>
      <c r="B184" s="64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</row>
    <row r="185" ht="15" customHeight="1" spans="1:16" x14ac:dyDescent="0.25">
      <c r="A185" s="61"/>
      <c r="B185" s="60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</row>
    <row r="186" ht="15" customHeight="1" spans="1:16" x14ac:dyDescent="0.25">
      <c r="A186" s="65"/>
      <c r="B186" s="64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</row>
    <row r="187" ht="15" customHeight="1" spans="1:16" x14ac:dyDescent="0.25">
      <c r="A187" s="61"/>
      <c r="B187" s="60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</row>
    <row r="188" ht="15" customHeight="1" spans="1:16" x14ac:dyDescent="0.25">
      <c r="A188" s="65"/>
      <c r="B188" s="64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</row>
    <row r="189" ht="15" customHeight="1" spans="1:16" x14ac:dyDescent="0.25">
      <c r="A189" s="61"/>
      <c r="B189" s="60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</row>
    <row r="190" ht="15" customHeight="1" spans="1:16" x14ac:dyDescent="0.25">
      <c r="A190" s="65"/>
      <c r="B190" s="64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</row>
    <row r="191" ht="15" customHeight="1" spans="1:16" x14ac:dyDescent="0.25">
      <c r="A191" s="61"/>
      <c r="B191" s="60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</row>
    <row r="192" ht="15" customHeight="1" spans="1:16" x14ac:dyDescent="0.25">
      <c r="A192" s="65"/>
      <c r="B192" s="64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</row>
    <row r="193" ht="15" customHeight="1" spans="1:16" x14ac:dyDescent="0.25">
      <c r="A193" s="61"/>
      <c r="B193" s="60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</row>
    <row r="194" ht="15" customHeight="1" spans="1:16" x14ac:dyDescent="0.25">
      <c r="A194" s="65"/>
      <c r="B194" s="64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</row>
    <row r="195" ht="15" customHeight="1" spans="1:16" x14ac:dyDescent="0.25">
      <c r="A195" s="61"/>
      <c r="B195" s="60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</row>
    <row r="196" ht="15" customHeight="1" spans="1:16" x14ac:dyDescent="0.25">
      <c r="A196" s="65"/>
      <c r="B196" s="64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</row>
    <row r="197" ht="15" customHeight="1" spans="1:16" x14ac:dyDescent="0.25">
      <c r="A197" s="61"/>
      <c r="B197" s="60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</row>
    <row r="198" ht="15" customHeight="1" spans="1:16" x14ac:dyDescent="0.25">
      <c r="A198" s="65"/>
      <c r="B198" s="64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</row>
    <row r="199" ht="15" customHeight="1" spans="1:16" x14ac:dyDescent="0.25">
      <c r="A199" s="61"/>
      <c r="B199" s="60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</row>
    <row r="200" ht="15" customHeight="1" spans="1:16" x14ac:dyDescent="0.25">
      <c r="A200" s="65"/>
      <c r="B200" s="64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</row>
    <row r="201" ht="15" customHeight="1" spans="1:16" x14ac:dyDescent="0.25">
      <c r="A201" s="61"/>
      <c r="B201" s="60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</row>
    <row r="202" ht="15" customHeight="1" spans="1:16" x14ac:dyDescent="0.25">
      <c r="A202" s="65"/>
      <c r="B202" s="64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</row>
    <row r="203" ht="15" customHeight="1" spans="1:16" x14ac:dyDescent="0.25">
      <c r="A203" s="61"/>
      <c r="B203" s="60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</row>
    <row r="204" ht="15" customHeight="1" spans="1:16" x14ac:dyDescent="0.25">
      <c r="A204" s="65"/>
      <c r="B204" s="64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</row>
    <row r="205" ht="15" customHeight="1" spans="1:16" x14ac:dyDescent="0.25">
      <c r="A205" s="61"/>
      <c r="B205" s="60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</row>
    <row r="206" ht="15" customHeight="1" spans="1:16" x14ac:dyDescent="0.25">
      <c r="A206" s="65"/>
      <c r="B206" s="64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</row>
    <row r="207" ht="15" customHeight="1" spans="1:16" x14ac:dyDescent="0.25">
      <c r="A207" s="61"/>
      <c r="B207" s="60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</row>
    <row r="208" ht="15" customHeight="1" spans="1:16" x14ac:dyDescent="0.25">
      <c r="A208" s="65"/>
      <c r="B208" s="64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</row>
    <row r="209" ht="15" customHeight="1" spans="1:16" x14ac:dyDescent="0.25">
      <c r="A209" s="61"/>
      <c r="B209" s="60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</row>
    <row r="210" ht="15" customHeight="1" spans="1:16" x14ac:dyDescent="0.25">
      <c r="A210" s="65"/>
      <c r="B210" s="64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</row>
    <row r="211" ht="15" customHeight="1" spans="1:16" x14ac:dyDescent="0.25">
      <c r="A211" s="61"/>
      <c r="B211" s="60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</row>
    <row r="212" ht="15" customHeight="1" spans="1:16" x14ac:dyDescent="0.25">
      <c r="A212" s="65"/>
      <c r="B212" s="64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</row>
    <row r="213" ht="15" customHeight="1" spans="1:16" x14ac:dyDescent="0.25">
      <c r="A213" s="61"/>
      <c r="B213" s="60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</row>
    <row r="214" ht="15" customHeight="1" spans="1:16" x14ac:dyDescent="0.25">
      <c r="A214" s="65"/>
      <c r="B214" s="64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</row>
    <row r="215" ht="15" customHeight="1" spans="1:16" x14ac:dyDescent="0.25">
      <c r="A215" s="61"/>
      <c r="B215" s="60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</row>
    <row r="216" ht="15" customHeight="1" spans="1:16" x14ac:dyDescent="0.25">
      <c r="A216" s="65"/>
      <c r="B216" s="64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</row>
    <row r="217" ht="15" customHeight="1" spans="1:16" x14ac:dyDescent="0.25">
      <c r="A217" s="61"/>
      <c r="B217" s="60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</row>
    <row r="218" ht="15" customHeight="1" spans="1:16" x14ac:dyDescent="0.25">
      <c r="A218" s="65"/>
      <c r="B218" s="64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</row>
    <row r="219" ht="15" customHeight="1" spans="1:16" x14ac:dyDescent="0.25">
      <c r="A219" s="61"/>
      <c r="B219" s="60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</row>
    <row r="220" ht="15" customHeight="1" spans="1:16" x14ac:dyDescent="0.25">
      <c r="A220" s="65"/>
      <c r="B220" s="64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</row>
    <row r="221" ht="15" customHeight="1" spans="1:16" x14ac:dyDescent="0.25">
      <c r="A221" s="61"/>
      <c r="B221" s="60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</row>
    <row r="222" ht="15" customHeight="1" spans="1:16" x14ac:dyDescent="0.25">
      <c r="A222" s="65"/>
      <c r="B222" s="64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</row>
    <row r="223" ht="15" customHeight="1" spans="1:16" x14ac:dyDescent="0.25">
      <c r="A223" s="61"/>
      <c r="B223" s="60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</row>
    <row r="224" ht="15" customHeight="1" spans="1:16" x14ac:dyDescent="0.25">
      <c r="A224" s="65"/>
      <c r="B224" s="64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</row>
    <row r="225" ht="15" customHeight="1" spans="1:16" x14ac:dyDescent="0.25">
      <c r="A225" s="61"/>
      <c r="B225" s="60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</row>
    <row r="226" ht="15" customHeight="1" spans="1:16" x14ac:dyDescent="0.25">
      <c r="A226" s="65"/>
      <c r="B226" s="64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</row>
    <row r="227" ht="15" customHeight="1" spans="1:16" x14ac:dyDescent="0.25">
      <c r="A227" s="61"/>
      <c r="B227" s="60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</row>
    <row r="228" ht="15" customHeight="1" spans="1:16" x14ac:dyDescent="0.25">
      <c r="A228" s="65"/>
      <c r="B228" s="64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</row>
    <row r="229" ht="15" customHeight="1" spans="1:16" x14ac:dyDescent="0.25">
      <c r="A229" s="61"/>
      <c r="B229" s="60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</row>
    <row r="230" ht="15" customHeight="1" spans="1:16" x14ac:dyDescent="0.25">
      <c r="A230" s="65"/>
      <c r="B230" s="64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</row>
    <row r="231" ht="15" customHeight="1" spans="1:16" x14ac:dyDescent="0.25">
      <c r="A231" s="61"/>
      <c r="B231" s="60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</row>
    <row r="232" ht="15" customHeight="1" spans="1:16" x14ac:dyDescent="0.25">
      <c r="A232" s="65"/>
      <c r="B232" s="64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</row>
    <row r="233" ht="15" customHeight="1" spans="1:16" x14ac:dyDescent="0.25">
      <c r="A233" s="61"/>
      <c r="B233" s="60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</row>
    <row r="234" ht="15" customHeight="1" spans="1:16" x14ac:dyDescent="0.25">
      <c r="A234" s="65"/>
      <c r="B234" s="64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</row>
    <row r="235" ht="15" customHeight="1" spans="1:16" x14ac:dyDescent="0.25">
      <c r="A235" s="61"/>
      <c r="B235" s="60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</row>
    <row r="236" ht="15" customHeight="1" spans="1:16" x14ac:dyDescent="0.25">
      <c r="A236" s="65"/>
      <c r="B236" s="64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</row>
    <row r="237" ht="15" customHeight="1" spans="1:16" x14ac:dyDescent="0.25">
      <c r="A237" s="61"/>
      <c r="B237" s="60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</row>
    <row r="238" ht="15" customHeight="1" spans="1:16" x14ac:dyDescent="0.25">
      <c r="A238" s="65"/>
      <c r="B238" s="64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</row>
    <row r="239" ht="15" customHeight="1" spans="1:16" x14ac:dyDescent="0.25">
      <c r="A239" s="61"/>
      <c r="B239" s="60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</row>
    <row r="240" ht="15" customHeight="1" spans="1:16" x14ac:dyDescent="0.25">
      <c r="A240" s="65"/>
      <c r="B240" s="64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</row>
    <row r="241" ht="15" customHeight="1" spans="1:16" x14ac:dyDescent="0.25">
      <c r="A241" s="61"/>
      <c r="B241" s="60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</row>
    <row r="242" ht="15" customHeight="1" spans="1:16" x14ac:dyDescent="0.25">
      <c r="A242" s="65"/>
      <c r="B242" s="64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</row>
    <row r="243" ht="15" customHeight="1" spans="1:16" x14ac:dyDescent="0.25">
      <c r="A243" s="61"/>
      <c r="B243" s="60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</row>
    <row r="244" ht="15" customHeight="1" spans="1:16" x14ac:dyDescent="0.25">
      <c r="A244" s="65"/>
      <c r="B244" s="64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</row>
    <row r="245" ht="15" customHeight="1" spans="1:16" x14ac:dyDescent="0.25">
      <c r="A245" s="61"/>
      <c r="B245" s="60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</row>
    <row r="246" ht="15" customHeight="1" spans="1:16" x14ac:dyDescent="0.25">
      <c r="A246" s="65"/>
      <c r="B246" s="64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</row>
    <row r="247" ht="15" customHeight="1" spans="1:16" x14ac:dyDescent="0.25">
      <c r="A247" s="61"/>
      <c r="B247" s="60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</row>
    <row r="248" ht="15" customHeight="1" spans="1:16" x14ac:dyDescent="0.25">
      <c r="A248" s="65"/>
      <c r="B248" s="64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</row>
    <row r="249" ht="15" customHeight="1" spans="1:16" x14ac:dyDescent="0.25">
      <c r="A249" s="61"/>
      <c r="B249" s="60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</row>
    <row r="250" ht="15" customHeight="1" spans="1:16" x14ac:dyDescent="0.25">
      <c r="A250" s="65"/>
      <c r="B250" s="64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</row>
    <row r="251" ht="15" customHeight="1" spans="1:16" x14ac:dyDescent="0.25">
      <c r="A251" s="61"/>
      <c r="B251" s="60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</row>
    <row r="252" ht="15" customHeight="1" spans="1:16" x14ac:dyDescent="0.25">
      <c r="A252" s="65"/>
      <c r="B252" s="64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</row>
    <row r="253" ht="15" customHeight="1" spans="1:16" x14ac:dyDescent="0.25">
      <c r="A253" s="61"/>
      <c r="B253" s="60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</row>
    <row r="254" ht="15" customHeight="1" spans="1:16" x14ac:dyDescent="0.25">
      <c r="A254" s="65"/>
      <c r="B254" s="64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</row>
    <row r="255" ht="15" customHeight="1" spans="1:16" x14ac:dyDescent="0.25">
      <c r="A255" s="61"/>
      <c r="B255" s="60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</row>
    <row r="256" ht="15" customHeight="1" spans="1:16" x14ac:dyDescent="0.25">
      <c r="A256" s="65"/>
      <c r="B256" s="64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</row>
    <row r="257" ht="15" customHeight="1" spans="1:16" x14ac:dyDescent="0.25">
      <c r="A257" s="61"/>
      <c r="B257" s="60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</row>
    <row r="258" ht="15" customHeight="1" spans="1:16" x14ac:dyDescent="0.25">
      <c r="A258" s="65"/>
      <c r="B258" s="64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</row>
    <row r="259" ht="15" customHeight="1" spans="1:16" x14ac:dyDescent="0.25">
      <c r="A259" s="61"/>
      <c r="B259" s="60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</row>
    <row r="260" ht="15" customHeight="1" spans="1:16" x14ac:dyDescent="0.25">
      <c r="A260" s="65"/>
      <c r="B260" s="64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</row>
    <row r="261" ht="15" customHeight="1" spans="1:16" x14ac:dyDescent="0.25">
      <c r="A261" s="61"/>
      <c r="B261" s="60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</row>
    <row r="262" ht="15" customHeight="1" spans="1:16" x14ac:dyDescent="0.25">
      <c r="A262" s="65"/>
      <c r="B262" s="64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</row>
    <row r="263" ht="15" customHeight="1" spans="1:16" x14ac:dyDescent="0.25">
      <c r="A263" s="61"/>
      <c r="B263" s="60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</row>
    <row r="264" ht="15" customHeight="1" spans="1:16" x14ac:dyDescent="0.25">
      <c r="A264" s="65"/>
      <c r="B264" s="64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</row>
    <row r="265" ht="15" customHeight="1" spans="1:16" x14ac:dyDescent="0.25">
      <c r="A265" s="61"/>
      <c r="B265" s="60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</row>
    <row r="266" ht="15" customHeight="1" spans="1:16" x14ac:dyDescent="0.25">
      <c r="A266" s="65"/>
      <c r="B266" s="64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</row>
    <row r="267" ht="15" customHeight="1" spans="1:16" x14ac:dyDescent="0.25">
      <c r="A267" s="61"/>
      <c r="B267" s="60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</row>
    <row r="268" ht="15" customHeight="1" spans="1:16" x14ac:dyDescent="0.25">
      <c r="A268" s="65"/>
      <c r="B268" s="64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</row>
    <row r="269" ht="15" customHeight="1" spans="1:16" x14ac:dyDescent="0.25">
      <c r="A269" s="61"/>
      <c r="B269" s="60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</row>
    <row r="270" ht="15" customHeight="1" spans="1:16" x14ac:dyDescent="0.25">
      <c r="A270" s="65"/>
      <c r="B270" s="64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</row>
    <row r="271" ht="15" customHeight="1" spans="1:16" x14ac:dyDescent="0.25">
      <c r="A271" s="61"/>
      <c r="B271" s="60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</row>
    <row r="272" ht="15" customHeight="1" spans="1:16" x14ac:dyDescent="0.25">
      <c r="A272" s="65"/>
      <c r="B272" s="64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</row>
    <row r="273" ht="15" customHeight="1" spans="1:16" x14ac:dyDescent="0.25">
      <c r="A273" s="61"/>
      <c r="B273" s="60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</row>
    <row r="274" ht="15" customHeight="1" spans="1:16" x14ac:dyDescent="0.25">
      <c r="A274" s="65"/>
      <c r="B274" s="64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</row>
    <row r="275" ht="15" customHeight="1" spans="1:16" x14ac:dyDescent="0.25">
      <c r="A275" s="61"/>
      <c r="B275" s="60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</row>
    <row r="276" ht="15" customHeight="1" spans="1:16" x14ac:dyDescent="0.25">
      <c r="A276" s="65"/>
      <c r="B276" s="64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</row>
    <row r="277" ht="15" customHeight="1" spans="1:16" x14ac:dyDescent="0.25">
      <c r="A277" s="61"/>
      <c r="B277" s="60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</row>
    <row r="278" ht="15" customHeight="1" spans="1:16" x14ac:dyDescent="0.25">
      <c r="A278" s="65"/>
      <c r="B278" s="64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</row>
    <row r="279" ht="15" customHeight="1" spans="1:16" x14ac:dyDescent="0.25">
      <c r="A279" s="61"/>
      <c r="B279" s="60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</row>
    <row r="280" ht="15" customHeight="1" spans="1:16" x14ac:dyDescent="0.25">
      <c r="A280" s="65"/>
      <c r="B280" s="64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</row>
    <row r="281" ht="15" customHeight="1" spans="1:16" x14ac:dyDescent="0.25">
      <c r="A281" s="61"/>
      <c r="B281" s="60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</row>
    <row r="282" ht="15" customHeight="1" spans="1:16" x14ac:dyDescent="0.25">
      <c r="A282" s="65"/>
      <c r="B282" s="64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</row>
    <row r="283" ht="15" customHeight="1" spans="1:16" x14ac:dyDescent="0.25">
      <c r="A283" s="61"/>
      <c r="B283" s="60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</row>
    <row r="284" ht="15" customHeight="1" spans="1:16" x14ac:dyDescent="0.25">
      <c r="A284" s="65"/>
      <c r="B284" s="64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</row>
    <row r="285" ht="15" customHeight="1" spans="1:16" x14ac:dyDescent="0.25">
      <c r="A285" s="61"/>
      <c r="B285" s="60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</row>
    <row r="286" ht="15" customHeight="1" spans="1:16" x14ac:dyDescent="0.25">
      <c r="A286" s="65"/>
      <c r="B286" s="64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</row>
    <row r="287" ht="15" customHeight="1" spans="1:16" x14ac:dyDescent="0.25">
      <c r="A287" s="61"/>
      <c r="B287" s="60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</row>
    <row r="288" ht="15" customHeight="1" spans="1:16" x14ac:dyDescent="0.25">
      <c r="A288" s="65"/>
      <c r="B288" s="64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</row>
    <row r="289" ht="15" customHeight="1" spans="1:16" x14ac:dyDescent="0.25">
      <c r="A289" s="61"/>
      <c r="B289" s="60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</row>
    <row r="290" ht="15" customHeight="1" spans="1:16" x14ac:dyDescent="0.25">
      <c r="A290" s="65"/>
      <c r="B290" s="64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</row>
    <row r="291" ht="15" customHeight="1" spans="1:16" x14ac:dyDescent="0.25">
      <c r="A291" s="61"/>
      <c r="B291" s="60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</row>
    <row r="292" ht="15" customHeight="1" spans="1:16" x14ac:dyDescent="0.25">
      <c r="A292" s="65"/>
      <c r="B292" s="64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</row>
    <row r="293" ht="15" customHeight="1" spans="1:16" x14ac:dyDescent="0.25">
      <c r="A293" s="61"/>
      <c r="B293" s="60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</row>
    <row r="294" ht="15" customHeight="1" spans="1:16" x14ac:dyDescent="0.25">
      <c r="A294" s="65"/>
      <c r="B294" s="64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</row>
    <row r="295" ht="15" customHeight="1" spans="1:16" x14ac:dyDescent="0.25">
      <c r="A295" s="61"/>
      <c r="B295" s="60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</row>
    <row r="296" ht="15" customHeight="1" spans="1:16" x14ac:dyDescent="0.25">
      <c r="A296" s="65"/>
      <c r="B296" s="64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</row>
    <row r="297" ht="15" customHeight="1" spans="1:16" x14ac:dyDescent="0.25">
      <c r="A297" s="61"/>
      <c r="B297" s="60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</row>
    <row r="298" ht="15" customHeight="1" spans="1:16" x14ac:dyDescent="0.25">
      <c r="A298" s="65"/>
      <c r="B298" s="64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</row>
    <row r="299" ht="15" customHeight="1" spans="1:16" x14ac:dyDescent="0.25">
      <c r="A299" s="61"/>
      <c r="B299" s="60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</row>
    <row r="300" ht="15" customHeight="1" spans="1:16" x14ac:dyDescent="0.25">
      <c r="A300" s="65"/>
      <c r="B300" s="64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</row>
    <row r="301" ht="15" customHeight="1" spans="1:16" x14ac:dyDescent="0.25">
      <c r="A301" s="61"/>
      <c r="B301" s="60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</row>
    <row r="302" ht="15" customHeight="1" spans="1:16" x14ac:dyDescent="0.25">
      <c r="A302" s="65"/>
      <c r="B302" s="64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</row>
    <row r="303" ht="15" customHeight="1" spans="1:16" x14ac:dyDescent="0.25">
      <c r="A303" s="61"/>
      <c r="B303" s="60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</row>
    <row r="304" ht="15" customHeight="1" spans="1:16" x14ac:dyDescent="0.25">
      <c r="A304" s="65"/>
      <c r="B304" s="64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</row>
  </sheetData>
  <autoFilter ref="A4:P304"/>
  <mergeCells count="3">
    <mergeCell ref="A1:P1"/>
    <mergeCell ref="A2:P2"/>
    <mergeCell ref="A3:P3"/>
  </mergeCells>
  <conditionalFormatting sqref="A5:P304">
    <cfRule type="expression" dxfId="37" priority="1">
      <formula>AND($E5="Critical",$K5&lt;&gt;"Closed")</formula>
    </cfRule>
    <cfRule type="expression" dxfId="38" priority="2">
      <formula>AND($E5="High",$K5&lt;&gt;"Closed")</formula>
    </cfRule>
    <cfRule type="expression" dxfId="39" priority="3">
      <formula>$K5="Closed"</formula>
    </cfRule>
  </conditionalFormatting>
  <dataValidations count="6">
    <dataValidation type="list" allowBlank="1" showErrorMessage="1" errorStyle="warning" errorTitle="Value not in list" error="Pick a value from the drop-down, or override deliberately." sqref="C5:C304">
      <formula1>'02_Work_Items'!$A$5:$A$511</formula1>
    </dataValidation>
    <dataValidation type="list" allowBlank="1" showErrorMessage="1" errorStyle="warning" errorTitle="Value not in list" error="Pick a value from the drop-down, or override deliberately." sqref="E5:E304">
      <formula1>'13_Dropdowns'!$J$2:$J$5</formula1>
    </dataValidation>
    <dataValidation type="list" allowBlank="1" showErrorMessage="1" errorStyle="warning" errorTitle="Value not in list" error="Pick a value from the drop-down, or override deliberately." sqref="F5:F304">
      <formula1>'13_Dropdowns'!$E$2:$E$4</formula1>
    </dataValidation>
    <dataValidation type="list" allowBlank="1" showErrorMessage="1" errorStyle="warning" errorTitle="Value not in list" error="Pick a value from the drop-down, or override deliberately." sqref="K5:K304">
      <formula1>'13_Dropdowns'!$K$2:$K$8</formula1>
    </dataValidation>
    <dataValidation type="list" allowBlank="1" showErrorMessage="1" errorStyle="warning" errorTitle="Value not in list" error="Pick a value from the drop-down, or override deliberately." sqref="M5:M304">
      <formula1>'13_Dropdowns'!$F$2:$F$4</formula1>
    </dataValidation>
    <dataValidation type="list" allowBlank="1" showErrorMessage="1" errorStyle="warning" errorTitle="Value not in list" error="Pick a value from the drop-down, or override deliberately." sqref="O5:O304">
      <formula1>'13_Dropdowns'!$F$2:$F$4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5761F"/>
  </sheetPr>
  <dimension ref="A1:K10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2" customWidth="1"/>
    <col min="3" max="3" width="26" customWidth="1"/>
    <col min="4" max="4" width="64" customWidth="1"/>
    <col min="5" max="6" width="34" customWidth="1"/>
    <col min="7" max="7" width="44" customWidth="1"/>
    <col min="8" max="8" width="20" customWidth="1"/>
    <col min="9" max="9" width="12" customWidth="1"/>
    <col min="10" max="10" width="30" customWidth="1"/>
    <col min="11" max="11" width="20" customWidth="1"/>
  </cols>
  <sheetData>
    <row r="1" ht="26" customHeight="1" spans="1:11" x14ac:dyDescent="0.25">
      <c r="A1" s="33" t="s">
        <v>2497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ht="18" customHeight="1" spans="1:11" x14ac:dyDescent="0.25">
      <c r="A2" s="34" t="s">
        <v>2498</v>
      </c>
      <c r="B2" s="34"/>
      <c r="C2" s="34"/>
      <c r="D2" s="34"/>
      <c r="E2" s="34"/>
      <c r="F2" s="34"/>
      <c r="G2" s="34"/>
      <c r="H2" s="34"/>
      <c r="I2" s="34"/>
      <c r="J2" s="34"/>
      <c r="K2" s="34"/>
    </row>
    <row r="3" ht="16" customHeight="1" spans="1:11" x14ac:dyDescent="0.25">
      <c r="A3" s="59" t="s">
        <v>2459</v>
      </c>
      <c r="B3" s="59"/>
      <c r="C3" s="59"/>
      <c r="D3" s="59"/>
      <c r="E3" s="59"/>
      <c r="F3" s="59"/>
      <c r="G3" s="59"/>
      <c r="H3" s="59"/>
      <c r="I3" s="59"/>
      <c r="J3" s="59"/>
      <c r="K3" s="59"/>
    </row>
    <row r="4" ht="32" customHeight="1" spans="1:11" x14ac:dyDescent="0.25">
      <c r="A4" s="37" t="s">
        <v>2499</v>
      </c>
      <c r="B4" s="37" t="s">
        <v>2460</v>
      </c>
      <c r="C4" s="37" t="s">
        <v>2500</v>
      </c>
      <c r="D4" s="37" t="s">
        <v>2501</v>
      </c>
      <c r="E4" s="37" t="s">
        <v>2502</v>
      </c>
      <c r="F4" s="37" t="s">
        <v>2503</v>
      </c>
      <c r="G4" s="37" t="s">
        <v>2504</v>
      </c>
      <c r="H4" s="37" t="s">
        <v>2505</v>
      </c>
      <c r="I4" s="37" t="s">
        <v>63</v>
      </c>
      <c r="J4" s="37" t="s">
        <v>2506</v>
      </c>
      <c r="K4" s="37" t="s">
        <v>2507</v>
      </c>
    </row>
    <row r="5" ht="46" customHeight="1" spans="1:11" x14ac:dyDescent="0.25">
      <c r="A5" s="62" t="s">
        <v>2508</v>
      </c>
      <c r="B5" s="60" t="s">
        <v>46</v>
      </c>
      <c r="C5" s="61" t="s">
        <v>2509</v>
      </c>
      <c r="D5" s="61" t="s">
        <v>2510</v>
      </c>
      <c r="E5" s="61" t="s">
        <v>46</v>
      </c>
      <c r="F5" s="61" t="s">
        <v>46</v>
      </c>
      <c r="G5" s="61" t="s">
        <v>2511</v>
      </c>
      <c r="H5" s="61" t="s">
        <v>2512</v>
      </c>
      <c r="I5" s="63" t="s">
        <v>2513</v>
      </c>
      <c r="J5" s="61" t="s">
        <v>2514</v>
      </c>
      <c r="K5" s="61" t="s">
        <v>233</v>
      </c>
    </row>
    <row r="6" ht="46" customHeight="1" spans="1:11" x14ac:dyDescent="0.25">
      <c r="A6" s="66" t="s">
        <v>2515</v>
      </c>
      <c r="B6" s="64" t="s">
        <v>46</v>
      </c>
      <c r="C6" s="65" t="s">
        <v>2516</v>
      </c>
      <c r="D6" s="65" t="s">
        <v>2517</v>
      </c>
      <c r="E6" s="65" t="s">
        <v>46</v>
      </c>
      <c r="F6" s="65" t="s">
        <v>46</v>
      </c>
      <c r="G6" s="65" t="s">
        <v>2518</v>
      </c>
      <c r="H6" s="65" t="s">
        <v>2519</v>
      </c>
      <c r="I6" s="67" t="s">
        <v>2513</v>
      </c>
      <c r="J6" s="65" t="s">
        <v>2520</v>
      </c>
      <c r="K6" s="65" t="s">
        <v>233</v>
      </c>
    </row>
    <row r="7" ht="46" customHeight="1" spans="1:11" x14ac:dyDescent="0.25">
      <c r="A7" s="62" t="s">
        <v>2521</v>
      </c>
      <c r="B7" s="60" t="s">
        <v>46</v>
      </c>
      <c r="C7" s="61" t="s">
        <v>1179</v>
      </c>
      <c r="D7" s="61" t="s">
        <v>2522</v>
      </c>
      <c r="E7" s="61" t="s">
        <v>46</v>
      </c>
      <c r="F7" s="61" t="s">
        <v>46</v>
      </c>
      <c r="G7" s="61" t="s">
        <v>2523</v>
      </c>
      <c r="H7" s="61" t="s">
        <v>2512</v>
      </c>
      <c r="I7" s="63" t="s">
        <v>2513</v>
      </c>
      <c r="J7" s="61" t="s">
        <v>2524</v>
      </c>
      <c r="K7" s="61" t="s">
        <v>1177</v>
      </c>
    </row>
    <row r="8" ht="46" customHeight="1" spans="1:11" x14ac:dyDescent="0.25">
      <c r="A8" s="66" t="s">
        <v>2525</v>
      </c>
      <c r="B8" s="64" t="s">
        <v>46</v>
      </c>
      <c r="C8" s="65" t="s">
        <v>1179</v>
      </c>
      <c r="D8" s="65" t="s">
        <v>2526</v>
      </c>
      <c r="E8" s="65" t="s">
        <v>46</v>
      </c>
      <c r="F8" s="65" t="s">
        <v>46</v>
      </c>
      <c r="G8" s="65" t="s">
        <v>2527</v>
      </c>
      <c r="H8" s="65" t="s">
        <v>2512</v>
      </c>
      <c r="I8" s="67" t="s">
        <v>2513</v>
      </c>
      <c r="J8" s="65" t="s">
        <v>2528</v>
      </c>
      <c r="K8" s="65" t="s">
        <v>233</v>
      </c>
    </row>
    <row r="9" ht="46" customHeight="1" spans="1:11" x14ac:dyDescent="0.25">
      <c r="A9" s="62" t="s">
        <v>2529</v>
      </c>
      <c r="B9" s="60" t="s">
        <v>46</v>
      </c>
      <c r="C9" s="61" t="s">
        <v>2530</v>
      </c>
      <c r="D9" s="61" t="s">
        <v>2531</v>
      </c>
      <c r="E9" s="61" t="s">
        <v>46</v>
      </c>
      <c r="F9" s="61" t="s">
        <v>46</v>
      </c>
      <c r="G9" s="61" t="s">
        <v>2532</v>
      </c>
      <c r="H9" s="61" t="s">
        <v>2512</v>
      </c>
      <c r="I9" s="63" t="s">
        <v>2513</v>
      </c>
      <c r="J9" s="61" t="s">
        <v>2533</v>
      </c>
      <c r="K9" s="61" t="s">
        <v>233</v>
      </c>
    </row>
    <row r="10" ht="46" customHeight="1" spans="1:11" x14ac:dyDescent="0.25">
      <c r="A10" s="66" t="s">
        <v>2534</v>
      </c>
      <c r="B10" s="64" t="s">
        <v>46</v>
      </c>
      <c r="C10" s="65" t="s">
        <v>2535</v>
      </c>
      <c r="D10" s="65" t="s">
        <v>2536</v>
      </c>
      <c r="E10" s="65" t="s">
        <v>46</v>
      </c>
      <c r="F10" s="65" t="s">
        <v>46</v>
      </c>
      <c r="G10" s="65" t="s">
        <v>2537</v>
      </c>
      <c r="H10" s="65" t="s">
        <v>2512</v>
      </c>
      <c r="I10" s="67" t="s">
        <v>2513</v>
      </c>
      <c r="J10" s="65" t="s">
        <v>2538</v>
      </c>
      <c r="K10" s="65" t="s">
        <v>233</v>
      </c>
    </row>
    <row r="11" ht="46" customHeight="1" spans="1:11" x14ac:dyDescent="0.25">
      <c r="A11" s="62" t="s">
        <v>2539</v>
      </c>
      <c r="B11" s="60" t="s">
        <v>46</v>
      </c>
      <c r="C11" s="61" t="s">
        <v>2540</v>
      </c>
      <c r="D11" s="61" t="s">
        <v>2541</v>
      </c>
      <c r="E11" s="61" t="s">
        <v>46</v>
      </c>
      <c r="F11" s="61" t="s">
        <v>46</v>
      </c>
      <c r="G11" s="61" t="s">
        <v>2542</v>
      </c>
      <c r="H11" s="61" t="s">
        <v>2512</v>
      </c>
      <c r="I11" s="63" t="s">
        <v>2513</v>
      </c>
      <c r="J11" s="61" t="s">
        <v>2543</v>
      </c>
      <c r="K11" s="61" t="s">
        <v>233</v>
      </c>
    </row>
    <row r="12" ht="46" customHeight="1" spans="1:11" x14ac:dyDescent="0.25">
      <c r="A12" s="66" t="s">
        <v>2544</v>
      </c>
      <c r="B12" s="64" t="s">
        <v>46</v>
      </c>
      <c r="C12" s="65" t="s">
        <v>2516</v>
      </c>
      <c r="D12" s="65" t="s">
        <v>2545</v>
      </c>
      <c r="E12" s="65" t="s">
        <v>46</v>
      </c>
      <c r="F12" s="65" t="s">
        <v>46</v>
      </c>
      <c r="G12" s="65" t="s">
        <v>2546</v>
      </c>
      <c r="H12" s="65" t="s">
        <v>2519</v>
      </c>
      <c r="I12" s="67" t="s">
        <v>2513</v>
      </c>
      <c r="J12" s="65" t="s">
        <v>2547</v>
      </c>
      <c r="K12" s="65" t="s">
        <v>233</v>
      </c>
    </row>
    <row r="13" ht="46" customHeight="1" spans="1:11" x14ac:dyDescent="0.25">
      <c r="A13" s="62" t="s">
        <v>2548</v>
      </c>
      <c r="B13" s="60" t="s">
        <v>46</v>
      </c>
      <c r="C13" s="61" t="s">
        <v>2540</v>
      </c>
      <c r="D13" s="61" t="s">
        <v>2549</v>
      </c>
      <c r="E13" s="61" t="s">
        <v>46</v>
      </c>
      <c r="F13" s="61" t="s">
        <v>46</v>
      </c>
      <c r="G13" s="61" t="s">
        <v>2550</v>
      </c>
      <c r="H13" s="61" t="s">
        <v>2512</v>
      </c>
      <c r="I13" s="63" t="s">
        <v>2513</v>
      </c>
      <c r="J13" s="61" t="s">
        <v>2551</v>
      </c>
      <c r="K13" s="61" t="s">
        <v>233</v>
      </c>
    </row>
    <row r="14" ht="46" customHeight="1" spans="1:11" x14ac:dyDescent="0.25">
      <c r="A14" s="66" t="s">
        <v>2552</v>
      </c>
      <c r="B14" s="64" t="s">
        <v>46</v>
      </c>
      <c r="C14" s="65" t="s">
        <v>1179</v>
      </c>
      <c r="D14" s="65" t="s">
        <v>2553</v>
      </c>
      <c r="E14" s="65" t="s">
        <v>46</v>
      </c>
      <c r="F14" s="65" t="s">
        <v>46</v>
      </c>
      <c r="G14" s="65" t="s">
        <v>2554</v>
      </c>
      <c r="H14" s="65" t="s">
        <v>2512</v>
      </c>
      <c r="I14" s="67" t="s">
        <v>2513</v>
      </c>
      <c r="J14" s="65" t="s">
        <v>2555</v>
      </c>
      <c r="K14" s="65" t="s">
        <v>233</v>
      </c>
    </row>
    <row r="15" ht="46" customHeight="1" spans="1:11" x14ac:dyDescent="0.25">
      <c r="A15" s="62" t="s">
        <v>2556</v>
      </c>
      <c r="B15" s="60" t="s">
        <v>46</v>
      </c>
      <c r="C15" s="61" t="s">
        <v>2557</v>
      </c>
      <c r="D15" s="61" t="s">
        <v>2558</v>
      </c>
      <c r="E15" s="61" t="s">
        <v>46</v>
      </c>
      <c r="F15" s="61" t="s">
        <v>46</v>
      </c>
      <c r="G15" s="61" t="s">
        <v>2559</v>
      </c>
      <c r="H15" s="61" t="s">
        <v>2560</v>
      </c>
      <c r="I15" s="63" t="s">
        <v>2513</v>
      </c>
      <c r="J15" s="61" t="s">
        <v>2561</v>
      </c>
      <c r="K15" s="61" t="s">
        <v>233</v>
      </c>
    </row>
    <row r="16" ht="46" customHeight="1" spans="1:11" x14ac:dyDescent="0.25">
      <c r="A16" s="66" t="s">
        <v>2562</v>
      </c>
      <c r="B16" s="64" t="s">
        <v>46</v>
      </c>
      <c r="C16" s="65" t="s">
        <v>2516</v>
      </c>
      <c r="D16" s="65" t="s">
        <v>2563</v>
      </c>
      <c r="E16" s="65" t="s">
        <v>46</v>
      </c>
      <c r="F16" s="65" t="s">
        <v>46</v>
      </c>
      <c r="G16" s="65" t="s">
        <v>2564</v>
      </c>
      <c r="H16" s="65" t="s">
        <v>2519</v>
      </c>
      <c r="I16" s="67" t="s">
        <v>2513</v>
      </c>
      <c r="J16" s="65" t="s">
        <v>2565</v>
      </c>
      <c r="K16" s="65" t="s">
        <v>233</v>
      </c>
    </row>
    <row r="17" ht="46" customHeight="1" spans="1:11" x14ac:dyDescent="0.25">
      <c r="A17" s="62" t="s">
        <v>2566</v>
      </c>
      <c r="B17" s="60" t="s">
        <v>46</v>
      </c>
      <c r="C17" s="61" t="s">
        <v>2516</v>
      </c>
      <c r="D17" s="61" t="s">
        <v>2567</v>
      </c>
      <c r="E17" s="61" t="s">
        <v>46</v>
      </c>
      <c r="F17" s="61" t="s">
        <v>46</v>
      </c>
      <c r="G17" s="61" t="s">
        <v>2568</v>
      </c>
      <c r="H17" s="61" t="s">
        <v>2512</v>
      </c>
      <c r="I17" s="63" t="s">
        <v>2513</v>
      </c>
      <c r="J17" s="61" t="s">
        <v>2569</v>
      </c>
      <c r="K17" s="61" t="s">
        <v>233</v>
      </c>
    </row>
    <row r="18" ht="46" customHeight="1" spans="1:11" x14ac:dyDescent="0.25">
      <c r="A18" s="66" t="s">
        <v>2570</v>
      </c>
      <c r="B18" s="64" t="s">
        <v>46</v>
      </c>
      <c r="C18" s="65" t="s">
        <v>2516</v>
      </c>
      <c r="D18" s="65" t="s">
        <v>2571</v>
      </c>
      <c r="E18" s="65" t="s">
        <v>46</v>
      </c>
      <c r="F18" s="65" t="s">
        <v>46</v>
      </c>
      <c r="G18" s="65" t="s">
        <v>2572</v>
      </c>
      <c r="H18" s="65" t="s">
        <v>2519</v>
      </c>
      <c r="I18" s="67" t="s">
        <v>2513</v>
      </c>
      <c r="J18" s="65" t="s">
        <v>2573</v>
      </c>
      <c r="K18" s="65" t="s">
        <v>233</v>
      </c>
    </row>
    <row r="19" ht="46" customHeight="1" spans="1:11" x14ac:dyDescent="0.25">
      <c r="A19" s="62" t="s">
        <v>2574</v>
      </c>
      <c r="B19" s="60" t="s">
        <v>46</v>
      </c>
      <c r="C19" s="61" t="s">
        <v>2575</v>
      </c>
      <c r="D19" s="61" t="s">
        <v>2576</v>
      </c>
      <c r="E19" s="61" t="s">
        <v>46</v>
      </c>
      <c r="F19" s="61" t="s">
        <v>46</v>
      </c>
      <c r="G19" s="61" t="s">
        <v>2577</v>
      </c>
      <c r="H19" s="61" t="s">
        <v>2578</v>
      </c>
      <c r="I19" s="63" t="s">
        <v>2513</v>
      </c>
      <c r="J19" s="61" t="s">
        <v>2579</v>
      </c>
      <c r="K19" s="61" t="s">
        <v>233</v>
      </c>
    </row>
    <row r="20" ht="46" customHeight="1" spans="1:11" x14ac:dyDescent="0.25">
      <c r="A20" s="66" t="s">
        <v>2580</v>
      </c>
      <c r="B20" s="64" t="s">
        <v>46</v>
      </c>
      <c r="C20" s="65" t="s">
        <v>2535</v>
      </c>
      <c r="D20" s="65" t="s">
        <v>2581</v>
      </c>
      <c r="E20" s="65" t="s">
        <v>46</v>
      </c>
      <c r="F20" s="65" t="s">
        <v>46</v>
      </c>
      <c r="G20" s="65" t="s">
        <v>2582</v>
      </c>
      <c r="H20" s="65" t="s">
        <v>2512</v>
      </c>
      <c r="I20" s="67" t="s">
        <v>2513</v>
      </c>
      <c r="J20" s="65" t="s">
        <v>2583</v>
      </c>
      <c r="K20" s="65" t="s">
        <v>233</v>
      </c>
    </row>
    <row r="21" ht="46" customHeight="1" spans="1:11" x14ac:dyDescent="0.25">
      <c r="A21" s="62" t="s">
        <v>2584</v>
      </c>
      <c r="B21" s="60" t="s">
        <v>46</v>
      </c>
      <c r="C21" s="61" t="s">
        <v>2585</v>
      </c>
      <c r="D21" s="61" t="s">
        <v>2586</v>
      </c>
      <c r="E21" s="61" t="s">
        <v>46</v>
      </c>
      <c r="F21" s="61" t="s">
        <v>46</v>
      </c>
      <c r="G21" s="61" t="s">
        <v>2587</v>
      </c>
      <c r="H21" s="61" t="s">
        <v>2519</v>
      </c>
      <c r="I21" s="63" t="s">
        <v>2513</v>
      </c>
      <c r="J21" s="61" t="s">
        <v>2587</v>
      </c>
      <c r="K21" s="61" t="s">
        <v>233</v>
      </c>
    </row>
    <row r="22" ht="46" customHeight="1" spans="1:11" x14ac:dyDescent="0.25">
      <c r="A22" s="66" t="s">
        <v>2588</v>
      </c>
      <c r="B22" s="64" t="s">
        <v>46</v>
      </c>
      <c r="C22" s="65" t="s">
        <v>2589</v>
      </c>
      <c r="D22" s="65" t="s">
        <v>2590</v>
      </c>
      <c r="E22" s="65" t="s">
        <v>46</v>
      </c>
      <c r="F22" s="65" t="s">
        <v>46</v>
      </c>
      <c r="G22" s="65" t="s">
        <v>2591</v>
      </c>
      <c r="H22" s="65" t="s">
        <v>2512</v>
      </c>
      <c r="I22" s="67" t="s">
        <v>2513</v>
      </c>
      <c r="J22" s="65" t="s">
        <v>2592</v>
      </c>
      <c r="K22" s="65" t="s">
        <v>233</v>
      </c>
    </row>
    <row r="23" ht="46" customHeight="1" spans="1:11" x14ac:dyDescent="0.25">
      <c r="A23" s="62" t="s">
        <v>2593</v>
      </c>
      <c r="B23" s="60" t="s">
        <v>46</v>
      </c>
      <c r="C23" s="61" t="s">
        <v>2509</v>
      </c>
      <c r="D23" s="61" t="s">
        <v>2594</v>
      </c>
      <c r="E23" s="61" t="s">
        <v>46</v>
      </c>
      <c r="F23" s="61" t="s">
        <v>46</v>
      </c>
      <c r="G23" s="61" t="s">
        <v>2595</v>
      </c>
      <c r="H23" s="61" t="s">
        <v>2512</v>
      </c>
      <c r="I23" s="63" t="s">
        <v>2513</v>
      </c>
      <c r="J23" s="61" t="s">
        <v>2596</v>
      </c>
      <c r="K23" s="61" t="s">
        <v>233</v>
      </c>
    </row>
    <row r="24" ht="46" customHeight="1" spans="1:11" x14ac:dyDescent="0.25">
      <c r="A24" s="66" t="s">
        <v>2597</v>
      </c>
      <c r="B24" s="64" t="s">
        <v>46</v>
      </c>
      <c r="C24" s="65" t="s">
        <v>2516</v>
      </c>
      <c r="D24" s="65" t="s">
        <v>2598</v>
      </c>
      <c r="E24" s="65" t="s">
        <v>46</v>
      </c>
      <c r="F24" s="65" t="s">
        <v>46</v>
      </c>
      <c r="G24" s="65" t="s">
        <v>2599</v>
      </c>
      <c r="H24" s="65" t="s">
        <v>2512</v>
      </c>
      <c r="I24" s="67" t="s">
        <v>2513</v>
      </c>
      <c r="J24" s="65" t="s">
        <v>2597</v>
      </c>
      <c r="K24" s="65" t="s">
        <v>233</v>
      </c>
    </row>
    <row r="25" ht="46" customHeight="1" spans="1:11" x14ac:dyDescent="0.25">
      <c r="A25" s="62" t="s">
        <v>1444</v>
      </c>
      <c r="B25" s="60" t="s">
        <v>46</v>
      </c>
      <c r="C25" s="61" t="s">
        <v>2600</v>
      </c>
      <c r="D25" s="61" t="s">
        <v>2601</v>
      </c>
      <c r="E25" s="61" t="s">
        <v>46</v>
      </c>
      <c r="F25" s="61" t="s">
        <v>46</v>
      </c>
      <c r="G25" s="61" t="s">
        <v>2602</v>
      </c>
      <c r="H25" s="61" t="s">
        <v>2512</v>
      </c>
      <c r="I25" s="63" t="s">
        <v>2513</v>
      </c>
      <c r="J25" s="61" t="s">
        <v>2603</v>
      </c>
      <c r="K25" s="61" t="s">
        <v>233</v>
      </c>
    </row>
    <row r="26" ht="46" customHeight="1" spans="1:11" x14ac:dyDescent="0.25">
      <c r="A26" s="66" t="s">
        <v>2604</v>
      </c>
      <c r="B26" s="64" t="s">
        <v>46</v>
      </c>
      <c r="C26" s="65" t="s">
        <v>2600</v>
      </c>
      <c r="D26" s="65" t="s">
        <v>2605</v>
      </c>
      <c r="E26" s="65" t="s">
        <v>46</v>
      </c>
      <c r="F26" s="65" t="s">
        <v>46</v>
      </c>
      <c r="G26" s="65" t="s">
        <v>2606</v>
      </c>
      <c r="H26" s="65" t="s">
        <v>2512</v>
      </c>
      <c r="I26" s="67" t="s">
        <v>2513</v>
      </c>
      <c r="J26" s="65" t="s">
        <v>2607</v>
      </c>
      <c r="K26" s="65" t="s">
        <v>233</v>
      </c>
    </row>
    <row r="27" ht="46" customHeight="1" spans="1:11" x14ac:dyDescent="0.25">
      <c r="A27" s="62" t="s">
        <v>2608</v>
      </c>
      <c r="B27" s="60" t="s">
        <v>46</v>
      </c>
      <c r="C27" s="61" t="s">
        <v>2609</v>
      </c>
      <c r="D27" s="61" t="s">
        <v>2610</v>
      </c>
      <c r="E27" s="61" t="s">
        <v>46</v>
      </c>
      <c r="F27" s="61" t="s">
        <v>46</v>
      </c>
      <c r="G27" s="61" t="s">
        <v>2611</v>
      </c>
      <c r="H27" s="61" t="s">
        <v>2512</v>
      </c>
      <c r="I27" s="63" t="s">
        <v>2513</v>
      </c>
      <c r="J27" s="61" t="s">
        <v>2608</v>
      </c>
      <c r="K27" s="61" t="s">
        <v>233</v>
      </c>
    </row>
    <row r="28" ht="46" customHeight="1" spans="1:11" x14ac:dyDescent="0.25">
      <c r="A28" s="66" t="s">
        <v>2612</v>
      </c>
      <c r="B28" s="64" t="s">
        <v>46</v>
      </c>
      <c r="C28" s="65" t="s">
        <v>2613</v>
      </c>
      <c r="D28" s="65" t="s">
        <v>2614</v>
      </c>
      <c r="E28" s="65" t="s">
        <v>46</v>
      </c>
      <c r="F28" s="65" t="s">
        <v>46</v>
      </c>
      <c r="G28" s="65" t="s">
        <v>2615</v>
      </c>
      <c r="H28" s="65" t="s">
        <v>2616</v>
      </c>
      <c r="I28" s="67" t="s">
        <v>2513</v>
      </c>
      <c r="J28" s="65" t="s">
        <v>2612</v>
      </c>
      <c r="K28" s="65" t="s">
        <v>233</v>
      </c>
    </row>
    <row r="29" ht="46" customHeight="1" spans="1:11" x14ac:dyDescent="0.25">
      <c r="A29" s="62" t="s">
        <v>1285</v>
      </c>
      <c r="B29" s="60" t="s">
        <v>46</v>
      </c>
      <c r="C29" s="61" t="s">
        <v>2617</v>
      </c>
      <c r="D29" s="61" t="s">
        <v>2618</v>
      </c>
      <c r="E29" s="61" t="s">
        <v>46</v>
      </c>
      <c r="F29" s="61" t="s">
        <v>46</v>
      </c>
      <c r="G29" s="61" t="s">
        <v>2619</v>
      </c>
      <c r="H29" s="61" t="s">
        <v>2512</v>
      </c>
      <c r="I29" s="63" t="s">
        <v>2513</v>
      </c>
      <c r="J29" s="61" t="s">
        <v>2620</v>
      </c>
      <c r="K29" s="61" t="s">
        <v>233</v>
      </c>
    </row>
    <row r="30" ht="46" customHeight="1" spans="1:11" x14ac:dyDescent="0.25">
      <c r="A30" s="66" t="s">
        <v>2621</v>
      </c>
      <c r="B30" s="64" t="s">
        <v>46</v>
      </c>
      <c r="C30" s="65" t="s">
        <v>2617</v>
      </c>
      <c r="D30" s="65" t="s">
        <v>2622</v>
      </c>
      <c r="E30" s="65" t="s">
        <v>46</v>
      </c>
      <c r="F30" s="65" t="s">
        <v>46</v>
      </c>
      <c r="G30" s="65" t="s">
        <v>2623</v>
      </c>
      <c r="H30" s="65" t="s">
        <v>2512</v>
      </c>
      <c r="I30" s="67" t="s">
        <v>2513</v>
      </c>
      <c r="J30" s="65" t="s">
        <v>2624</v>
      </c>
      <c r="K30" s="65" t="s">
        <v>233</v>
      </c>
    </row>
    <row r="31" ht="46" customHeight="1" spans="1:11" x14ac:dyDescent="0.25">
      <c r="A31" s="62" t="s">
        <v>2625</v>
      </c>
      <c r="B31" s="60" t="s">
        <v>46</v>
      </c>
      <c r="C31" s="61" t="s">
        <v>2575</v>
      </c>
      <c r="D31" s="61" t="s">
        <v>2626</v>
      </c>
      <c r="E31" s="61" t="s">
        <v>46</v>
      </c>
      <c r="F31" s="61" t="s">
        <v>46</v>
      </c>
      <c r="G31" s="61" t="s">
        <v>2627</v>
      </c>
      <c r="H31" s="61" t="s">
        <v>2578</v>
      </c>
      <c r="I31" s="63" t="s">
        <v>2513</v>
      </c>
      <c r="J31" s="61" t="s">
        <v>2628</v>
      </c>
      <c r="K31" s="61" t="s">
        <v>898</v>
      </c>
    </row>
    <row r="32" ht="46" customHeight="1" spans="1:11" x14ac:dyDescent="0.25">
      <c r="A32" s="66" t="s">
        <v>2629</v>
      </c>
      <c r="B32" s="64" t="s">
        <v>46</v>
      </c>
      <c r="C32" s="65" t="s">
        <v>2630</v>
      </c>
      <c r="D32" s="65" t="s">
        <v>2631</v>
      </c>
      <c r="E32" s="65" t="s">
        <v>46</v>
      </c>
      <c r="F32" s="65" t="s">
        <v>46</v>
      </c>
      <c r="G32" s="65" t="s">
        <v>2632</v>
      </c>
      <c r="H32" s="65" t="s">
        <v>2578</v>
      </c>
      <c r="I32" s="67" t="s">
        <v>2513</v>
      </c>
      <c r="J32" s="65" t="s">
        <v>2633</v>
      </c>
      <c r="K32" s="65" t="s">
        <v>233</v>
      </c>
    </row>
    <row r="33" ht="46" customHeight="1" spans="1:11" x14ac:dyDescent="0.25">
      <c r="A33" s="62" t="s">
        <v>2634</v>
      </c>
      <c r="B33" s="60" t="s">
        <v>46</v>
      </c>
      <c r="C33" s="61" t="s">
        <v>2630</v>
      </c>
      <c r="D33" s="61" t="s">
        <v>2635</v>
      </c>
      <c r="E33" s="61" t="s">
        <v>46</v>
      </c>
      <c r="F33" s="61" t="s">
        <v>46</v>
      </c>
      <c r="G33" s="61" t="s">
        <v>2636</v>
      </c>
      <c r="H33" s="61" t="s">
        <v>2519</v>
      </c>
      <c r="I33" s="63" t="s">
        <v>2513</v>
      </c>
      <c r="J33" s="61" t="s">
        <v>2637</v>
      </c>
      <c r="K33" s="61" t="s">
        <v>233</v>
      </c>
    </row>
    <row r="34" ht="46" customHeight="1" spans="1:11" x14ac:dyDescent="0.25">
      <c r="A34" s="66" t="s">
        <v>2638</v>
      </c>
      <c r="B34" s="64" t="s">
        <v>46</v>
      </c>
      <c r="C34" s="65" t="s">
        <v>398</v>
      </c>
      <c r="D34" s="65" t="s">
        <v>2639</v>
      </c>
      <c r="E34" s="65" t="s">
        <v>46</v>
      </c>
      <c r="F34" s="65" t="s">
        <v>46</v>
      </c>
      <c r="G34" s="65" t="s">
        <v>2640</v>
      </c>
      <c r="H34" s="65" t="s">
        <v>2578</v>
      </c>
      <c r="I34" s="67" t="s">
        <v>2513</v>
      </c>
      <c r="J34" s="65" t="s">
        <v>2641</v>
      </c>
      <c r="K34" s="65" t="s">
        <v>233</v>
      </c>
    </row>
    <row r="35" ht="46" customHeight="1" spans="1:11" x14ac:dyDescent="0.25">
      <c r="A35" s="62" t="s">
        <v>2642</v>
      </c>
      <c r="B35" s="60" t="s">
        <v>46</v>
      </c>
      <c r="C35" s="61" t="s">
        <v>129</v>
      </c>
      <c r="D35" s="61" t="s">
        <v>2643</v>
      </c>
      <c r="E35" s="61" t="s">
        <v>46</v>
      </c>
      <c r="F35" s="61" t="s">
        <v>46</v>
      </c>
      <c r="G35" s="61" t="s">
        <v>2644</v>
      </c>
      <c r="H35" s="61" t="s">
        <v>2645</v>
      </c>
      <c r="I35" s="63" t="s">
        <v>2513</v>
      </c>
      <c r="J35" s="61" t="s">
        <v>2646</v>
      </c>
      <c r="K35" s="61" t="s">
        <v>233</v>
      </c>
    </row>
    <row r="36" ht="46" customHeight="1" spans="1:11" x14ac:dyDescent="0.25">
      <c r="A36" s="66" t="s">
        <v>2647</v>
      </c>
      <c r="B36" s="64" t="s">
        <v>46</v>
      </c>
      <c r="C36" s="65" t="s">
        <v>129</v>
      </c>
      <c r="D36" s="65" t="s">
        <v>2648</v>
      </c>
      <c r="E36" s="65" t="s">
        <v>46</v>
      </c>
      <c r="F36" s="65" t="s">
        <v>46</v>
      </c>
      <c r="G36" s="65" t="s">
        <v>2649</v>
      </c>
      <c r="H36" s="65" t="s">
        <v>2512</v>
      </c>
      <c r="I36" s="67" t="s">
        <v>2513</v>
      </c>
      <c r="J36" s="65" t="s">
        <v>2426</v>
      </c>
      <c r="K36" s="65" t="s">
        <v>233</v>
      </c>
    </row>
    <row r="37" ht="46" customHeight="1" spans="1:11" x14ac:dyDescent="0.25">
      <c r="A37" s="62" t="s">
        <v>2650</v>
      </c>
      <c r="B37" s="60" t="s">
        <v>46</v>
      </c>
      <c r="C37" s="61" t="s">
        <v>129</v>
      </c>
      <c r="D37" s="61" t="s">
        <v>2651</v>
      </c>
      <c r="E37" s="61" t="s">
        <v>46</v>
      </c>
      <c r="F37" s="61" t="s">
        <v>46</v>
      </c>
      <c r="G37" s="61" t="s">
        <v>2652</v>
      </c>
      <c r="H37" s="61" t="s">
        <v>2645</v>
      </c>
      <c r="I37" s="63" t="s">
        <v>2513</v>
      </c>
      <c r="J37" s="61" t="s">
        <v>2653</v>
      </c>
      <c r="K37" s="61" t="s">
        <v>233</v>
      </c>
    </row>
    <row r="38" ht="46" customHeight="1" spans="1:11" x14ac:dyDescent="0.25">
      <c r="A38" s="66" t="s">
        <v>2654</v>
      </c>
      <c r="B38" s="64" t="s">
        <v>46</v>
      </c>
      <c r="C38" s="65" t="s">
        <v>2575</v>
      </c>
      <c r="D38" s="65" t="s">
        <v>2655</v>
      </c>
      <c r="E38" s="65" t="s">
        <v>46</v>
      </c>
      <c r="F38" s="65" t="s">
        <v>46</v>
      </c>
      <c r="G38" s="65" t="s">
        <v>2656</v>
      </c>
      <c r="H38" s="65" t="s">
        <v>2519</v>
      </c>
      <c r="I38" s="67" t="s">
        <v>2513</v>
      </c>
      <c r="J38" s="65" t="s">
        <v>2657</v>
      </c>
      <c r="K38" s="65" t="s">
        <v>233</v>
      </c>
    </row>
    <row r="39" ht="46" customHeight="1" spans="1:11" x14ac:dyDescent="0.25">
      <c r="A39" s="62" t="s">
        <v>2658</v>
      </c>
      <c r="B39" s="60" t="s">
        <v>46</v>
      </c>
      <c r="C39" s="61" t="s">
        <v>2659</v>
      </c>
      <c r="D39" s="61" t="s">
        <v>2660</v>
      </c>
      <c r="E39" s="61" t="s">
        <v>46</v>
      </c>
      <c r="F39" s="61" t="s">
        <v>46</v>
      </c>
      <c r="G39" s="61" t="s">
        <v>2661</v>
      </c>
      <c r="H39" s="61" t="s">
        <v>2519</v>
      </c>
      <c r="I39" s="63" t="s">
        <v>2513</v>
      </c>
      <c r="J39" s="61" t="s">
        <v>2662</v>
      </c>
      <c r="K39" s="61" t="s">
        <v>233</v>
      </c>
    </row>
    <row r="40" ht="46" customHeight="1" spans="1:11" x14ac:dyDescent="0.25">
      <c r="A40" s="66" t="s">
        <v>2663</v>
      </c>
      <c r="B40" s="64" t="s">
        <v>46</v>
      </c>
      <c r="C40" s="65" t="s">
        <v>2664</v>
      </c>
      <c r="D40" s="65" t="s">
        <v>2665</v>
      </c>
      <c r="E40" s="65" t="s">
        <v>46</v>
      </c>
      <c r="F40" s="65" t="s">
        <v>46</v>
      </c>
      <c r="G40" s="65" t="s">
        <v>2666</v>
      </c>
      <c r="H40" s="65" t="s">
        <v>2578</v>
      </c>
      <c r="I40" s="67" t="s">
        <v>2513</v>
      </c>
      <c r="J40" s="65" t="s">
        <v>2667</v>
      </c>
      <c r="K40" s="65" t="s">
        <v>233</v>
      </c>
    </row>
    <row r="41" ht="46" customHeight="1" spans="1:11" x14ac:dyDescent="0.25">
      <c r="A41" s="62" t="s">
        <v>2668</v>
      </c>
      <c r="B41" s="60" t="s">
        <v>46</v>
      </c>
      <c r="C41" s="61" t="s">
        <v>2669</v>
      </c>
      <c r="D41" s="61" t="s">
        <v>2670</v>
      </c>
      <c r="E41" s="61" t="s">
        <v>46</v>
      </c>
      <c r="F41" s="61" t="s">
        <v>46</v>
      </c>
      <c r="G41" s="61" t="s">
        <v>2671</v>
      </c>
      <c r="H41" s="61" t="s">
        <v>2578</v>
      </c>
      <c r="I41" s="63" t="s">
        <v>2513</v>
      </c>
      <c r="J41" s="61" t="s">
        <v>2672</v>
      </c>
      <c r="K41" s="61" t="s">
        <v>233</v>
      </c>
    </row>
    <row r="42" ht="46" customHeight="1" spans="1:11" x14ac:dyDescent="0.25">
      <c r="A42" s="66" t="s">
        <v>2673</v>
      </c>
      <c r="B42" s="64" t="s">
        <v>46</v>
      </c>
      <c r="C42" s="65" t="s">
        <v>2674</v>
      </c>
      <c r="D42" s="65" t="s">
        <v>2675</v>
      </c>
      <c r="E42" s="65" t="s">
        <v>46</v>
      </c>
      <c r="F42" s="65" t="s">
        <v>46</v>
      </c>
      <c r="G42" s="65" t="s">
        <v>2676</v>
      </c>
      <c r="H42" s="65" t="s">
        <v>2677</v>
      </c>
      <c r="I42" s="67" t="s">
        <v>2513</v>
      </c>
      <c r="J42" s="65" t="s">
        <v>2678</v>
      </c>
      <c r="K42" s="65" t="s">
        <v>931</v>
      </c>
    </row>
    <row r="43" ht="46" customHeight="1" spans="1:11" x14ac:dyDescent="0.25">
      <c r="A43" s="62" t="s">
        <v>2679</v>
      </c>
      <c r="B43" s="60" t="s">
        <v>46</v>
      </c>
      <c r="C43" s="61" t="s">
        <v>2613</v>
      </c>
      <c r="D43" s="61" t="s">
        <v>2680</v>
      </c>
      <c r="E43" s="61" t="s">
        <v>46</v>
      </c>
      <c r="F43" s="61" t="s">
        <v>46</v>
      </c>
      <c r="G43" s="61" t="s">
        <v>2681</v>
      </c>
      <c r="H43" s="61" t="s">
        <v>2616</v>
      </c>
      <c r="I43" s="63" t="s">
        <v>2513</v>
      </c>
      <c r="J43" s="61" t="s">
        <v>2682</v>
      </c>
      <c r="K43" s="61" t="s">
        <v>233</v>
      </c>
    </row>
    <row r="44" ht="46" customHeight="1" spans="1:11" x14ac:dyDescent="0.25">
      <c r="A44" s="66" t="s">
        <v>2683</v>
      </c>
      <c r="B44" s="64" t="s">
        <v>46</v>
      </c>
      <c r="C44" s="65" t="s">
        <v>2613</v>
      </c>
      <c r="D44" s="65" t="s">
        <v>2684</v>
      </c>
      <c r="E44" s="65" t="s">
        <v>46</v>
      </c>
      <c r="F44" s="65" t="s">
        <v>46</v>
      </c>
      <c r="G44" s="65" t="s">
        <v>2685</v>
      </c>
      <c r="H44" s="65" t="s">
        <v>2512</v>
      </c>
      <c r="I44" s="67" t="s">
        <v>2513</v>
      </c>
      <c r="J44" s="65" t="s">
        <v>2686</v>
      </c>
      <c r="K44" s="65" t="s">
        <v>233</v>
      </c>
    </row>
    <row r="45" ht="15" customHeight="1" spans="1:11" x14ac:dyDescent="0.25">
      <c r="A45" s="61"/>
      <c r="B45" s="60"/>
      <c r="C45" s="61"/>
      <c r="D45" s="61"/>
      <c r="E45" s="61"/>
      <c r="F45" s="61"/>
      <c r="G45" s="61"/>
      <c r="H45" s="61"/>
      <c r="I45" s="61"/>
      <c r="J45" s="61"/>
      <c r="K45" s="61"/>
    </row>
    <row r="46" ht="15" customHeight="1" spans="1:11" x14ac:dyDescent="0.25">
      <c r="A46" s="65"/>
      <c r="B46" s="64"/>
      <c r="C46" s="65"/>
      <c r="D46" s="65"/>
      <c r="E46" s="65"/>
      <c r="F46" s="65"/>
      <c r="G46" s="65"/>
      <c r="H46" s="65"/>
      <c r="I46" s="65"/>
      <c r="J46" s="65"/>
      <c r="K46" s="65"/>
    </row>
    <row r="47" ht="15" customHeight="1" spans="1:11" x14ac:dyDescent="0.25">
      <c r="A47" s="61"/>
      <c r="B47" s="60"/>
      <c r="C47" s="61"/>
      <c r="D47" s="61"/>
      <c r="E47" s="61"/>
      <c r="F47" s="61"/>
      <c r="G47" s="61"/>
      <c r="H47" s="61"/>
      <c r="I47" s="61"/>
      <c r="J47" s="61"/>
      <c r="K47" s="61"/>
    </row>
    <row r="48" ht="15" customHeight="1" spans="1:11" x14ac:dyDescent="0.25">
      <c r="A48" s="65"/>
      <c r="B48" s="64"/>
      <c r="C48" s="65"/>
      <c r="D48" s="65"/>
      <c r="E48" s="65"/>
      <c r="F48" s="65"/>
      <c r="G48" s="65"/>
      <c r="H48" s="65"/>
      <c r="I48" s="65"/>
      <c r="J48" s="65"/>
      <c r="K48" s="65"/>
    </row>
    <row r="49" ht="15" customHeight="1" spans="1:11" x14ac:dyDescent="0.25">
      <c r="A49" s="61"/>
      <c r="B49" s="60"/>
      <c r="C49" s="61"/>
      <c r="D49" s="61"/>
      <c r="E49" s="61"/>
      <c r="F49" s="61"/>
      <c r="G49" s="61"/>
      <c r="H49" s="61"/>
      <c r="I49" s="61"/>
      <c r="J49" s="61"/>
      <c r="K49" s="61"/>
    </row>
    <row r="50" ht="15" customHeight="1" spans="1:11" x14ac:dyDescent="0.25">
      <c r="A50" s="65"/>
      <c r="B50" s="64"/>
      <c r="C50" s="65"/>
      <c r="D50" s="65"/>
      <c r="E50" s="65"/>
      <c r="F50" s="65"/>
      <c r="G50" s="65"/>
      <c r="H50" s="65"/>
      <c r="I50" s="65"/>
      <c r="J50" s="65"/>
      <c r="K50" s="65"/>
    </row>
    <row r="51" ht="15" customHeight="1" spans="1:11" x14ac:dyDescent="0.25">
      <c r="A51" s="61"/>
      <c r="B51" s="60"/>
      <c r="C51" s="61"/>
      <c r="D51" s="61"/>
      <c r="E51" s="61"/>
      <c r="F51" s="61"/>
      <c r="G51" s="61"/>
      <c r="H51" s="61"/>
      <c r="I51" s="61"/>
      <c r="J51" s="61"/>
      <c r="K51" s="61"/>
    </row>
    <row r="52" ht="15" customHeight="1" spans="1:11" x14ac:dyDescent="0.25">
      <c r="A52" s="65"/>
      <c r="B52" s="64"/>
      <c r="C52" s="65"/>
      <c r="D52" s="65"/>
      <c r="E52" s="65"/>
      <c r="F52" s="65"/>
      <c r="G52" s="65"/>
      <c r="H52" s="65"/>
      <c r="I52" s="65"/>
      <c r="J52" s="65"/>
      <c r="K52" s="65"/>
    </row>
    <row r="53" ht="15" customHeight="1" spans="1:11" x14ac:dyDescent="0.25">
      <c r="A53" s="61"/>
      <c r="B53" s="60"/>
      <c r="C53" s="61"/>
      <c r="D53" s="61"/>
      <c r="E53" s="61"/>
      <c r="F53" s="61"/>
      <c r="G53" s="61"/>
      <c r="H53" s="61"/>
      <c r="I53" s="61"/>
      <c r="J53" s="61"/>
      <c r="K53" s="61"/>
    </row>
    <row r="54" ht="15" customHeight="1" spans="1:11" x14ac:dyDescent="0.25">
      <c r="A54" s="65"/>
      <c r="B54" s="64"/>
      <c r="C54" s="65"/>
      <c r="D54" s="65"/>
      <c r="E54" s="65"/>
      <c r="F54" s="65"/>
      <c r="G54" s="65"/>
      <c r="H54" s="65"/>
      <c r="I54" s="65"/>
      <c r="J54" s="65"/>
      <c r="K54" s="65"/>
    </row>
    <row r="55" ht="15" customHeight="1" spans="1:11" x14ac:dyDescent="0.25">
      <c r="A55" s="61"/>
      <c r="B55" s="60"/>
      <c r="C55" s="61"/>
      <c r="D55" s="61"/>
      <c r="E55" s="61"/>
      <c r="F55" s="61"/>
      <c r="G55" s="61"/>
      <c r="H55" s="61"/>
      <c r="I55" s="61"/>
      <c r="J55" s="61"/>
      <c r="K55" s="61"/>
    </row>
    <row r="56" ht="15" customHeight="1" spans="1:11" x14ac:dyDescent="0.25">
      <c r="A56" s="65"/>
      <c r="B56" s="64"/>
      <c r="C56" s="65"/>
      <c r="D56" s="65"/>
      <c r="E56" s="65"/>
      <c r="F56" s="65"/>
      <c r="G56" s="65"/>
      <c r="H56" s="65"/>
      <c r="I56" s="65"/>
      <c r="J56" s="65"/>
      <c r="K56" s="65"/>
    </row>
    <row r="57" ht="15" customHeight="1" spans="1:11" x14ac:dyDescent="0.25">
      <c r="A57" s="61"/>
      <c r="B57" s="60"/>
      <c r="C57" s="61"/>
      <c r="D57" s="61"/>
      <c r="E57" s="61"/>
      <c r="F57" s="61"/>
      <c r="G57" s="61"/>
      <c r="H57" s="61"/>
      <c r="I57" s="61"/>
      <c r="J57" s="61"/>
      <c r="K57" s="61"/>
    </row>
    <row r="58" ht="15" customHeight="1" spans="1:11" x14ac:dyDescent="0.25">
      <c r="A58" s="65"/>
      <c r="B58" s="64"/>
      <c r="C58" s="65"/>
      <c r="D58" s="65"/>
      <c r="E58" s="65"/>
      <c r="F58" s="65"/>
      <c r="G58" s="65"/>
      <c r="H58" s="65"/>
      <c r="I58" s="65"/>
      <c r="J58" s="65"/>
      <c r="K58" s="65"/>
    </row>
    <row r="59" ht="15" customHeight="1" spans="1:11" x14ac:dyDescent="0.25">
      <c r="A59" s="61"/>
      <c r="B59" s="60"/>
      <c r="C59" s="61"/>
      <c r="D59" s="61"/>
      <c r="E59" s="61"/>
      <c r="F59" s="61"/>
      <c r="G59" s="61"/>
      <c r="H59" s="61"/>
      <c r="I59" s="61"/>
      <c r="J59" s="61"/>
      <c r="K59" s="61"/>
    </row>
    <row r="60" ht="15" customHeight="1" spans="1:11" x14ac:dyDescent="0.25">
      <c r="A60" s="65"/>
      <c r="B60" s="64"/>
      <c r="C60" s="65"/>
      <c r="D60" s="65"/>
      <c r="E60" s="65"/>
      <c r="F60" s="65"/>
      <c r="G60" s="65"/>
      <c r="H60" s="65"/>
      <c r="I60" s="65"/>
      <c r="J60" s="65"/>
      <c r="K60" s="65"/>
    </row>
    <row r="61" ht="15" customHeight="1" spans="1:11" x14ac:dyDescent="0.25">
      <c r="A61" s="61"/>
      <c r="B61" s="60"/>
      <c r="C61" s="61"/>
      <c r="D61" s="61"/>
      <c r="E61" s="61"/>
      <c r="F61" s="61"/>
      <c r="G61" s="61"/>
      <c r="H61" s="61"/>
      <c r="I61" s="61"/>
      <c r="J61" s="61"/>
      <c r="K61" s="61"/>
    </row>
    <row r="62" ht="15" customHeight="1" spans="1:11" x14ac:dyDescent="0.25">
      <c r="A62" s="65"/>
      <c r="B62" s="64"/>
      <c r="C62" s="65"/>
      <c r="D62" s="65"/>
      <c r="E62" s="65"/>
      <c r="F62" s="65"/>
      <c r="G62" s="65"/>
      <c r="H62" s="65"/>
      <c r="I62" s="65"/>
      <c r="J62" s="65"/>
      <c r="K62" s="65"/>
    </row>
    <row r="63" ht="15" customHeight="1" spans="1:11" x14ac:dyDescent="0.25">
      <c r="A63" s="61"/>
      <c r="B63" s="60"/>
      <c r="C63" s="61"/>
      <c r="D63" s="61"/>
      <c r="E63" s="61"/>
      <c r="F63" s="61"/>
      <c r="G63" s="61"/>
      <c r="H63" s="61"/>
      <c r="I63" s="61"/>
      <c r="J63" s="61"/>
      <c r="K63" s="61"/>
    </row>
    <row r="64" ht="15" customHeight="1" spans="1:11" x14ac:dyDescent="0.25">
      <c r="A64" s="65"/>
      <c r="B64" s="64"/>
      <c r="C64" s="65"/>
      <c r="D64" s="65"/>
      <c r="E64" s="65"/>
      <c r="F64" s="65"/>
      <c r="G64" s="65"/>
      <c r="H64" s="65"/>
      <c r="I64" s="65"/>
      <c r="J64" s="65"/>
      <c r="K64" s="65"/>
    </row>
    <row r="65" ht="15" customHeight="1" spans="1:11" x14ac:dyDescent="0.25">
      <c r="A65" s="61"/>
      <c r="B65" s="60"/>
      <c r="C65" s="61"/>
      <c r="D65" s="61"/>
      <c r="E65" s="61"/>
      <c r="F65" s="61"/>
      <c r="G65" s="61"/>
      <c r="H65" s="61"/>
      <c r="I65" s="61"/>
      <c r="J65" s="61"/>
      <c r="K65" s="61"/>
    </row>
    <row r="66" ht="15" customHeight="1" spans="1:11" x14ac:dyDescent="0.25">
      <c r="A66" s="65"/>
      <c r="B66" s="64"/>
      <c r="C66" s="65"/>
      <c r="D66" s="65"/>
      <c r="E66" s="65"/>
      <c r="F66" s="65"/>
      <c r="G66" s="65"/>
      <c r="H66" s="65"/>
      <c r="I66" s="65"/>
      <c r="J66" s="65"/>
      <c r="K66" s="65"/>
    </row>
    <row r="67" ht="15" customHeight="1" spans="1:11" x14ac:dyDescent="0.25">
      <c r="A67" s="61"/>
      <c r="B67" s="60"/>
      <c r="C67" s="61"/>
      <c r="D67" s="61"/>
      <c r="E67" s="61"/>
      <c r="F67" s="61"/>
      <c r="G67" s="61"/>
      <c r="H67" s="61"/>
      <c r="I67" s="61"/>
      <c r="J67" s="61"/>
      <c r="K67" s="61"/>
    </row>
    <row r="68" ht="15" customHeight="1" spans="1:11" x14ac:dyDescent="0.25">
      <c r="A68" s="65"/>
      <c r="B68" s="64"/>
      <c r="C68" s="65"/>
      <c r="D68" s="65"/>
      <c r="E68" s="65"/>
      <c r="F68" s="65"/>
      <c r="G68" s="65"/>
      <c r="H68" s="65"/>
      <c r="I68" s="65"/>
      <c r="J68" s="65"/>
      <c r="K68" s="65"/>
    </row>
    <row r="69" ht="15" customHeight="1" spans="1:11" x14ac:dyDescent="0.25">
      <c r="A69" s="61"/>
      <c r="B69" s="60"/>
      <c r="C69" s="61"/>
      <c r="D69" s="61"/>
      <c r="E69" s="61"/>
      <c r="F69" s="61"/>
      <c r="G69" s="61"/>
      <c r="H69" s="61"/>
      <c r="I69" s="61"/>
      <c r="J69" s="61"/>
      <c r="K69" s="61"/>
    </row>
    <row r="70" ht="15" customHeight="1" spans="1:11" x14ac:dyDescent="0.25">
      <c r="A70" s="65"/>
      <c r="B70" s="64"/>
      <c r="C70" s="65"/>
      <c r="D70" s="65"/>
      <c r="E70" s="65"/>
      <c r="F70" s="65"/>
      <c r="G70" s="65"/>
      <c r="H70" s="65"/>
      <c r="I70" s="65"/>
      <c r="J70" s="65"/>
      <c r="K70" s="65"/>
    </row>
    <row r="71" ht="15" customHeight="1" spans="1:11" x14ac:dyDescent="0.25">
      <c r="A71" s="61"/>
      <c r="B71" s="60"/>
      <c r="C71" s="61"/>
      <c r="D71" s="61"/>
      <c r="E71" s="61"/>
      <c r="F71" s="61"/>
      <c r="G71" s="61"/>
      <c r="H71" s="61"/>
      <c r="I71" s="61"/>
      <c r="J71" s="61"/>
      <c r="K71" s="61"/>
    </row>
    <row r="72" ht="15" customHeight="1" spans="1:11" x14ac:dyDescent="0.25">
      <c r="A72" s="65"/>
      <c r="B72" s="64"/>
      <c r="C72" s="65"/>
      <c r="D72" s="65"/>
      <c r="E72" s="65"/>
      <c r="F72" s="65"/>
      <c r="G72" s="65"/>
      <c r="H72" s="65"/>
      <c r="I72" s="65"/>
      <c r="J72" s="65"/>
      <c r="K72" s="65"/>
    </row>
    <row r="73" ht="15" customHeight="1" spans="1:11" x14ac:dyDescent="0.25">
      <c r="A73" s="61"/>
      <c r="B73" s="60"/>
      <c r="C73" s="61"/>
      <c r="D73" s="61"/>
      <c r="E73" s="61"/>
      <c r="F73" s="61"/>
      <c r="G73" s="61"/>
      <c r="H73" s="61"/>
      <c r="I73" s="61"/>
      <c r="J73" s="61"/>
      <c r="K73" s="61"/>
    </row>
    <row r="74" ht="15" customHeight="1" spans="1:11" x14ac:dyDescent="0.25">
      <c r="A74" s="65"/>
      <c r="B74" s="64"/>
      <c r="C74" s="65"/>
      <c r="D74" s="65"/>
      <c r="E74" s="65"/>
      <c r="F74" s="65"/>
      <c r="G74" s="65"/>
      <c r="H74" s="65"/>
      <c r="I74" s="65"/>
      <c r="J74" s="65"/>
      <c r="K74" s="65"/>
    </row>
    <row r="75" ht="15" customHeight="1" spans="1:11" x14ac:dyDescent="0.25">
      <c r="A75" s="61"/>
      <c r="B75" s="60"/>
      <c r="C75" s="61"/>
      <c r="D75" s="61"/>
      <c r="E75" s="61"/>
      <c r="F75" s="61"/>
      <c r="G75" s="61"/>
      <c r="H75" s="61"/>
      <c r="I75" s="61"/>
      <c r="J75" s="61"/>
      <c r="K75" s="61"/>
    </row>
    <row r="76" ht="15" customHeight="1" spans="1:11" x14ac:dyDescent="0.25">
      <c r="A76" s="65"/>
      <c r="B76" s="64"/>
      <c r="C76" s="65"/>
      <c r="D76" s="65"/>
      <c r="E76" s="65"/>
      <c r="F76" s="65"/>
      <c r="G76" s="65"/>
      <c r="H76" s="65"/>
      <c r="I76" s="65"/>
      <c r="J76" s="65"/>
      <c r="K76" s="65"/>
    </row>
    <row r="77" ht="15" customHeight="1" spans="1:11" x14ac:dyDescent="0.25">
      <c r="A77" s="61"/>
      <c r="B77" s="60"/>
      <c r="C77" s="61"/>
      <c r="D77" s="61"/>
      <c r="E77" s="61"/>
      <c r="F77" s="61"/>
      <c r="G77" s="61"/>
      <c r="H77" s="61"/>
      <c r="I77" s="61"/>
      <c r="J77" s="61"/>
      <c r="K77" s="61"/>
    </row>
    <row r="78" ht="15" customHeight="1" spans="1:11" x14ac:dyDescent="0.25">
      <c r="A78" s="65"/>
      <c r="B78" s="64"/>
      <c r="C78" s="65"/>
      <c r="D78" s="65"/>
      <c r="E78" s="65"/>
      <c r="F78" s="65"/>
      <c r="G78" s="65"/>
      <c r="H78" s="65"/>
      <c r="I78" s="65"/>
      <c r="J78" s="65"/>
      <c r="K78" s="65"/>
    </row>
    <row r="79" ht="15" customHeight="1" spans="1:11" x14ac:dyDescent="0.25">
      <c r="A79" s="61"/>
      <c r="B79" s="60"/>
      <c r="C79" s="61"/>
      <c r="D79" s="61"/>
      <c r="E79" s="61"/>
      <c r="F79" s="61"/>
      <c r="G79" s="61"/>
      <c r="H79" s="61"/>
      <c r="I79" s="61"/>
      <c r="J79" s="61"/>
      <c r="K79" s="61"/>
    </row>
    <row r="80" ht="15" customHeight="1" spans="1:11" x14ac:dyDescent="0.25">
      <c r="A80" s="65"/>
      <c r="B80" s="64"/>
      <c r="C80" s="65"/>
      <c r="D80" s="65"/>
      <c r="E80" s="65"/>
      <c r="F80" s="65"/>
      <c r="G80" s="65"/>
      <c r="H80" s="65"/>
      <c r="I80" s="65"/>
      <c r="J80" s="65"/>
      <c r="K80" s="65"/>
    </row>
    <row r="81" ht="15" customHeight="1" spans="1:11" x14ac:dyDescent="0.25">
      <c r="A81" s="61"/>
      <c r="B81" s="60"/>
      <c r="C81" s="61"/>
      <c r="D81" s="61"/>
      <c r="E81" s="61"/>
      <c r="F81" s="61"/>
      <c r="G81" s="61"/>
      <c r="H81" s="61"/>
      <c r="I81" s="61"/>
      <c r="J81" s="61"/>
      <c r="K81" s="61"/>
    </row>
    <row r="82" ht="15" customHeight="1" spans="1:11" x14ac:dyDescent="0.25">
      <c r="A82" s="65"/>
      <c r="B82" s="64"/>
      <c r="C82" s="65"/>
      <c r="D82" s="65"/>
      <c r="E82" s="65"/>
      <c r="F82" s="65"/>
      <c r="G82" s="65"/>
      <c r="H82" s="65"/>
      <c r="I82" s="65"/>
      <c r="J82" s="65"/>
      <c r="K82" s="65"/>
    </row>
    <row r="83" ht="15" customHeight="1" spans="1:11" x14ac:dyDescent="0.25">
      <c r="A83" s="61"/>
      <c r="B83" s="60"/>
      <c r="C83" s="61"/>
      <c r="D83" s="61"/>
      <c r="E83" s="61"/>
      <c r="F83" s="61"/>
      <c r="G83" s="61"/>
      <c r="H83" s="61"/>
      <c r="I83" s="61"/>
      <c r="J83" s="61"/>
      <c r="K83" s="61"/>
    </row>
    <row r="84" ht="15" customHeight="1" spans="1:11" x14ac:dyDescent="0.25">
      <c r="A84" s="65"/>
      <c r="B84" s="64"/>
      <c r="C84" s="65"/>
      <c r="D84" s="65"/>
      <c r="E84" s="65"/>
      <c r="F84" s="65"/>
      <c r="G84" s="65"/>
      <c r="H84" s="65"/>
      <c r="I84" s="65"/>
      <c r="J84" s="65"/>
      <c r="K84" s="65"/>
    </row>
    <row r="85" ht="15" customHeight="1" spans="1:11" x14ac:dyDescent="0.25">
      <c r="A85" s="61"/>
      <c r="B85" s="60"/>
      <c r="C85" s="61"/>
      <c r="D85" s="61"/>
      <c r="E85" s="61"/>
      <c r="F85" s="61"/>
      <c r="G85" s="61"/>
      <c r="H85" s="61"/>
      <c r="I85" s="61"/>
      <c r="J85" s="61"/>
      <c r="K85" s="61"/>
    </row>
    <row r="86" ht="15" customHeight="1" spans="1:11" x14ac:dyDescent="0.25">
      <c r="A86" s="65"/>
      <c r="B86" s="64"/>
      <c r="C86" s="65"/>
      <c r="D86" s="65"/>
      <c r="E86" s="65"/>
      <c r="F86" s="65"/>
      <c r="G86" s="65"/>
      <c r="H86" s="65"/>
      <c r="I86" s="65"/>
      <c r="J86" s="65"/>
      <c r="K86" s="65"/>
    </row>
    <row r="87" ht="15" customHeight="1" spans="1:11" x14ac:dyDescent="0.25">
      <c r="A87" s="61"/>
      <c r="B87" s="60"/>
      <c r="C87" s="61"/>
      <c r="D87" s="61"/>
      <c r="E87" s="61"/>
      <c r="F87" s="61"/>
      <c r="G87" s="61"/>
      <c r="H87" s="61"/>
      <c r="I87" s="61"/>
      <c r="J87" s="61"/>
      <c r="K87" s="61"/>
    </row>
    <row r="88" ht="15" customHeight="1" spans="1:11" x14ac:dyDescent="0.25">
      <c r="A88" s="65"/>
      <c r="B88" s="64"/>
      <c r="C88" s="65"/>
      <c r="D88" s="65"/>
      <c r="E88" s="65"/>
      <c r="F88" s="65"/>
      <c r="G88" s="65"/>
      <c r="H88" s="65"/>
      <c r="I88" s="65"/>
      <c r="J88" s="65"/>
      <c r="K88" s="65"/>
    </row>
    <row r="89" ht="15" customHeight="1" spans="1:11" x14ac:dyDescent="0.25">
      <c r="A89" s="61"/>
      <c r="B89" s="60"/>
      <c r="C89" s="61"/>
      <c r="D89" s="61"/>
      <c r="E89" s="61"/>
      <c r="F89" s="61"/>
      <c r="G89" s="61"/>
      <c r="H89" s="61"/>
      <c r="I89" s="61"/>
      <c r="J89" s="61"/>
      <c r="K89" s="61"/>
    </row>
    <row r="90" ht="15" customHeight="1" spans="1:11" x14ac:dyDescent="0.25">
      <c r="A90" s="65"/>
      <c r="B90" s="64"/>
      <c r="C90" s="65"/>
      <c r="D90" s="65"/>
      <c r="E90" s="65"/>
      <c r="F90" s="65"/>
      <c r="G90" s="65"/>
      <c r="H90" s="65"/>
      <c r="I90" s="65"/>
      <c r="J90" s="65"/>
      <c r="K90" s="65"/>
    </row>
    <row r="91" ht="15" customHeight="1" spans="1:11" x14ac:dyDescent="0.25">
      <c r="A91" s="61"/>
      <c r="B91" s="60"/>
      <c r="C91" s="61"/>
      <c r="D91" s="61"/>
      <c r="E91" s="61"/>
      <c r="F91" s="61"/>
      <c r="G91" s="61"/>
      <c r="H91" s="61"/>
      <c r="I91" s="61"/>
      <c r="J91" s="61"/>
      <c r="K91" s="61"/>
    </row>
    <row r="92" ht="15" customHeight="1" spans="1:11" x14ac:dyDescent="0.25">
      <c r="A92" s="65"/>
      <c r="B92" s="64"/>
      <c r="C92" s="65"/>
      <c r="D92" s="65"/>
      <c r="E92" s="65"/>
      <c r="F92" s="65"/>
      <c r="G92" s="65"/>
      <c r="H92" s="65"/>
      <c r="I92" s="65"/>
      <c r="J92" s="65"/>
      <c r="K92" s="65"/>
    </row>
    <row r="93" ht="15" customHeight="1" spans="1:11" x14ac:dyDescent="0.25">
      <c r="A93" s="61"/>
      <c r="B93" s="60"/>
      <c r="C93" s="61"/>
      <c r="D93" s="61"/>
      <c r="E93" s="61"/>
      <c r="F93" s="61"/>
      <c r="G93" s="61"/>
      <c r="H93" s="61"/>
      <c r="I93" s="61"/>
      <c r="J93" s="61"/>
      <c r="K93" s="61"/>
    </row>
    <row r="94" ht="15" customHeight="1" spans="1:11" x14ac:dyDescent="0.25">
      <c r="A94" s="65"/>
      <c r="B94" s="64"/>
      <c r="C94" s="65"/>
      <c r="D94" s="65"/>
      <c r="E94" s="65"/>
      <c r="F94" s="65"/>
      <c r="G94" s="65"/>
      <c r="H94" s="65"/>
      <c r="I94" s="65"/>
      <c r="J94" s="65"/>
      <c r="K94" s="65"/>
    </row>
    <row r="95" ht="15" customHeight="1" spans="1:11" x14ac:dyDescent="0.25">
      <c r="A95" s="61"/>
      <c r="B95" s="60"/>
      <c r="C95" s="61"/>
      <c r="D95" s="61"/>
      <c r="E95" s="61"/>
      <c r="F95" s="61"/>
      <c r="G95" s="61"/>
      <c r="H95" s="61"/>
      <c r="I95" s="61"/>
      <c r="J95" s="61"/>
      <c r="K95" s="61"/>
    </row>
    <row r="96" ht="15" customHeight="1" spans="1:11" x14ac:dyDescent="0.25">
      <c r="A96" s="65"/>
      <c r="B96" s="64"/>
      <c r="C96" s="65"/>
      <c r="D96" s="65"/>
      <c r="E96" s="65"/>
      <c r="F96" s="65"/>
      <c r="G96" s="65"/>
      <c r="H96" s="65"/>
      <c r="I96" s="65"/>
      <c r="J96" s="65"/>
      <c r="K96" s="65"/>
    </row>
    <row r="97" ht="15" customHeight="1" spans="1:11" x14ac:dyDescent="0.25">
      <c r="A97" s="61"/>
      <c r="B97" s="60"/>
      <c r="C97" s="61"/>
      <c r="D97" s="61"/>
      <c r="E97" s="61"/>
      <c r="F97" s="61"/>
      <c r="G97" s="61"/>
      <c r="H97" s="61"/>
      <c r="I97" s="61"/>
      <c r="J97" s="61"/>
      <c r="K97" s="61"/>
    </row>
    <row r="98" ht="15" customHeight="1" spans="1:11" x14ac:dyDescent="0.25">
      <c r="A98" s="65"/>
      <c r="B98" s="64"/>
      <c r="C98" s="65"/>
      <c r="D98" s="65"/>
      <c r="E98" s="65"/>
      <c r="F98" s="65"/>
      <c r="G98" s="65"/>
      <c r="H98" s="65"/>
      <c r="I98" s="65"/>
      <c r="J98" s="65"/>
      <c r="K98" s="65"/>
    </row>
    <row r="99" ht="15" customHeight="1" spans="1:11" x14ac:dyDescent="0.25">
      <c r="A99" s="61"/>
      <c r="B99" s="60"/>
      <c r="C99" s="61"/>
      <c r="D99" s="61"/>
      <c r="E99" s="61"/>
      <c r="F99" s="61"/>
      <c r="G99" s="61"/>
      <c r="H99" s="61"/>
      <c r="I99" s="61"/>
      <c r="J99" s="61"/>
      <c r="K99" s="61"/>
    </row>
    <row r="100" ht="15" customHeight="1" spans="1:11" x14ac:dyDescent="0.25">
      <c r="A100" s="65"/>
      <c r="B100" s="64"/>
      <c r="C100" s="65"/>
      <c r="D100" s="65"/>
      <c r="E100" s="65"/>
      <c r="F100" s="65"/>
      <c r="G100" s="65"/>
      <c r="H100" s="65"/>
      <c r="I100" s="65"/>
      <c r="J100" s="65"/>
      <c r="K100" s="65"/>
    </row>
    <row r="101" ht="15" customHeight="1" spans="1:11" x14ac:dyDescent="0.25">
      <c r="A101" s="61"/>
      <c r="B101" s="60"/>
      <c r="C101" s="61"/>
      <c r="D101" s="61"/>
      <c r="E101" s="61"/>
      <c r="F101" s="61"/>
      <c r="G101" s="61"/>
      <c r="H101" s="61"/>
      <c r="I101" s="61"/>
      <c r="J101" s="61"/>
      <c r="K101" s="61"/>
    </row>
    <row r="102" ht="15" customHeight="1" spans="1:11" x14ac:dyDescent="0.25">
      <c r="A102" s="65"/>
      <c r="B102" s="64"/>
      <c r="C102" s="65"/>
      <c r="D102" s="65"/>
      <c r="E102" s="65"/>
      <c r="F102" s="65"/>
      <c r="G102" s="65"/>
      <c r="H102" s="65"/>
      <c r="I102" s="65"/>
      <c r="J102" s="65"/>
      <c r="K102" s="65"/>
    </row>
    <row r="103" ht="15" customHeight="1" spans="1:11" x14ac:dyDescent="0.25">
      <c r="A103" s="61"/>
      <c r="B103" s="60"/>
      <c r="C103" s="61"/>
      <c r="D103" s="61"/>
      <c r="E103" s="61"/>
      <c r="F103" s="61"/>
      <c r="G103" s="61"/>
      <c r="H103" s="61"/>
      <c r="I103" s="61"/>
      <c r="J103" s="61"/>
      <c r="K103" s="61"/>
    </row>
    <row r="104" ht="15" customHeight="1" spans="1:11" x14ac:dyDescent="0.25">
      <c r="A104" s="65"/>
      <c r="B104" s="64"/>
      <c r="C104" s="65"/>
      <c r="D104" s="65"/>
      <c r="E104" s="65"/>
      <c r="F104" s="65"/>
      <c r="G104" s="65"/>
      <c r="H104" s="65"/>
      <c r="I104" s="65"/>
      <c r="J104" s="65"/>
      <c r="K104" s="65"/>
    </row>
  </sheetData>
  <autoFilter ref="A4:K104"/>
  <mergeCells count="3">
    <mergeCell ref="A1:K1"/>
    <mergeCell ref="A2:K2"/>
    <mergeCell ref="A3:K3"/>
  </mergeCells>
  <conditionalFormatting sqref="A5:K104">
    <cfRule type="expression" dxfId="40" priority="1">
      <formula>$I5="Open"</formula>
    </cfRule>
    <cfRule type="expression" dxfId="41" priority="2">
      <formula>$I5="Deferred"</formula>
    </cfRule>
    <cfRule type="expression" dxfId="42" priority="3">
      <formula>$I5="Decided"</formula>
    </cfRule>
  </conditionalFormatting>
  <dataValidations count="1">
    <dataValidation type="list" allowBlank="1" showErrorMessage="1" errorStyle="warning" errorTitle="Value not in list" error="Pick a value from the drop-down, or override deliberately." sqref="I5:I104">
      <formula1>'13_Dropdowns'!$L$2:$L$4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3F"/>
  </sheetPr>
  <dimension ref="A1:H101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3" width="20" customWidth="1"/>
    <col min="4" max="4" width="58" customWidth="1"/>
    <col min="5" max="5" width="30" customWidth="1"/>
    <col min="6" max="6" width="13" customWidth="1"/>
    <col min="7" max="7" width="20" customWidth="1"/>
    <col min="8" max="8" width="52" customWidth="1"/>
  </cols>
  <sheetData>
    <row r="1" ht="26" customHeight="1" spans="1:8" x14ac:dyDescent="0.25">
      <c r="A1" s="33" t="s">
        <v>2687</v>
      </c>
      <c r="B1" s="33"/>
      <c r="C1" s="33"/>
      <c r="D1" s="33"/>
      <c r="E1" s="33"/>
      <c r="F1" s="33"/>
      <c r="G1" s="33"/>
      <c r="H1" s="33"/>
    </row>
    <row r="2" ht="18" customHeight="1" spans="1:8" x14ac:dyDescent="0.25">
      <c r="A2" s="34" t="s">
        <v>2688</v>
      </c>
      <c r="B2" s="34"/>
      <c r="C2" s="34"/>
      <c r="D2" s="34"/>
      <c r="E2" s="34"/>
      <c r="F2" s="34"/>
      <c r="G2" s="34"/>
      <c r="H2" s="34"/>
    </row>
    <row r="3" ht="16" customHeight="1" spans="1:8" x14ac:dyDescent="0.25">
      <c r="A3" s="59" t="s">
        <v>2459</v>
      </c>
      <c r="B3" s="59"/>
      <c r="C3" s="59"/>
      <c r="D3" s="59"/>
      <c r="E3" s="59"/>
      <c r="F3" s="59"/>
      <c r="G3" s="59"/>
      <c r="H3" s="59"/>
    </row>
    <row r="4" ht="32" customHeight="1" spans="1:8" x14ac:dyDescent="0.25">
      <c r="A4" s="37" t="s">
        <v>2689</v>
      </c>
      <c r="B4" s="37" t="s">
        <v>209</v>
      </c>
      <c r="C4" s="37" t="s">
        <v>2690</v>
      </c>
      <c r="D4" s="37" t="s">
        <v>217</v>
      </c>
      <c r="E4" s="37" t="s">
        <v>2691</v>
      </c>
      <c r="F4" s="37" t="s">
        <v>63</v>
      </c>
      <c r="G4" s="37" t="s">
        <v>2505</v>
      </c>
      <c r="H4" s="37" t="s">
        <v>225</v>
      </c>
    </row>
    <row r="5" ht="28" customHeight="1" spans="1:8" x14ac:dyDescent="0.25">
      <c r="A5" s="62" t="s">
        <v>2692</v>
      </c>
      <c r="B5" s="61" t="s">
        <v>530</v>
      </c>
      <c r="C5" s="61" t="s">
        <v>2693</v>
      </c>
      <c r="D5" s="61" t="s">
        <v>2694</v>
      </c>
      <c r="E5" s="61" t="s">
        <v>148</v>
      </c>
      <c r="F5" s="63" t="s">
        <v>2695</v>
      </c>
      <c r="G5" s="61" t="s">
        <v>2696</v>
      </c>
      <c r="H5" s="61" t="s">
        <v>2697</v>
      </c>
    </row>
    <row r="6" ht="28" customHeight="1" spans="1:8" x14ac:dyDescent="0.25">
      <c r="A6" s="66" t="s">
        <v>2698</v>
      </c>
      <c r="B6" s="65" t="s">
        <v>2433</v>
      </c>
      <c r="C6" s="65" t="s">
        <v>2693</v>
      </c>
      <c r="D6" s="65" t="s">
        <v>2699</v>
      </c>
      <c r="E6" s="65" t="s">
        <v>150</v>
      </c>
      <c r="F6" s="67" t="s">
        <v>2695</v>
      </c>
      <c r="G6" s="65" t="s">
        <v>2696</v>
      </c>
      <c r="H6" s="65" t="s">
        <v>2697</v>
      </c>
    </row>
    <row r="7" ht="28" customHeight="1" spans="1:8" x14ac:dyDescent="0.25">
      <c r="A7" s="62" t="s">
        <v>2700</v>
      </c>
      <c r="B7" s="61" t="s">
        <v>1676</v>
      </c>
      <c r="C7" s="61" t="s">
        <v>2693</v>
      </c>
      <c r="D7" s="61" t="s">
        <v>2699</v>
      </c>
      <c r="E7" s="61" t="s">
        <v>151</v>
      </c>
      <c r="F7" s="63" t="s">
        <v>2695</v>
      </c>
      <c r="G7" s="61" t="s">
        <v>2696</v>
      </c>
      <c r="H7" s="61" t="s">
        <v>2697</v>
      </c>
    </row>
    <row r="8" ht="28" customHeight="1" spans="1:8" x14ac:dyDescent="0.25">
      <c r="A8" s="66" t="s">
        <v>2701</v>
      </c>
      <c r="B8" s="65" t="s">
        <v>695</v>
      </c>
      <c r="C8" s="65" t="s">
        <v>2693</v>
      </c>
      <c r="D8" s="65" t="s">
        <v>2702</v>
      </c>
      <c r="E8" s="65" t="s">
        <v>152</v>
      </c>
      <c r="F8" s="67" t="s">
        <v>2695</v>
      </c>
      <c r="G8" s="65" t="s">
        <v>2696</v>
      </c>
      <c r="H8" s="65" t="s">
        <v>2697</v>
      </c>
    </row>
    <row r="9" ht="28" customHeight="1" spans="1:8" x14ac:dyDescent="0.25">
      <c r="A9" s="62" t="s">
        <v>2703</v>
      </c>
      <c r="B9" s="61" t="s">
        <v>2434</v>
      </c>
      <c r="C9" s="61" t="s">
        <v>2693</v>
      </c>
      <c r="D9" s="61" t="s">
        <v>2704</v>
      </c>
      <c r="E9" s="61" t="s">
        <v>153</v>
      </c>
      <c r="F9" s="63" t="s">
        <v>2695</v>
      </c>
      <c r="G9" s="61" t="s">
        <v>2696</v>
      </c>
      <c r="H9" s="61" t="s">
        <v>2697</v>
      </c>
    </row>
    <row r="10" ht="28" customHeight="1" spans="1:8" x14ac:dyDescent="0.25">
      <c r="A10" s="66" t="s">
        <v>2705</v>
      </c>
      <c r="B10" s="65" t="s">
        <v>855</v>
      </c>
      <c r="C10" s="65" t="s">
        <v>2693</v>
      </c>
      <c r="D10" s="65" t="s">
        <v>2706</v>
      </c>
      <c r="E10" s="65" t="s">
        <v>155</v>
      </c>
      <c r="F10" s="67" t="s">
        <v>2695</v>
      </c>
      <c r="G10" s="65" t="s">
        <v>2696</v>
      </c>
      <c r="H10" s="65" t="s">
        <v>2697</v>
      </c>
    </row>
    <row r="11" ht="28" customHeight="1" spans="1:8" x14ac:dyDescent="0.25">
      <c r="A11" s="62" t="s">
        <v>2707</v>
      </c>
      <c r="B11" s="61" t="s">
        <v>2435</v>
      </c>
      <c r="C11" s="61" t="s">
        <v>2693</v>
      </c>
      <c r="D11" s="61" t="s">
        <v>2708</v>
      </c>
      <c r="E11" s="61" t="s">
        <v>156</v>
      </c>
      <c r="F11" s="63" t="s">
        <v>2695</v>
      </c>
      <c r="G11" s="61" t="s">
        <v>2696</v>
      </c>
      <c r="H11" s="61" t="s">
        <v>2697</v>
      </c>
    </row>
    <row r="12" ht="28" customHeight="1" spans="1:8" x14ac:dyDescent="0.25">
      <c r="A12" s="66" t="s">
        <v>2709</v>
      </c>
      <c r="B12" s="65" t="s">
        <v>993</v>
      </c>
      <c r="C12" s="65" t="s">
        <v>2693</v>
      </c>
      <c r="D12" s="65" t="s">
        <v>2708</v>
      </c>
      <c r="E12" s="65" t="s">
        <v>157</v>
      </c>
      <c r="F12" s="67" t="s">
        <v>2695</v>
      </c>
      <c r="G12" s="65" t="s">
        <v>2696</v>
      </c>
      <c r="H12" s="65" t="s">
        <v>2697</v>
      </c>
    </row>
    <row r="13" ht="28" customHeight="1" spans="1:8" x14ac:dyDescent="0.25">
      <c r="A13" s="62" t="s">
        <v>2710</v>
      </c>
      <c r="B13" s="61" t="s">
        <v>1039</v>
      </c>
      <c r="C13" s="61" t="s">
        <v>2693</v>
      </c>
      <c r="D13" s="61" t="s">
        <v>2711</v>
      </c>
      <c r="E13" s="61" t="s">
        <v>159</v>
      </c>
      <c r="F13" s="63" t="s">
        <v>2695</v>
      </c>
      <c r="G13" s="61" t="s">
        <v>2696</v>
      </c>
      <c r="H13" s="61" t="s">
        <v>2697</v>
      </c>
    </row>
    <row r="14" ht="28" customHeight="1" spans="1:8" x14ac:dyDescent="0.25">
      <c r="A14" s="66" t="s">
        <v>2712</v>
      </c>
      <c r="B14" s="65" t="s">
        <v>2436</v>
      </c>
      <c r="C14" s="65" t="s">
        <v>2693</v>
      </c>
      <c r="D14" s="65" t="s">
        <v>2713</v>
      </c>
      <c r="E14" s="65" t="s">
        <v>160</v>
      </c>
      <c r="F14" s="67" t="s">
        <v>2695</v>
      </c>
      <c r="G14" s="65" t="s">
        <v>2696</v>
      </c>
      <c r="H14" s="65" t="s">
        <v>2697</v>
      </c>
    </row>
    <row r="15" ht="28" customHeight="1" spans="1:8" x14ac:dyDescent="0.25">
      <c r="A15" s="62" t="s">
        <v>2714</v>
      </c>
      <c r="B15" s="61" t="s">
        <v>1184</v>
      </c>
      <c r="C15" s="61" t="s">
        <v>2693</v>
      </c>
      <c r="D15" s="61" t="s">
        <v>2715</v>
      </c>
      <c r="E15" s="61" t="s">
        <v>162</v>
      </c>
      <c r="F15" s="63" t="s">
        <v>2695</v>
      </c>
      <c r="G15" s="61" t="s">
        <v>2696</v>
      </c>
      <c r="H15" s="61" t="s">
        <v>2697</v>
      </c>
    </row>
    <row r="16" ht="28" customHeight="1" spans="1:8" x14ac:dyDescent="0.25">
      <c r="A16" s="66" t="s">
        <v>2716</v>
      </c>
      <c r="B16" s="65" t="s">
        <v>2437</v>
      </c>
      <c r="C16" s="65" t="s">
        <v>2693</v>
      </c>
      <c r="D16" s="65" t="s">
        <v>2717</v>
      </c>
      <c r="E16" s="65" t="s">
        <v>163</v>
      </c>
      <c r="F16" s="67" t="s">
        <v>2695</v>
      </c>
      <c r="G16" s="65" t="s">
        <v>2696</v>
      </c>
      <c r="H16" s="65" t="s">
        <v>2697</v>
      </c>
    </row>
    <row r="17" ht="28" customHeight="1" spans="1:8" x14ac:dyDescent="0.25">
      <c r="A17" s="62" t="s">
        <v>2718</v>
      </c>
      <c r="B17" s="61" t="s">
        <v>2438</v>
      </c>
      <c r="C17" s="61" t="s">
        <v>2693</v>
      </c>
      <c r="D17" s="61" t="s">
        <v>2719</v>
      </c>
      <c r="E17" s="61" t="s">
        <v>164</v>
      </c>
      <c r="F17" s="63" t="s">
        <v>2695</v>
      </c>
      <c r="G17" s="61" t="s">
        <v>2696</v>
      </c>
      <c r="H17" s="61" t="s">
        <v>2697</v>
      </c>
    </row>
    <row r="18" ht="28" customHeight="1" spans="1:8" x14ac:dyDescent="0.25">
      <c r="A18" s="66" t="s">
        <v>2720</v>
      </c>
      <c r="B18" s="65" t="s">
        <v>2439</v>
      </c>
      <c r="C18" s="65" t="s">
        <v>2693</v>
      </c>
      <c r="D18" s="65" t="s">
        <v>2721</v>
      </c>
      <c r="E18" s="65" t="s">
        <v>165</v>
      </c>
      <c r="F18" s="67" t="s">
        <v>2695</v>
      </c>
      <c r="G18" s="65" t="s">
        <v>2696</v>
      </c>
      <c r="H18" s="65" t="s">
        <v>2697</v>
      </c>
    </row>
    <row r="19" ht="28" customHeight="1" spans="1:8" x14ac:dyDescent="0.25">
      <c r="A19" s="62" t="s">
        <v>2722</v>
      </c>
      <c r="B19" s="61" t="s">
        <v>1388</v>
      </c>
      <c r="C19" s="61" t="s">
        <v>2693</v>
      </c>
      <c r="D19" s="61" t="s">
        <v>2717</v>
      </c>
      <c r="E19" s="61" t="s">
        <v>166</v>
      </c>
      <c r="F19" s="63" t="s">
        <v>2695</v>
      </c>
      <c r="G19" s="61" t="s">
        <v>2696</v>
      </c>
      <c r="H19" s="61" t="s">
        <v>2697</v>
      </c>
    </row>
    <row r="20" ht="28" customHeight="1" spans="1:8" x14ac:dyDescent="0.25">
      <c r="A20" s="66" t="s">
        <v>2723</v>
      </c>
      <c r="B20" s="65" t="s">
        <v>1456</v>
      </c>
      <c r="C20" s="65" t="s">
        <v>2693</v>
      </c>
      <c r="D20" s="65" t="s">
        <v>2724</v>
      </c>
      <c r="E20" s="65" t="s">
        <v>168</v>
      </c>
      <c r="F20" s="67" t="s">
        <v>2695</v>
      </c>
      <c r="G20" s="65" t="s">
        <v>2696</v>
      </c>
      <c r="H20" s="65" t="s">
        <v>2697</v>
      </c>
    </row>
    <row r="21" ht="28" customHeight="1" spans="1:8" x14ac:dyDescent="0.25">
      <c r="A21" s="62" t="s">
        <v>2725</v>
      </c>
      <c r="B21" s="61" t="s">
        <v>2440</v>
      </c>
      <c r="C21" s="61" t="s">
        <v>2693</v>
      </c>
      <c r="D21" s="61" t="s">
        <v>2726</v>
      </c>
      <c r="E21" s="61" t="s">
        <v>169</v>
      </c>
      <c r="F21" s="63" t="s">
        <v>2695</v>
      </c>
      <c r="G21" s="61" t="s">
        <v>2696</v>
      </c>
      <c r="H21" s="61" t="s">
        <v>2697</v>
      </c>
    </row>
    <row r="22" ht="28" customHeight="1" spans="1:8" x14ac:dyDescent="0.25">
      <c r="A22" s="66" t="s">
        <v>2727</v>
      </c>
      <c r="B22" s="65" t="s">
        <v>2441</v>
      </c>
      <c r="C22" s="65" t="s">
        <v>2693</v>
      </c>
      <c r="D22" s="65" t="s">
        <v>2724</v>
      </c>
      <c r="E22" s="65" t="s">
        <v>170</v>
      </c>
      <c r="F22" s="67" t="s">
        <v>2695</v>
      </c>
      <c r="G22" s="65" t="s">
        <v>2696</v>
      </c>
      <c r="H22" s="65" t="s">
        <v>2697</v>
      </c>
    </row>
    <row r="23" ht="28" customHeight="1" spans="1:8" x14ac:dyDescent="0.25">
      <c r="A23" s="62" t="s">
        <v>2728</v>
      </c>
      <c r="B23" s="61" t="s">
        <v>2442</v>
      </c>
      <c r="C23" s="61" t="s">
        <v>2693</v>
      </c>
      <c r="D23" s="61" t="s">
        <v>2717</v>
      </c>
      <c r="E23" s="61" t="s">
        <v>171</v>
      </c>
      <c r="F23" s="63" t="s">
        <v>2695</v>
      </c>
      <c r="G23" s="61" t="s">
        <v>2696</v>
      </c>
      <c r="H23" s="61" t="s">
        <v>2697</v>
      </c>
    </row>
    <row r="24" ht="28" customHeight="1" spans="1:8" x14ac:dyDescent="0.25">
      <c r="A24" s="66" t="s">
        <v>2729</v>
      </c>
      <c r="B24" s="65" t="s">
        <v>2443</v>
      </c>
      <c r="C24" s="65" t="s">
        <v>2693</v>
      </c>
      <c r="D24" s="65" t="s">
        <v>2730</v>
      </c>
      <c r="E24" s="65" t="s">
        <v>173</v>
      </c>
      <c r="F24" s="67" t="s">
        <v>2695</v>
      </c>
      <c r="G24" s="65" t="s">
        <v>2696</v>
      </c>
      <c r="H24" s="65" t="s">
        <v>2697</v>
      </c>
    </row>
    <row r="25" ht="28" customHeight="1" spans="1:8" x14ac:dyDescent="0.25">
      <c r="A25" s="62" t="s">
        <v>2731</v>
      </c>
      <c r="B25" s="61" t="s">
        <v>2444</v>
      </c>
      <c r="C25" s="61" t="s">
        <v>2693</v>
      </c>
      <c r="D25" s="61" t="s">
        <v>2732</v>
      </c>
      <c r="E25" s="61" t="s">
        <v>174</v>
      </c>
      <c r="F25" s="63" t="s">
        <v>2695</v>
      </c>
      <c r="G25" s="61" t="s">
        <v>2696</v>
      </c>
      <c r="H25" s="61" t="s">
        <v>2697</v>
      </c>
    </row>
    <row r="26" ht="28" customHeight="1" spans="1:8" x14ac:dyDescent="0.25">
      <c r="A26" s="66" t="s">
        <v>2733</v>
      </c>
      <c r="B26" s="65" t="s">
        <v>1749</v>
      </c>
      <c r="C26" s="65" t="s">
        <v>2693</v>
      </c>
      <c r="D26" s="65" t="s">
        <v>2734</v>
      </c>
      <c r="E26" s="65" t="s">
        <v>176</v>
      </c>
      <c r="F26" s="67" t="s">
        <v>2695</v>
      </c>
      <c r="G26" s="65" t="s">
        <v>2696</v>
      </c>
      <c r="H26" s="65" t="s">
        <v>2697</v>
      </c>
    </row>
    <row r="27" ht="28" customHeight="1" spans="1:8" x14ac:dyDescent="0.25">
      <c r="A27" s="62" t="s">
        <v>2735</v>
      </c>
      <c r="B27" s="61" t="s">
        <v>2445</v>
      </c>
      <c r="C27" s="61" t="s">
        <v>2693</v>
      </c>
      <c r="D27" s="61" t="s">
        <v>2736</v>
      </c>
      <c r="E27" s="61" t="s">
        <v>177</v>
      </c>
      <c r="F27" s="63" t="s">
        <v>2695</v>
      </c>
      <c r="G27" s="61" t="s">
        <v>2696</v>
      </c>
      <c r="H27" s="61" t="s">
        <v>2697</v>
      </c>
    </row>
    <row r="28" ht="28" customHeight="1" spans="1:8" x14ac:dyDescent="0.25">
      <c r="A28" s="66" t="s">
        <v>2737</v>
      </c>
      <c r="B28" s="65" t="s">
        <v>1866</v>
      </c>
      <c r="C28" s="65" t="s">
        <v>2693</v>
      </c>
      <c r="D28" s="65" t="s">
        <v>2734</v>
      </c>
      <c r="E28" s="65" t="s">
        <v>178</v>
      </c>
      <c r="F28" s="67" t="s">
        <v>2695</v>
      </c>
      <c r="G28" s="65" t="s">
        <v>2696</v>
      </c>
      <c r="H28" s="65" t="s">
        <v>2697</v>
      </c>
    </row>
    <row r="29" ht="28" customHeight="1" spans="1:8" x14ac:dyDescent="0.25">
      <c r="A29" s="62" t="s">
        <v>2738</v>
      </c>
      <c r="B29" s="61" t="s">
        <v>2446</v>
      </c>
      <c r="C29" s="61" t="s">
        <v>2693</v>
      </c>
      <c r="D29" s="61" t="s">
        <v>2739</v>
      </c>
      <c r="E29" s="61" t="s">
        <v>180</v>
      </c>
      <c r="F29" s="63" t="s">
        <v>2695</v>
      </c>
      <c r="G29" s="61" t="s">
        <v>2696</v>
      </c>
      <c r="H29" s="61" t="s">
        <v>2697</v>
      </c>
    </row>
    <row r="30" ht="28" customHeight="1" spans="1:8" x14ac:dyDescent="0.25">
      <c r="A30" s="66" t="s">
        <v>2740</v>
      </c>
      <c r="B30" s="65" t="s">
        <v>2447</v>
      </c>
      <c r="C30" s="65" t="s">
        <v>2693</v>
      </c>
      <c r="D30" s="65" t="s">
        <v>2741</v>
      </c>
      <c r="E30" s="65" t="s">
        <v>181</v>
      </c>
      <c r="F30" s="67" t="s">
        <v>2695</v>
      </c>
      <c r="G30" s="65" t="s">
        <v>2696</v>
      </c>
      <c r="H30" s="65" t="s">
        <v>2697</v>
      </c>
    </row>
    <row r="31" ht="28" customHeight="1" spans="1:8" x14ac:dyDescent="0.25">
      <c r="A31" s="62" t="s">
        <v>2742</v>
      </c>
      <c r="B31" s="61" t="s">
        <v>2448</v>
      </c>
      <c r="C31" s="61" t="s">
        <v>2693</v>
      </c>
      <c r="D31" s="61" t="s">
        <v>2743</v>
      </c>
      <c r="E31" s="61" t="s">
        <v>182</v>
      </c>
      <c r="F31" s="63" t="s">
        <v>2695</v>
      </c>
      <c r="G31" s="61" t="s">
        <v>2696</v>
      </c>
      <c r="H31" s="61" t="s">
        <v>2697</v>
      </c>
    </row>
    <row r="32" ht="28" customHeight="1" spans="1:8" x14ac:dyDescent="0.25">
      <c r="A32" s="66" t="s">
        <v>2744</v>
      </c>
      <c r="B32" s="65" t="s">
        <v>2449</v>
      </c>
      <c r="C32" s="65" t="s">
        <v>2693</v>
      </c>
      <c r="D32" s="65" t="s">
        <v>2739</v>
      </c>
      <c r="E32" s="65" t="s">
        <v>183</v>
      </c>
      <c r="F32" s="67" t="s">
        <v>2695</v>
      </c>
      <c r="G32" s="65" t="s">
        <v>2696</v>
      </c>
      <c r="H32" s="65" t="s">
        <v>2697</v>
      </c>
    </row>
    <row r="33" ht="28" customHeight="1" spans="1:8" x14ac:dyDescent="0.25">
      <c r="A33" s="62" t="s">
        <v>2745</v>
      </c>
      <c r="B33" s="61" t="s">
        <v>2118</v>
      </c>
      <c r="C33" s="61" t="s">
        <v>2693</v>
      </c>
      <c r="D33" s="61" t="s">
        <v>2730</v>
      </c>
      <c r="E33" s="61" t="s">
        <v>184</v>
      </c>
      <c r="F33" s="63" t="s">
        <v>2695</v>
      </c>
      <c r="G33" s="61" t="s">
        <v>2696</v>
      </c>
      <c r="H33" s="61" t="s">
        <v>2697</v>
      </c>
    </row>
    <row r="34" ht="28" customHeight="1" spans="1:8" x14ac:dyDescent="0.25">
      <c r="A34" s="66" t="s">
        <v>2746</v>
      </c>
      <c r="B34" s="65" t="s">
        <v>2450</v>
      </c>
      <c r="C34" s="65" t="s">
        <v>2693</v>
      </c>
      <c r="D34" s="65" t="s">
        <v>2694</v>
      </c>
      <c r="E34" s="65" t="s">
        <v>186</v>
      </c>
      <c r="F34" s="67" t="s">
        <v>2695</v>
      </c>
      <c r="G34" s="65" t="s">
        <v>2696</v>
      </c>
      <c r="H34" s="65" t="s">
        <v>2697</v>
      </c>
    </row>
    <row r="35" ht="28" customHeight="1" spans="1:8" x14ac:dyDescent="0.25">
      <c r="A35" s="62" t="s">
        <v>2747</v>
      </c>
      <c r="B35" s="61" t="s">
        <v>2451</v>
      </c>
      <c r="C35" s="61" t="s">
        <v>2693</v>
      </c>
      <c r="D35" s="61" t="s">
        <v>2748</v>
      </c>
      <c r="E35" s="61" t="s">
        <v>187</v>
      </c>
      <c r="F35" s="63" t="s">
        <v>2695</v>
      </c>
      <c r="G35" s="61" t="s">
        <v>2696</v>
      </c>
      <c r="H35" s="61" t="s">
        <v>2697</v>
      </c>
    </row>
    <row r="36" ht="28" customHeight="1" spans="1:8" x14ac:dyDescent="0.25">
      <c r="A36" s="66" t="s">
        <v>2749</v>
      </c>
      <c r="B36" s="65" t="s">
        <v>2452</v>
      </c>
      <c r="C36" s="65" t="s">
        <v>2693</v>
      </c>
      <c r="D36" s="65" t="s">
        <v>2730</v>
      </c>
      <c r="E36" s="65" t="s">
        <v>188</v>
      </c>
      <c r="F36" s="67" t="s">
        <v>2695</v>
      </c>
      <c r="G36" s="65" t="s">
        <v>2696</v>
      </c>
      <c r="H36" s="65" t="s">
        <v>2697</v>
      </c>
    </row>
    <row r="37" ht="28" customHeight="1" spans="1:8" x14ac:dyDescent="0.25">
      <c r="A37" s="62" t="s">
        <v>2750</v>
      </c>
      <c r="B37" s="61" t="s">
        <v>2453</v>
      </c>
      <c r="C37" s="61" t="s">
        <v>2693</v>
      </c>
      <c r="D37" s="61" t="s">
        <v>2694</v>
      </c>
      <c r="E37" s="61" t="s">
        <v>189</v>
      </c>
      <c r="F37" s="63" t="s">
        <v>2695</v>
      </c>
      <c r="G37" s="61" t="s">
        <v>2696</v>
      </c>
      <c r="H37" s="61" t="s">
        <v>2697</v>
      </c>
    </row>
    <row r="38" ht="28" customHeight="1" spans="1:8" x14ac:dyDescent="0.25">
      <c r="A38" s="66" t="s">
        <v>2751</v>
      </c>
      <c r="B38" s="65" t="s">
        <v>2335</v>
      </c>
      <c r="C38" s="65" t="s">
        <v>2693</v>
      </c>
      <c r="D38" s="65" t="s">
        <v>2752</v>
      </c>
      <c r="E38" s="65" t="s">
        <v>191</v>
      </c>
      <c r="F38" s="67" t="s">
        <v>2695</v>
      </c>
      <c r="G38" s="65" t="s">
        <v>2696</v>
      </c>
      <c r="H38" s="65" t="s">
        <v>2697</v>
      </c>
    </row>
    <row r="39" ht="28" customHeight="1" spans="1:8" x14ac:dyDescent="0.25">
      <c r="A39" s="62" t="s">
        <v>2753</v>
      </c>
      <c r="B39" s="61" t="s">
        <v>2405</v>
      </c>
      <c r="C39" s="61" t="s">
        <v>2693</v>
      </c>
      <c r="D39" s="61" t="s">
        <v>2754</v>
      </c>
      <c r="E39" s="61" t="s">
        <v>193</v>
      </c>
      <c r="F39" s="63" t="s">
        <v>2695</v>
      </c>
      <c r="G39" s="61" t="s">
        <v>2696</v>
      </c>
      <c r="H39" s="61" t="s">
        <v>2697</v>
      </c>
    </row>
    <row r="40" ht="28" customHeight="1" spans="1:8" x14ac:dyDescent="0.25">
      <c r="A40" s="66" t="s">
        <v>2755</v>
      </c>
      <c r="B40" s="65" t="s">
        <v>2454</v>
      </c>
      <c r="C40" s="65" t="s">
        <v>2693</v>
      </c>
      <c r="D40" s="65" t="s">
        <v>2756</v>
      </c>
      <c r="E40" s="65" t="s">
        <v>195</v>
      </c>
      <c r="F40" s="67" t="s">
        <v>2695</v>
      </c>
      <c r="G40" s="65" t="s">
        <v>2696</v>
      </c>
      <c r="H40" s="65" t="s">
        <v>2697</v>
      </c>
    </row>
    <row r="41" ht="28" customHeight="1" spans="1:8" x14ac:dyDescent="0.25">
      <c r="A41" s="62" t="s">
        <v>2757</v>
      </c>
      <c r="B41" s="61" t="s">
        <v>233</v>
      </c>
      <c r="C41" s="61" t="s">
        <v>2758</v>
      </c>
      <c r="D41" s="61" t="s">
        <v>2759</v>
      </c>
      <c r="E41" s="61" t="s">
        <v>2760</v>
      </c>
      <c r="F41" s="63" t="s">
        <v>31</v>
      </c>
      <c r="G41" s="61" t="s">
        <v>2512</v>
      </c>
      <c r="H41" s="61" t="s">
        <v>2761</v>
      </c>
    </row>
    <row r="42" ht="28" customHeight="1" spans="1:8" x14ac:dyDescent="0.25">
      <c r="A42" s="66" t="s">
        <v>2762</v>
      </c>
      <c r="B42" s="65" t="s">
        <v>233</v>
      </c>
      <c r="C42" s="65" t="s">
        <v>2758</v>
      </c>
      <c r="D42" s="65" t="s">
        <v>2763</v>
      </c>
      <c r="E42" s="65" t="s">
        <v>2764</v>
      </c>
      <c r="F42" s="67" t="s">
        <v>31</v>
      </c>
      <c r="G42" s="65" t="s">
        <v>2512</v>
      </c>
      <c r="H42" s="65" t="s">
        <v>2765</v>
      </c>
    </row>
    <row r="43" ht="28" customHeight="1" spans="1:8" x14ac:dyDescent="0.25">
      <c r="A43" s="62" t="s">
        <v>2766</v>
      </c>
      <c r="B43" s="61" t="s">
        <v>233</v>
      </c>
      <c r="C43" s="61" t="s">
        <v>2758</v>
      </c>
      <c r="D43" s="61" t="s">
        <v>2767</v>
      </c>
      <c r="E43" s="61" t="s">
        <v>2768</v>
      </c>
      <c r="F43" s="63" t="s">
        <v>31</v>
      </c>
      <c r="G43" s="61" t="s">
        <v>2512</v>
      </c>
      <c r="H43" s="61" t="s">
        <v>2769</v>
      </c>
    </row>
    <row r="44" ht="28" customHeight="1" spans="1:8" x14ac:dyDescent="0.25">
      <c r="A44" s="66" t="s">
        <v>2770</v>
      </c>
      <c r="B44" s="65" t="s">
        <v>233</v>
      </c>
      <c r="C44" s="65" t="s">
        <v>2758</v>
      </c>
      <c r="D44" s="65" t="s">
        <v>2771</v>
      </c>
      <c r="E44" s="65" t="s">
        <v>2772</v>
      </c>
      <c r="F44" s="67" t="s">
        <v>31</v>
      </c>
      <c r="G44" s="65" t="s">
        <v>2512</v>
      </c>
      <c r="H44" s="65" t="s">
        <v>2773</v>
      </c>
    </row>
    <row r="45" ht="28" customHeight="1" spans="1:8" x14ac:dyDescent="0.25">
      <c r="A45" s="62" t="s">
        <v>2774</v>
      </c>
      <c r="B45" s="61" t="s">
        <v>233</v>
      </c>
      <c r="C45" s="61" t="s">
        <v>2758</v>
      </c>
      <c r="D45" s="61" t="s">
        <v>2775</v>
      </c>
      <c r="E45" s="61" t="s">
        <v>2776</v>
      </c>
      <c r="F45" s="63" t="s">
        <v>31</v>
      </c>
      <c r="G45" s="61" t="s">
        <v>2512</v>
      </c>
      <c r="H45" s="61" t="s">
        <v>2777</v>
      </c>
    </row>
    <row r="46" ht="28" customHeight="1" spans="1:8" x14ac:dyDescent="0.25">
      <c r="A46" s="66" t="s">
        <v>2778</v>
      </c>
      <c r="B46" s="65" t="s">
        <v>233</v>
      </c>
      <c r="C46" s="65" t="s">
        <v>2758</v>
      </c>
      <c r="D46" s="65" t="s">
        <v>2779</v>
      </c>
      <c r="E46" s="65" t="s">
        <v>2780</v>
      </c>
      <c r="F46" s="67" t="s">
        <v>31</v>
      </c>
      <c r="G46" s="65" t="s">
        <v>2512</v>
      </c>
      <c r="H46" s="65" t="s">
        <v>2781</v>
      </c>
    </row>
    <row r="47" ht="28" customHeight="1" spans="1:8" x14ac:dyDescent="0.25">
      <c r="A47" s="62" t="s">
        <v>2782</v>
      </c>
      <c r="B47" s="61" t="s">
        <v>233</v>
      </c>
      <c r="C47" s="61" t="s">
        <v>2758</v>
      </c>
      <c r="D47" s="61" t="s">
        <v>2783</v>
      </c>
      <c r="E47" s="61" t="s">
        <v>2784</v>
      </c>
      <c r="F47" s="63" t="s">
        <v>31</v>
      </c>
      <c r="G47" s="61" t="s">
        <v>2560</v>
      </c>
      <c r="H47" s="61" t="s">
        <v>2785</v>
      </c>
    </row>
    <row r="48" ht="28" customHeight="1" spans="1:8" x14ac:dyDescent="0.25">
      <c r="A48" s="66" t="s">
        <v>2786</v>
      </c>
      <c r="B48" s="65" t="s">
        <v>233</v>
      </c>
      <c r="C48" s="65" t="s">
        <v>2758</v>
      </c>
      <c r="D48" s="65" t="s">
        <v>2787</v>
      </c>
      <c r="E48" s="65" t="s">
        <v>2788</v>
      </c>
      <c r="F48" s="67" t="s">
        <v>31</v>
      </c>
      <c r="G48" s="65" t="s">
        <v>2512</v>
      </c>
      <c r="H48" s="65" t="s">
        <v>2789</v>
      </c>
    </row>
    <row r="49" ht="28" customHeight="1" spans="1:8" x14ac:dyDescent="0.25">
      <c r="A49" s="62" t="s">
        <v>2790</v>
      </c>
      <c r="B49" s="61" t="s">
        <v>233</v>
      </c>
      <c r="C49" s="61" t="s">
        <v>2758</v>
      </c>
      <c r="D49" s="61" t="s">
        <v>2791</v>
      </c>
      <c r="E49" s="61" t="s">
        <v>2792</v>
      </c>
      <c r="F49" s="63" t="s">
        <v>31</v>
      </c>
      <c r="G49" s="61" t="s">
        <v>2512</v>
      </c>
      <c r="H49" s="61" t="s">
        <v>2793</v>
      </c>
    </row>
    <row r="50" ht="28" customHeight="1" spans="1:8" x14ac:dyDescent="0.25">
      <c r="A50" s="66" t="s">
        <v>2794</v>
      </c>
      <c r="B50" s="65" t="s">
        <v>233</v>
      </c>
      <c r="C50" s="65" t="s">
        <v>2758</v>
      </c>
      <c r="D50" s="65" t="s">
        <v>2795</v>
      </c>
      <c r="E50" s="65" t="s">
        <v>2796</v>
      </c>
      <c r="F50" s="67" t="s">
        <v>31</v>
      </c>
      <c r="G50" s="65" t="s">
        <v>2512</v>
      </c>
      <c r="H50" s="65" t="s">
        <v>2797</v>
      </c>
    </row>
    <row r="51" ht="28" customHeight="1" spans="1:8" x14ac:dyDescent="0.25">
      <c r="A51" s="62" t="s">
        <v>2798</v>
      </c>
      <c r="B51" s="61" t="s">
        <v>233</v>
      </c>
      <c r="C51" s="61" t="s">
        <v>2799</v>
      </c>
      <c r="D51" s="61" t="s">
        <v>2800</v>
      </c>
      <c r="E51" s="61" t="s">
        <v>2801</v>
      </c>
      <c r="F51" s="63" t="s">
        <v>31</v>
      </c>
      <c r="G51" s="61" t="s">
        <v>2512</v>
      </c>
      <c r="H51" s="61" t="s">
        <v>2802</v>
      </c>
    </row>
    <row r="52" ht="28" customHeight="1" spans="1:8" x14ac:dyDescent="0.25">
      <c r="A52" s="66" t="s">
        <v>2803</v>
      </c>
      <c r="B52" s="65" t="s">
        <v>233</v>
      </c>
      <c r="C52" s="65" t="s">
        <v>2799</v>
      </c>
      <c r="D52" s="65" t="s">
        <v>2804</v>
      </c>
      <c r="E52" s="65" t="s">
        <v>150</v>
      </c>
      <c r="F52" s="67" t="s">
        <v>31</v>
      </c>
      <c r="G52" s="65" t="s">
        <v>2512</v>
      </c>
      <c r="H52" s="65" t="s">
        <v>2805</v>
      </c>
    </row>
    <row r="53" ht="28" customHeight="1" spans="1:8" x14ac:dyDescent="0.25">
      <c r="A53" s="62" t="s">
        <v>2806</v>
      </c>
      <c r="B53" s="61" t="s">
        <v>233</v>
      </c>
      <c r="C53" s="61" t="s">
        <v>2799</v>
      </c>
      <c r="D53" s="61" t="s">
        <v>2807</v>
      </c>
      <c r="E53" s="61" t="s">
        <v>193</v>
      </c>
      <c r="F53" s="63" t="s">
        <v>31</v>
      </c>
      <c r="G53" s="61" t="s">
        <v>2512</v>
      </c>
      <c r="H53" s="61" t="s">
        <v>2808</v>
      </c>
    </row>
    <row r="54" ht="28" customHeight="1" spans="1:8" x14ac:dyDescent="0.25">
      <c r="A54" s="66" t="s">
        <v>2809</v>
      </c>
      <c r="B54" s="65" t="s">
        <v>233</v>
      </c>
      <c r="C54" s="65" t="s">
        <v>2799</v>
      </c>
      <c r="D54" s="65" t="s">
        <v>2810</v>
      </c>
      <c r="E54" s="65" t="s">
        <v>173</v>
      </c>
      <c r="F54" s="67" t="s">
        <v>31</v>
      </c>
      <c r="G54" s="65" t="s">
        <v>2512</v>
      </c>
      <c r="H54" s="65" t="s">
        <v>2811</v>
      </c>
    </row>
    <row r="55" ht="28" customHeight="1" spans="1:8" x14ac:dyDescent="0.25">
      <c r="A55" s="62" t="s">
        <v>2812</v>
      </c>
      <c r="B55" s="61" t="s">
        <v>233</v>
      </c>
      <c r="C55" s="61" t="s">
        <v>2813</v>
      </c>
      <c r="D55" s="61" t="s">
        <v>2814</v>
      </c>
      <c r="E55" s="61" t="s">
        <v>157</v>
      </c>
      <c r="F55" s="63" t="s">
        <v>2695</v>
      </c>
      <c r="G55" s="61" t="s">
        <v>2578</v>
      </c>
      <c r="H55" s="61" t="s">
        <v>2815</v>
      </c>
    </row>
    <row r="56" ht="28" customHeight="1" spans="1:8" x14ac:dyDescent="0.25">
      <c r="A56" s="66" t="s">
        <v>2816</v>
      </c>
      <c r="B56" s="65" t="s">
        <v>233</v>
      </c>
      <c r="C56" s="65" t="s">
        <v>2813</v>
      </c>
      <c r="D56" s="65" t="s">
        <v>2817</v>
      </c>
      <c r="E56" s="65" t="s">
        <v>2818</v>
      </c>
      <c r="F56" s="67" t="s">
        <v>2695</v>
      </c>
      <c r="G56" s="65" t="s">
        <v>2578</v>
      </c>
      <c r="H56" s="65" t="s">
        <v>2819</v>
      </c>
    </row>
    <row r="57" ht="28" customHeight="1" spans="1:8" x14ac:dyDescent="0.25">
      <c r="A57" s="62" t="s">
        <v>2820</v>
      </c>
      <c r="B57" s="61" t="s">
        <v>233</v>
      </c>
      <c r="C57" s="61" t="s">
        <v>495</v>
      </c>
      <c r="D57" s="61" t="s">
        <v>2821</v>
      </c>
      <c r="E57" s="61" t="s">
        <v>2822</v>
      </c>
      <c r="F57" s="63" t="s">
        <v>2695</v>
      </c>
      <c r="G57" s="61" t="s">
        <v>2519</v>
      </c>
      <c r="H57" s="61" t="s">
        <v>2823</v>
      </c>
    </row>
    <row r="58" ht="28" customHeight="1" spans="1:8" x14ac:dyDescent="0.25">
      <c r="A58" s="66" t="s">
        <v>2824</v>
      </c>
      <c r="B58" s="65" t="s">
        <v>233</v>
      </c>
      <c r="C58" s="65" t="s">
        <v>2825</v>
      </c>
      <c r="D58" s="65" t="s">
        <v>2826</v>
      </c>
      <c r="E58" s="65" t="s">
        <v>2456</v>
      </c>
      <c r="F58" s="67" t="s">
        <v>2695</v>
      </c>
      <c r="G58" s="65" t="s">
        <v>2512</v>
      </c>
      <c r="H58" s="65" t="s">
        <v>2827</v>
      </c>
    </row>
    <row r="59" ht="28" customHeight="1" spans="1:8" x14ac:dyDescent="0.25">
      <c r="A59" s="62" t="s">
        <v>2828</v>
      </c>
      <c r="B59" s="61" t="s">
        <v>233</v>
      </c>
      <c r="C59" s="61" t="s">
        <v>2829</v>
      </c>
      <c r="D59" s="61" t="s">
        <v>2830</v>
      </c>
      <c r="E59" s="61" t="s">
        <v>2831</v>
      </c>
      <c r="F59" s="63" t="s">
        <v>31</v>
      </c>
      <c r="G59" s="61" t="s">
        <v>2832</v>
      </c>
      <c r="H59" s="61" t="s">
        <v>2833</v>
      </c>
    </row>
    <row r="60" ht="28" customHeight="1" spans="1:8" x14ac:dyDescent="0.25">
      <c r="A60" s="66" t="s">
        <v>2834</v>
      </c>
      <c r="B60" s="65" t="s">
        <v>233</v>
      </c>
      <c r="C60" s="65" t="s">
        <v>2835</v>
      </c>
      <c r="D60" s="65" t="s">
        <v>2836</v>
      </c>
      <c r="E60" s="65" t="s">
        <v>2837</v>
      </c>
      <c r="F60" s="67" t="s">
        <v>2695</v>
      </c>
      <c r="G60" s="65" t="s">
        <v>2696</v>
      </c>
      <c r="H60" s="65" t="s">
        <v>2838</v>
      </c>
    </row>
    <row r="61" ht="28" customHeight="1" spans="1:8" x14ac:dyDescent="0.25">
      <c r="A61" s="62" t="s">
        <v>2839</v>
      </c>
      <c r="B61" s="61" t="s">
        <v>233</v>
      </c>
      <c r="C61" s="61" t="s">
        <v>2835</v>
      </c>
      <c r="D61" s="61" t="s">
        <v>2840</v>
      </c>
      <c r="E61" s="61" t="s">
        <v>2841</v>
      </c>
      <c r="F61" s="63" t="s">
        <v>2695</v>
      </c>
      <c r="G61" s="61" t="s">
        <v>2696</v>
      </c>
      <c r="H61" s="61" t="s">
        <v>2842</v>
      </c>
    </row>
    <row r="62" ht="15" customHeight="1" spans="1:8" x14ac:dyDescent="0.25">
      <c r="A62" s="65"/>
      <c r="B62" s="65"/>
      <c r="C62" s="65"/>
      <c r="D62" s="65"/>
      <c r="E62" s="65"/>
      <c r="F62" s="65"/>
      <c r="G62" s="65"/>
      <c r="H62" s="65"/>
    </row>
    <row r="63" ht="15" customHeight="1" spans="1:8" x14ac:dyDescent="0.25">
      <c r="A63" s="61"/>
      <c r="B63" s="61"/>
      <c r="C63" s="61"/>
      <c r="D63" s="61"/>
      <c r="E63" s="61"/>
      <c r="F63" s="61"/>
      <c r="G63" s="61"/>
      <c r="H63" s="61"/>
    </row>
    <row r="64" ht="15" customHeight="1" spans="1:8" x14ac:dyDescent="0.25">
      <c r="A64" s="65"/>
      <c r="B64" s="65"/>
      <c r="C64" s="65"/>
      <c r="D64" s="65"/>
      <c r="E64" s="65"/>
      <c r="F64" s="65"/>
      <c r="G64" s="65"/>
      <c r="H64" s="65"/>
    </row>
    <row r="65" ht="15" customHeight="1" spans="1:8" x14ac:dyDescent="0.25">
      <c r="A65" s="61"/>
      <c r="B65" s="61"/>
      <c r="C65" s="61"/>
      <c r="D65" s="61"/>
      <c r="E65" s="61"/>
      <c r="F65" s="61"/>
      <c r="G65" s="61"/>
      <c r="H65" s="61"/>
    </row>
    <row r="66" ht="15" customHeight="1" spans="1:8" x14ac:dyDescent="0.25">
      <c r="A66" s="65"/>
      <c r="B66" s="65"/>
      <c r="C66" s="65"/>
      <c r="D66" s="65"/>
      <c r="E66" s="65"/>
      <c r="F66" s="65"/>
      <c r="G66" s="65"/>
      <c r="H66" s="65"/>
    </row>
    <row r="67" ht="15" customHeight="1" spans="1:8" x14ac:dyDescent="0.25">
      <c r="A67" s="61"/>
      <c r="B67" s="61"/>
      <c r="C67" s="61"/>
      <c r="D67" s="61"/>
      <c r="E67" s="61"/>
      <c r="F67" s="61"/>
      <c r="G67" s="61"/>
      <c r="H67" s="61"/>
    </row>
    <row r="68" ht="15" customHeight="1" spans="1:8" x14ac:dyDescent="0.25">
      <c r="A68" s="65"/>
      <c r="B68" s="65"/>
      <c r="C68" s="65"/>
      <c r="D68" s="65"/>
      <c r="E68" s="65"/>
      <c r="F68" s="65"/>
      <c r="G68" s="65"/>
      <c r="H68" s="65"/>
    </row>
    <row r="69" ht="15" customHeight="1" spans="1:8" x14ac:dyDescent="0.25">
      <c r="A69" s="61"/>
      <c r="B69" s="61"/>
      <c r="C69" s="61"/>
      <c r="D69" s="61"/>
      <c r="E69" s="61"/>
      <c r="F69" s="61"/>
      <c r="G69" s="61"/>
      <c r="H69" s="61"/>
    </row>
    <row r="70" ht="15" customHeight="1" spans="1:8" x14ac:dyDescent="0.25">
      <c r="A70" s="65"/>
      <c r="B70" s="65"/>
      <c r="C70" s="65"/>
      <c r="D70" s="65"/>
      <c r="E70" s="65"/>
      <c r="F70" s="65"/>
      <c r="G70" s="65"/>
      <c r="H70" s="65"/>
    </row>
    <row r="71" ht="15" customHeight="1" spans="1:8" x14ac:dyDescent="0.25">
      <c r="A71" s="61"/>
      <c r="B71" s="61"/>
      <c r="C71" s="61"/>
      <c r="D71" s="61"/>
      <c r="E71" s="61"/>
      <c r="F71" s="61"/>
      <c r="G71" s="61"/>
      <c r="H71" s="61"/>
    </row>
    <row r="72" ht="15" customHeight="1" spans="1:8" x14ac:dyDescent="0.25">
      <c r="A72" s="65"/>
      <c r="B72" s="65"/>
      <c r="C72" s="65"/>
      <c r="D72" s="65"/>
      <c r="E72" s="65"/>
      <c r="F72" s="65"/>
      <c r="G72" s="65"/>
      <c r="H72" s="65"/>
    </row>
    <row r="73" ht="15" customHeight="1" spans="1:8" x14ac:dyDescent="0.25">
      <c r="A73" s="61"/>
      <c r="B73" s="61"/>
      <c r="C73" s="61"/>
      <c r="D73" s="61"/>
      <c r="E73" s="61"/>
      <c r="F73" s="61"/>
      <c r="G73" s="61"/>
      <c r="H73" s="61"/>
    </row>
    <row r="74" ht="15" customHeight="1" spans="1:8" x14ac:dyDescent="0.25">
      <c r="A74" s="65"/>
      <c r="B74" s="65"/>
      <c r="C74" s="65"/>
      <c r="D74" s="65"/>
      <c r="E74" s="65"/>
      <c r="F74" s="65"/>
      <c r="G74" s="65"/>
      <c r="H74" s="65"/>
    </row>
    <row r="75" ht="15" customHeight="1" spans="1:8" x14ac:dyDescent="0.25">
      <c r="A75" s="61"/>
      <c r="B75" s="61"/>
      <c r="C75" s="61"/>
      <c r="D75" s="61"/>
      <c r="E75" s="61"/>
      <c r="F75" s="61"/>
      <c r="G75" s="61"/>
      <c r="H75" s="61"/>
    </row>
    <row r="76" ht="15" customHeight="1" spans="1:8" x14ac:dyDescent="0.25">
      <c r="A76" s="65"/>
      <c r="B76" s="65"/>
      <c r="C76" s="65"/>
      <c r="D76" s="65"/>
      <c r="E76" s="65"/>
      <c r="F76" s="65"/>
      <c r="G76" s="65"/>
      <c r="H76" s="65"/>
    </row>
    <row r="77" ht="15" customHeight="1" spans="1:8" x14ac:dyDescent="0.25">
      <c r="A77" s="61"/>
      <c r="B77" s="61"/>
      <c r="C77" s="61"/>
      <c r="D77" s="61"/>
      <c r="E77" s="61"/>
      <c r="F77" s="61"/>
      <c r="G77" s="61"/>
      <c r="H77" s="61"/>
    </row>
    <row r="78" ht="15" customHeight="1" spans="1:8" x14ac:dyDescent="0.25">
      <c r="A78" s="65"/>
      <c r="B78" s="65"/>
      <c r="C78" s="65"/>
      <c r="D78" s="65"/>
      <c r="E78" s="65"/>
      <c r="F78" s="65"/>
      <c r="G78" s="65"/>
      <c r="H78" s="65"/>
    </row>
    <row r="79" ht="15" customHeight="1" spans="1:8" x14ac:dyDescent="0.25">
      <c r="A79" s="61"/>
      <c r="B79" s="61"/>
      <c r="C79" s="61"/>
      <c r="D79" s="61"/>
      <c r="E79" s="61"/>
      <c r="F79" s="61"/>
      <c r="G79" s="61"/>
      <c r="H79" s="61"/>
    </row>
    <row r="80" ht="15" customHeight="1" spans="1:8" x14ac:dyDescent="0.25">
      <c r="A80" s="65"/>
      <c r="B80" s="65"/>
      <c r="C80" s="65"/>
      <c r="D80" s="65"/>
      <c r="E80" s="65"/>
      <c r="F80" s="65"/>
      <c r="G80" s="65"/>
      <c r="H80" s="65"/>
    </row>
    <row r="81" ht="15" customHeight="1" spans="1:8" x14ac:dyDescent="0.25">
      <c r="A81" s="61"/>
      <c r="B81" s="61"/>
      <c r="C81" s="61"/>
      <c r="D81" s="61"/>
      <c r="E81" s="61"/>
      <c r="F81" s="61"/>
      <c r="G81" s="61"/>
      <c r="H81" s="61"/>
    </row>
    <row r="82" ht="15" customHeight="1" spans="1:8" x14ac:dyDescent="0.25">
      <c r="A82" s="65"/>
      <c r="B82" s="65"/>
      <c r="C82" s="65"/>
      <c r="D82" s="65"/>
      <c r="E82" s="65"/>
      <c r="F82" s="65"/>
      <c r="G82" s="65"/>
      <c r="H82" s="65"/>
    </row>
    <row r="83" ht="15" customHeight="1" spans="1:8" x14ac:dyDescent="0.25">
      <c r="A83" s="61"/>
      <c r="B83" s="61"/>
      <c r="C83" s="61"/>
      <c r="D83" s="61"/>
      <c r="E83" s="61"/>
      <c r="F83" s="61"/>
      <c r="G83" s="61"/>
      <c r="H83" s="61"/>
    </row>
    <row r="84" ht="15" customHeight="1" spans="1:8" x14ac:dyDescent="0.25">
      <c r="A84" s="65"/>
      <c r="B84" s="65"/>
      <c r="C84" s="65"/>
      <c r="D84" s="65"/>
      <c r="E84" s="65"/>
      <c r="F84" s="65"/>
      <c r="G84" s="65"/>
      <c r="H84" s="65"/>
    </row>
    <row r="85" ht="15" customHeight="1" spans="1:8" x14ac:dyDescent="0.25">
      <c r="A85" s="61"/>
      <c r="B85" s="61"/>
      <c r="C85" s="61"/>
      <c r="D85" s="61"/>
      <c r="E85" s="61"/>
      <c r="F85" s="61"/>
      <c r="G85" s="61"/>
      <c r="H85" s="61"/>
    </row>
    <row r="86" ht="15" customHeight="1" spans="1:8" x14ac:dyDescent="0.25">
      <c r="A86" s="65"/>
      <c r="B86" s="65"/>
      <c r="C86" s="65"/>
      <c r="D86" s="65"/>
      <c r="E86" s="65"/>
      <c r="F86" s="65"/>
      <c r="G86" s="65"/>
      <c r="H86" s="65"/>
    </row>
    <row r="87" ht="15" customHeight="1" spans="1:8" x14ac:dyDescent="0.25">
      <c r="A87" s="61"/>
      <c r="B87" s="61"/>
      <c r="C87" s="61"/>
      <c r="D87" s="61"/>
      <c r="E87" s="61"/>
      <c r="F87" s="61"/>
      <c r="G87" s="61"/>
      <c r="H87" s="61"/>
    </row>
    <row r="88" ht="15" customHeight="1" spans="1:8" x14ac:dyDescent="0.25">
      <c r="A88" s="65"/>
      <c r="B88" s="65"/>
      <c r="C88" s="65"/>
      <c r="D88" s="65"/>
      <c r="E88" s="65"/>
      <c r="F88" s="65"/>
      <c r="G88" s="65"/>
      <c r="H88" s="65"/>
    </row>
    <row r="89" ht="15" customHeight="1" spans="1:8" x14ac:dyDescent="0.25">
      <c r="A89" s="61"/>
      <c r="B89" s="61"/>
      <c r="C89" s="61"/>
      <c r="D89" s="61"/>
      <c r="E89" s="61"/>
      <c r="F89" s="61"/>
      <c r="G89" s="61"/>
      <c r="H89" s="61"/>
    </row>
    <row r="90" ht="15" customHeight="1" spans="1:8" x14ac:dyDescent="0.25">
      <c r="A90" s="65"/>
      <c r="B90" s="65"/>
      <c r="C90" s="65"/>
      <c r="D90" s="65"/>
      <c r="E90" s="65"/>
      <c r="F90" s="65"/>
      <c r="G90" s="65"/>
      <c r="H90" s="65"/>
    </row>
    <row r="91" ht="15" customHeight="1" spans="1:8" x14ac:dyDescent="0.25">
      <c r="A91" s="61"/>
      <c r="B91" s="61"/>
      <c r="C91" s="61"/>
      <c r="D91" s="61"/>
      <c r="E91" s="61"/>
      <c r="F91" s="61"/>
      <c r="G91" s="61"/>
      <c r="H91" s="61"/>
    </row>
    <row r="92" ht="15" customHeight="1" spans="1:8" x14ac:dyDescent="0.25">
      <c r="A92" s="65"/>
      <c r="B92" s="65"/>
      <c r="C92" s="65"/>
      <c r="D92" s="65"/>
      <c r="E92" s="65"/>
      <c r="F92" s="65"/>
      <c r="G92" s="65"/>
      <c r="H92" s="65"/>
    </row>
    <row r="93" ht="15" customHeight="1" spans="1:8" x14ac:dyDescent="0.25">
      <c r="A93" s="61"/>
      <c r="B93" s="61"/>
      <c r="C93" s="61"/>
      <c r="D93" s="61"/>
      <c r="E93" s="61"/>
      <c r="F93" s="61"/>
      <c r="G93" s="61"/>
      <c r="H93" s="61"/>
    </row>
    <row r="94" ht="15" customHeight="1" spans="1:8" x14ac:dyDescent="0.25">
      <c r="A94" s="65"/>
      <c r="B94" s="65"/>
      <c r="C94" s="65"/>
      <c r="D94" s="65"/>
      <c r="E94" s="65"/>
      <c r="F94" s="65"/>
      <c r="G94" s="65"/>
      <c r="H94" s="65"/>
    </row>
    <row r="95" ht="15" customHeight="1" spans="1:8" x14ac:dyDescent="0.25">
      <c r="A95" s="61"/>
      <c r="B95" s="61"/>
      <c r="C95" s="61"/>
      <c r="D95" s="61"/>
      <c r="E95" s="61"/>
      <c r="F95" s="61"/>
      <c r="G95" s="61"/>
      <c r="H95" s="61"/>
    </row>
    <row r="96" ht="15" customHeight="1" spans="1:8" x14ac:dyDescent="0.25">
      <c r="A96" s="65"/>
      <c r="B96" s="65"/>
      <c r="C96" s="65"/>
      <c r="D96" s="65"/>
      <c r="E96" s="65"/>
      <c r="F96" s="65"/>
      <c r="G96" s="65"/>
      <c r="H96" s="65"/>
    </row>
    <row r="97" ht="15" customHeight="1" spans="1:8" x14ac:dyDescent="0.25">
      <c r="A97" s="61"/>
      <c r="B97" s="61"/>
      <c r="C97" s="61"/>
      <c r="D97" s="61"/>
      <c r="E97" s="61"/>
      <c r="F97" s="61"/>
      <c r="G97" s="61"/>
      <c r="H97" s="61"/>
    </row>
    <row r="98" ht="15" customHeight="1" spans="1:8" x14ac:dyDescent="0.25">
      <c r="A98" s="65"/>
      <c r="B98" s="65"/>
      <c r="C98" s="65"/>
      <c r="D98" s="65"/>
      <c r="E98" s="65"/>
      <c r="F98" s="65"/>
      <c r="G98" s="65"/>
      <c r="H98" s="65"/>
    </row>
    <row r="99" ht="15" customHeight="1" spans="1:8" x14ac:dyDescent="0.25">
      <c r="A99" s="61"/>
      <c r="B99" s="61"/>
      <c r="C99" s="61"/>
      <c r="D99" s="61"/>
      <c r="E99" s="61"/>
      <c r="F99" s="61"/>
      <c r="G99" s="61"/>
      <c r="H99" s="61"/>
    </row>
    <row r="100" ht="15" customHeight="1" spans="1:8" x14ac:dyDescent="0.25">
      <c r="A100" s="65"/>
      <c r="B100" s="65"/>
      <c r="C100" s="65"/>
      <c r="D100" s="65"/>
      <c r="E100" s="65"/>
      <c r="F100" s="65"/>
      <c r="G100" s="65"/>
      <c r="H100" s="65"/>
    </row>
    <row r="101" ht="15" customHeight="1" spans="1:8" x14ac:dyDescent="0.25">
      <c r="A101" s="61"/>
      <c r="B101" s="61"/>
      <c r="C101" s="61"/>
      <c r="D101" s="61"/>
      <c r="E101" s="61"/>
      <c r="F101" s="61"/>
      <c r="G101" s="61"/>
      <c r="H101" s="61"/>
    </row>
  </sheetData>
  <autoFilter ref="A4:H101"/>
  <mergeCells count="3">
    <mergeCell ref="A1:H1"/>
    <mergeCell ref="A2:H2"/>
    <mergeCell ref="A3:H3"/>
  </mergeCells>
  <conditionalFormatting sqref="A5:H101">
    <cfRule type="expression" dxfId="43" priority="1">
      <formula>$F5="Blocked"</formula>
    </cfRule>
    <cfRule type="expression" dxfId="44" priority="2">
      <formula>$F5="Not Ready"</formula>
    </cfRule>
    <cfRule type="expression" dxfId="45" priority="3">
      <formula>$F5="Resolved"</formula>
    </cfRule>
  </conditionalFormatting>
  <dataValidations count="2">
    <dataValidation type="list" allowBlank="1" showErrorMessage="1" errorStyle="warning" errorTitle="Value not in list" error="Pick a value from the drop-down, or override deliberately." sqref="C5:C101">
      <formula1>'13_Dropdowns'!$N$2:$N$9</formula1>
    </dataValidation>
    <dataValidation type="list" allowBlank="1" showErrorMessage="1" errorStyle="warning" errorTitle="Value not in list" error="Pick a value from the drop-down, or override deliberately." sqref="F5:F101">
      <formula1>'13_Dropdowns'!$M$2:$M$5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4B2A"/>
  </sheetPr>
  <dimension ref="A1:K6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20" customWidth="1"/>
    <col min="4" max="4" width="62" customWidth="1"/>
    <col min="5" max="5" width="12" customWidth="1"/>
    <col min="6" max="6" width="10" customWidth="1"/>
    <col min="7" max="7" width="12" customWidth="1"/>
    <col min="8" max="8" width="64" customWidth="1"/>
    <col min="9" max="9" width="20" customWidth="1"/>
    <col min="10" max="10" width="12" customWidth="1"/>
    <col min="11" max="11" width="34" customWidth="1"/>
  </cols>
  <sheetData>
    <row r="1" ht="26" customHeight="1" spans="1:11" x14ac:dyDescent="0.25">
      <c r="A1" s="33" t="s">
        <v>2843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ht="18" customHeight="1" spans="1:11" x14ac:dyDescent="0.25">
      <c r="A2" s="34" t="s">
        <v>2844</v>
      </c>
      <c r="B2" s="34"/>
      <c r="C2" s="34"/>
      <c r="D2" s="34"/>
      <c r="E2" s="34"/>
      <c r="F2" s="34"/>
      <c r="G2" s="34"/>
      <c r="H2" s="34"/>
      <c r="I2" s="34"/>
      <c r="J2" s="34"/>
      <c r="K2" s="34"/>
    </row>
    <row r="3" ht="16" customHeight="1" spans="1:11" x14ac:dyDescent="0.25">
      <c r="A3" s="59" t="s">
        <v>2459</v>
      </c>
      <c r="B3" s="59"/>
      <c r="C3" s="59"/>
      <c r="D3" s="59"/>
      <c r="E3" s="59"/>
      <c r="F3" s="59"/>
      <c r="G3" s="59"/>
      <c r="H3" s="59"/>
      <c r="I3" s="59"/>
      <c r="J3" s="59"/>
      <c r="K3" s="59"/>
    </row>
    <row r="4" ht="32" customHeight="1" spans="1:11" x14ac:dyDescent="0.25">
      <c r="A4" s="37" t="s">
        <v>2845</v>
      </c>
      <c r="B4" s="37" t="s">
        <v>2460</v>
      </c>
      <c r="C4" s="37" t="s">
        <v>2500</v>
      </c>
      <c r="D4" s="37" t="s">
        <v>2846</v>
      </c>
      <c r="E4" s="37" t="s">
        <v>2847</v>
      </c>
      <c r="F4" s="37" t="s">
        <v>2504</v>
      </c>
      <c r="G4" s="37" t="s">
        <v>2848</v>
      </c>
      <c r="H4" s="37" t="s">
        <v>2849</v>
      </c>
      <c r="I4" s="37" t="s">
        <v>2505</v>
      </c>
      <c r="J4" s="37" t="s">
        <v>63</v>
      </c>
      <c r="K4" s="37" t="s">
        <v>225</v>
      </c>
    </row>
    <row r="5" ht="40" customHeight="1" spans="1:11" x14ac:dyDescent="0.25">
      <c r="A5" s="62" t="s">
        <v>2850</v>
      </c>
      <c r="B5" s="60" t="s">
        <v>46</v>
      </c>
      <c r="C5" s="61" t="s">
        <v>2851</v>
      </c>
      <c r="D5" s="61" t="s">
        <v>2852</v>
      </c>
      <c r="E5" s="63" t="s">
        <v>109</v>
      </c>
      <c r="F5" s="63" t="s">
        <v>109</v>
      </c>
      <c r="G5" s="63" t="s">
        <v>107</v>
      </c>
      <c r="H5" s="61" t="s">
        <v>2853</v>
      </c>
      <c r="I5" s="61" t="s">
        <v>2512</v>
      </c>
      <c r="J5" s="63" t="s">
        <v>2513</v>
      </c>
      <c r="K5" s="61" t="s">
        <v>2854</v>
      </c>
    </row>
    <row r="6" ht="40" customHeight="1" spans="1:11" x14ac:dyDescent="0.25">
      <c r="A6" s="66" t="s">
        <v>2855</v>
      </c>
      <c r="B6" s="64" t="s">
        <v>46</v>
      </c>
      <c r="C6" s="65" t="s">
        <v>2851</v>
      </c>
      <c r="D6" s="65" t="s">
        <v>2856</v>
      </c>
      <c r="E6" s="67" t="s">
        <v>109</v>
      </c>
      <c r="F6" s="67" t="s">
        <v>109</v>
      </c>
      <c r="G6" s="67" t="s">
        <v>107</v>
      </c>
      <c r="H6" s="65" t="s">
        <v>2857</v>
      </c>
      <c r="I6" s="65" t="s">
        <v>2858</v>
      </c>
      <c r="J6" s="67" t="s">
        <v>2513</v>
      </c>
      <c r="K6" s="65" t="s">
        <v>2859</v>
      </c>
    </row>
    <row r="7" ht="40" customHeight="1" spans="1:11" x14ac:dyDescent="0.25">
      <c r="A7" s="62" t="s">
        <v>2860</v>
      </c>
      <c r="B7" s="60" t="s">
        <v>46</v>
      </c>
      <c r="C7" s="61" t="s">
        <v>2516</v>
      </c>
      <c r="D7" s="61" t="s">
        <v>2861</v>
      </c>
      <c r="E7" s="63" t="s">
        <v>110</v>
      </c>
      <c r="F7" s="63" t="s">
        <v>109</v>
      </c>
      <c r="G7" s="63" t="s">
        <v>107</v>
      </c>
      <c r="H7" s="61" t="s">
        <v>2862</v>
      </c>
      <c r="I7" s="61" t="s">
        <v>2512</v>
      </c>
      <c r="J7" s="63" t="s">
        <v>2513</v>
      </c>
      <c r="K7" s="61" t="s">
        <v>2863</v>
      </c>
    </row>
    <row r="8" ht="40" customHeight="1" spans="1:11" x14ac:dyDescent="0.25">
      <c r="A8" s="66" t="s">
        <v>2864</v>
      </c>
      <c r="B8" s="64" t="s">
        <v>46</v>
      </c>
      <c r="C8" s="65" t="s">
        <v>2516</v>
      </c>
      <c r="D8" s="65" t="s">
        <v>2865</v>
      </c>
      <c r="E8" s="67" t="s">
        <v>109</v>
      </c>
      <c r="F8" s="67" t="s">
        <v>110</v>
      </c>
      <c r="G8" s="67" t="s">
        <v>109</v>
      </c>
      <c r="H8" s="65" t="s">
        <v>2866</v>
      </c>
      <c r="I8" s="65" t="s">
        <v>2519</v>
      </c>
      <c r="J8" s="67" t="s">
        <v>2513</v>
      </c>
      <c r="K8" s="65" t="s">
        <v>2867</v>
      </c>
    </row>
    <row r="9" ht="40" customHeight="1" spans="1:11" x14ac:dyDescent="0.25">
      <c r="A9" s="62" t="s">
        <v>2868</v>
      </c>
      <c r="B9" s="60" t="s">
        <v>46</v>
      </c>
      <c r="C9" s="61" t="s">
        <v>2557</v>
      </c>
      <c r="D9" s="61" t="s">
        <v>2869</v>
      </c>
      <c r="E9" s="63" t="s">
        <v>110</v>
      </c>
      <c r="F9" s="63" t="s">
        <v>109</v>
      </c>
      <c r="G9" s="63" t="s">
        <v>109</v>
      </c>
      <c r="H9" s="61" t="s">
        <v>2870</v>
      </c>
      <c r="I9" s="61" t="s">
        <v>2560</v>
      </c>
      <c r="J9" s="63" t="s">
        <v>2513</v>
      </c>
      <c r="K9" s="61" t="s">
        <v>2871</v>
      </c>
    </row>
    <row r="10" ht="40" customHeight="1" spans="1:11" x14ac:dyDescent="0.25">
      <c r="A10" s="66" t="s">
        <v>2872</v>
      </c>
      <c r="B10" s="64" t="s">
        <v>46</v>
      </c>
      <c r="C10" s="65" t="s">
        <v>2589</v>
      </c>
      <c r="D10" s="65" t="s">
        <v>2873</v>
      </c>
      <c r="E10" s="67" t="s">
        <v>110</v>
      </c>
      <c r="F10" s="67" t="s">
        <v>109</v>
      </c>
      <c r="G10" s="67" t="s">
        <v>109</v>
      </c>
      <c r="H10" s="65" t="s">
        <v>2874</v>
      </c>
      <c r="I10" s="65" t="s">
        <v>2875</v>
      </c>
      <c r="J10" s="67" t="s">
        <v>2513</v>
      </c>
      <c r="K10" s="65" t="s">
        <v>2876</v>
      </c>
    </row>
    <row r="11" ht="40" customHeight="1" spans="1:11" x14ac:dyDescent="0.25">
      <c r="A11" s="62" t="s">
        <v>2877</v>
      </c>
      <c r="B11" s="60" t="s">
        <v>46</v>
      </c>
      <c r="C11" s="61" t="s">
        <v>2600</v>
      </c>
      <c r="D11" s="61" t="s">
        <v>2878</v>
      </c>
      <c r="E11" s="63" t="s">
        <v>109</v>
      </c>
      <c r="F11" s="63" t="s">
        <v>110</v>
      </c>
      <c r="G11" s="63" t="s">
        <v>109</v>
      </c>
      <c r="H11" s="61" t="s">
        <v>2879</v>
      </c>
      <c r="I11" s="61" t="s">
        <v>2512</v>
      </c>
      <c r="J11" s="63" t="s">
        <v>2513</v>
      </c>
      <c r="K11" s="61" t="s">
        <v>2880</v>
      </c>
    </row>
    <row r="12" ht="40" customHeight="1" spans="1:11" x14ac:dyDescent="0.25">
      <c r="A12" s="66" t="s">
        <v>2881</v>
      </c>
      <c r="B12" s="64" t="s">
        <v>46</v>
      </c>
      <c r="C12" s="65" t="s">
        <v>2575</v>
      </c>
      <c r="D12" s="65" t="s">
        <v>2882</v>
      </c>
      <c r="E12" s="67" t="s">
        <v>109</v>
      </c>
      <c r="F12" s="67" t="s">
        <v>110</v>
      </c>
      <c r="G12" s="67" t="s">
        <v>109</v>
      </c>
      <c r="H12" s="65" t="s">
        <v>2883</v>
      </c>
      <c r="I12" s="65" t="s">
        <v>2578</v>
      </c>
      <c r="J12" s="67" t="s">
        <v>2513</v>
      </c>
      <c r="K12" s="65" t="s">
        <v>2884</v>
      </c>
    </row>
    <row r="13" ht="40" customHeight="1" spans="1:11" x14ac:dyDescent="0.25">
      <c r="A13" s="62" t="s">
        <v>2885</v>
      </c>
      <c r="B13" s="60" t="s">
        <v>46</v>
      </c>
      <c r="C13" s="61" t="s">
        <v>2613</v>
      </c>
      <c r="D13" s="61" t="s">
        <v>2886</v>
      </c>
      <c r="E13" s="63" t="s">
        <v>110</v>
      </c>
      <c r="F13" s="63" t="s">
        <v>110</v>
      </c>
      <c r="G13" s="63" t="s">
        <v>110</v>
      </c>
      <c r="H13" s="61" t="s">
        <v>2887</v>
      </c>
      <c r="I13" s="61" t="s">
        <v>2616</v>
      </c>
      <c r="J13" s="63" t="s">
        <v>2513</v>
      </c>
      <c r="K13" s="61" t="s">
        <v>2888</v>
      </c>
    </row>
    <row r="14" ht="40" customHeight="1" spans="1:11" x14ac:dyDescent="0.25">
      <c r="A14" s="66" t="s">
        <v>2889</v>
      </c>
      <c r="B14" s="64" t="s">
        <v>46</v>
      </c>
      <c r="C14" s="65" t="s">
        <v>2696</v>
      </c>
      <c r="D14" s="65" t="s">
        <v>2890</v>
      </c>
      <c r="E14" s="67" t="s">
        <v>109</v>
      </c>
      <c r="F14" s="67" t="s">
        <v>109</v>
      </c>
      <c r="G14" s="67" t="s">
        <v>107</v>
      </c>
      <c r="H14" s="65" t="s">
        <v>2891</v>
      </c>
      <c r="I14" s="65" t="s">
        <v>2858</v>
      </c>
      <c r="J14" s="67" t="s">
        <v>2513</v>
      </c>
      <c r="K14" s="65" t="s">
        <v>2892</v>
      </c>
    </row>
    <row r="15" ht="40" customHeight="1" spans="1:11" x14ac:dyDescent="0.25">
      <c r="A15" s="62" t="s">
        <v>2893</v>
      </c>
      <c r="B15" s="60" t="s">
        <v>46</v>
      </c>
      <c r="C15" s="61" t="s">
        <v>2696</v>
      </c>
      <c r="D15" s="61" t="s">
        <v>2894</v>
      </c>
      <c r="E15" s="63" t="s">
        <v>109</v>
      </c>
      <c r="F15" s="63" t="s">
        <v>109</v>
      </c>
      <c r="G15" s="63" t="s">
        <v>107</v>
      </c>
      <c r="H15" s="61" t="s">
        <v>2895</v>
      </c>
      <c r="I15" s="61" t="s">
        <v>2512</v>
      </c>
      <c r="J15" s="63" t="s">
        <v>2513</v>
      </c>
      <c r="K15" s="61" t="s">
        <v>2896</v>
      </c>
    </row>
    <row r="16" ht="40" customHeight="1" spans="1:11" x14ac:dyDescent="0.25">
      <c r="A16" s="66" t="s">
        <v>2897</v>
      </c>
      <c r="B16" s="64" t="s">
        <v>46</v>
      </c>
      <c r="C16" s="65" t="s">
        <v>2696</v>
      </c>
      <c r="D16" s="65" t="s">
        <v>2898</v>
      </c>
      <c r="E16" s="67" t="s">
        <v>109</v>
      </c>
      <c r="F16" s="67" t="s">
        <v>110</v>
      </c>
      <c r="G16" s="67" t="s">
        <v>109</v>
      </c>
      <c r="H16" s="65" t="s">
        <v>2899</v>
      </c>
      <c r="I16" s="65" t="s">
        <v>2858</v>
      </c>
      <c r="J16" s="67" t="s">
        <v>2513</v>
      </c>
      <c r="K16" s="65" t="s">
        <v>2900</v>
      </c>
    </row>
    <row r="17" ht="40" customHeight="1" spans="1:11" x14ac:dyDescent="0.25">
      <c r="A17" s="62" t="s">
        <v>2901</v>
      </c>
      <c r="B17" s="60" t="s">
        <v>46</v>
      </c>
      <c r="C17" s="61" t="s">
        <v>2902</v>
      </c>
      <c r="D17" s="61" t="s">
        <v>2903</v>
      </c>
      <c r="E17" s="63" t="s">
        <v>109</v>
      </c>
      <c r="F17" s="63" t="s">
        <v>109</v>
      </c>
      <c r="G17" s="63" t="s">
        <v>107</v>
      </c>
      <c r="H17" s="61" t="s">
        <v>2904</v>
      </c>
      <c r="I17" s="61" t="s">
        <v>2512</v>
      </c>
      <c r="J17" s="63" t="s">
        <v>2513</v>
      </c>
      <c r="K17" s="61" t="s">
        <v>2905</v>
      </c>
    </row>
    <row r="18" ht="40" customHeight="1" spans="1:11" x14ac:dyDescent="0.25">
      <c r="A18" s="66" t="s">
        <v>2906</v>
      </c>
      <c r="B18" s="64" t="s">
        <v>46</v>
      </c>
      <c r="C18" s="65" t="s">
        <v>2829</v>
      </c>
      <c r="D18" s="65" t="s">
        <v>2907</v>
      </c>
      <c r="E18" s="67" t="s">
        <v>109</v>
      </c>
      <c r="F18" s="67" t="s">
        <v>109</v>
      </c>
      <c r="G18" s="67" t="s">
        <v>107</v>
      </c>
      <c r="H18" s="65" t="s">
        <v>2908</v>
      </c>
      <c r="I18" s="65" t="s">
        <v>2832</v>
      </c>
      <c r="J18" s="67" t="s">
        <v>2513</v>
      </c>
      <c r="K18" s="65" t="s">
        <v>2909</v>
      </c>
    </row>
    <row r="19" ht="40" customHeight="1" spans="1:11" x14ac:dyDescent="0.25">
      <c r="A19" s="62" t="s">
        <v>2910</v>
      </c>
      <c r="B19" s="60" t="s">
        <v>46</v>
      </c>
      <c r="C19" s="61" t="s">
        <v>129</v>
      </c>
      <c r="D19" s="61" t="s">
        <v>2911</v>
      </c>
      <c r="E19" s="63" t="s">
        <v>110</v>
      </c>
      <c r="F19" s="63" t="s">
        <v>109</v>
      </c>
      <c r="G19" s="63" t="s">
        <v>109</v>
      </c>
      <c r="H19" s="61" t="s">
        <v>2912</v>
      </c>
      <c r="I19" s="61" t="s">
        <v>2645</v>
      </c>
      <c r="J19" s="63" t="s">
        <v>2513</v>
      </c>
      <c r="K19" s="61" t="s">
        <v>2653</v>
      </c>
    </row>
    <row r="20" ht="40" customHeight="1" spans="1:11" x14ac:dyDescent="0.25">
      <c r="A20" s="66" t="s">
        <v>2913</v>
      </c>
      <c r="B20" s="64" t="s">
        <v>46</v>
      </c>
      <c r="C20" s="65" t="s">
        <v>2535</v>
      </c>
      <c r="D20" s="65" t="s">
        <v>2914</v>
      </c>
      <c r="E20" s="67" t="s">
        <v>109</v>
      </c>
      <c r="F20" s="67" t="s">
        <v>109</v>
      </c>
      <c r="G20" s="67" t="s">
        <v>107</v>
      </c>
      <c r="H20" s="65" t="s">
        <v>2915</v>
      </c>
      <c r="I20" s="65" t="s">
        <v>2512</v>
      </c>
      <c r="J20" s="67" t="s">
        <v>2513</v>
      </c>
      <c r="K20" s="65" t="s">
        <v>2916</v>
      </c>
    </row>
    <row r="21" ht="40" customHeight="1" spans="1:11" x14ac:dyDescent="0.25">
      <c r="A21" s="62" t="s">
        <v>2917</v>
      </c>
      <c r="B21" s="60" t="s">
        <v>46</v>
      </c>
      <c r="C21" s="61" t="s">
        <v>2003</v>
      </c>
      <c r="D21" s="61" t="s">
        <v>2918</v>
      </c>
      <c r="E21" s="63" t="s">
        <v>110</v>
      </c>
      <c r="F21" s="63" t="s">
        <v>109</v>
      </c>
      <c r="G21" s="63" t="s">
        <v>109</v>
      </c>
      <c r="H21" s="61" t="s">
        <v>2919</v>
      </c>
      <c r="I21" s="61" t="s">
        <v>2920</v>
      </c>
      <c r="J21" s="63" t="s">
        <v>2513</v>
      </c>
      <c r="K21" s="61" t="s">
        <v>2921</v>
      </c>
    </row>
    <row r="22" ht="40" customHeight="1" spans="1:11" x14ac:dyDescent="0.25">
      <c r="A22" s="66" t="s">
        <v>2922</v>
      </c>
      <c r="B22" s="64" t="s">
        <v>46</v>
      </c>
      <c r="C22" s="65" t="s">
        <v>2613</v>
      </c>
      <c r="D22" s="65" t="s">
        <v>2923</v>
      </c>
      <c r="E22" s="67" t="s">
        <v>110</v>
      </c>
      <c r="F22" s="67" t="s">
        <v>110</v>
      </c>
      <c r="G22" s="67" t="s">
        <v>110</v>
      </c>
      <c r="H22" s="65" t="s">
        <v>2924</v>
      </c>
      <c r="I22" s="65" t="s">
        <v>2616</v>
      </c>
      <c r="J22" s="67" t="s">
        <v>2513</v>
      </c>
      <c r="K22" s="65" t="s">
        <v>2925</v>
      </c>
    </row>
    <row r="23" ht="40" customHeight="1" spans="1:11" x14ac:dyDescent="0.25">
      <c r="A23" s="62" t="s">
        <v>2926</v>
      </c>
      <c r="B23" s="60" t="s">
        <v>46</v>
      </c>
      <c r="C23" s="61" t="s">
        <v>2509</v>
      </c>
      <c r="D23" s="61" t="s">
        <v>2927</v>
      </c>
      <c r="E23" s="63" t="s">
        <v>109</v>
      </c>
      <c r="F23" s="63" t="s">
        <v>109</v>
      </c>
      <c r="G23" s="63" t="s">
        <v>107</v>
      </c>
      <c r="H23" s="61" t="s">
        <v>2928</v>
      </c>
      <c r="I23" s="61" t="s">
        <v>2512</v>
      </c>
      <c r="J23" s="63" t="s">
        <v>2513</v>
      </c>
      <c r="K23" s="61" t="s">
        <v>2929</v>
      </c>
    </row>
    <row r="24" ht="40" customHeight="1" spans="1:11" x14ac:dyDescent="0.25">
      <c r="A24" s="66" t="s">
        <v>2930</v>
      </c>
      <c r="B24" s="64" t="s">
        <v>46</v>
      </c>
      <c r="C24" s="65" t="s">
        <v>2589</v>
      </c>
      <c r="D24" s="65" t="s">
        <v>2931</v>
      </c>
      <c r="E24" s="67" t="s">
        <v>109</v>
      </c>
      <c r="F24" s="67" t="s">
        <v>109</v>
      </c>
      <c r="G24" s="67" t="s">
        <v>107</v>
      </c>
      <c r="H24" s="65" t="s">
        <v>2932</v>
      </c>
      <c r="I24" s="65" t="s">
        <v>2875</v>
      </c>
      <c r="J24" s="67" t="s">
        <v>2513</v>
      </c>
      <c r="K24" s="65" t="s">
        <v>2933</v>
      </c>
    </row>
    <row r="25" ht="15" customHeight="1" spans="1:11" x14ac:dyDescent="0.25">
      <c r="A25" s="61"/>
      <c r="B25" s="60"/>
      <c r="C25" s="61"/>
      <c r="D25" s="61"/>
      <c r="E25" s="61"/>
      <c r="F25" s="61"/>
      <c r="G25" s="61"/>
      <c r="H25" s="61"/>
      <c r="I25" s="61"/>
      <c r="J25" s="61"/>
      <c r="K25" s="61"/>
    </row>
    <row r="26" ht="15" customHeight="1" spans="1:11" x14ac:dyDescent="0.25">
      <c r="A26" s="65"/>
      <c r="B26" s="64"/>
      <c r="C26" s="65"/>
      <c r="D26" s="65"/>
      <c r="E26" s="65"/>
      <c r="F26" s="65"/>
      <c r="G26" s="65"/>
      <c r="H26" s="65"/>
      <c r="I26" s="65"/>
      <c r="J26" s="65"/>
      <c r="K26" s="65"/>
    </row>
    <row r="27" ht="15" customHeight="1" spans="1:11" x14ac:dyDescent="0.25">
      <c r="A27" s="61"/>
      <c r="B27" s="60"/>
      <c r="C27" s="61"/>
      <c r="D27" s="61"/>
      <c r="E27" s="61"/>
      <c r="F27" s="61"/>
      <c r="G27" s="61"/>
      <c r="H27" s="61"/>
      <c r="I27" s="61"/>
      <c r="J27" s="61"/>
      <c r="K27" s="61"/>
    </row>
    <row r="28" ht="15" customHeight="1" spans="1:11" x14ac:dyDescent="0.25">
      <c r="A28" s="65"/>
      <c r="B28" s="64"/>
      <c r="C28" s="65"/>
      <c r="D28" s="65"/>
      <c r="E28" s="65"/>
      <c r="F28" s="65"/>
      <c r="G28" s="65"/>
      <c r="H28" s="65"/>
      <c r="I28" s="65"/>
      <c r="J28" s="65"/>
      <c r="K28" s="65"/>
    </row>
    <row r="29" ht="15" customHeight="1" spans="1:11" x14ac:dyDescent="0.25">
      <c r="A29" s="61"/>
      <c r="B29" s="60"/>
      <c r="C29" s="61"/>
      <c r="D29" s="61"/>
      <c r="E29" s="61"/>
      <c r="F29" s="61"/>
      <c r="G29" s="61"/>
      <c r="H29" s="61"/>
      <c r="I29" s="61"/>
      <c r="J29" s="61"/>
      <c r="K29" s="61"/>
    </row>
    <row r="30" ht="15" customHeight="1" spans="1:11" x14ac:dyDescent="0.25">
      <c r="A30" s="65"/>
      <c r="B30" s="64"/>
      <c r="C30" s="65"/>
      <c r="D30" s="65"/>
      <c r="E30" s="65"/>
      <c r="F30" s="65"/>
      <c r="G30" s="65"/>
      <c r="H30" s="65"/>
      <c r="I30" s="65"/>
      <c r="J30" s="65"/>
      <c r="K30" s="65"/>
    </row>
    <row r="31" ht="15" customHeight="1" spans="1:11" x14ac:dyDescent="0.25">
      <c r="A31" s="61"/>
      <c r="B31" s="60"/>
      <c r="C31" s="61"/>
      <c r="D31" s="61"/>
      <c r="E31" s="61"/>
      <c r="F31" s="61"/>
      <c r="G31" s="61"/>
      <c r="H31" s="61"/>
      <c r="I31" s="61"/>
      <c r="J31" s="61"/>
      <c r="K31" s="61"/>
    </row>
    <row r="32" ht="15" customHeight="1" spans="1:11" x14ac:dyDescent="0.25">
      <c r="A32" s="65"/>
      <c r="B32" s="64"/>
      <c r="C32" s="65"/>
      <c r="D32" s="65"/>
      <c r="E32" s="65"/>
      <c r="F32" s="65"/>
      <c r="G32" s="65"/>
      <c r="H32" s="65"/>
      <c r="I32" s="65"/>
      <c r="J32" s="65"/>
      <c r="K32" s="65"/>
    </row>
    <row r="33" ht="15" customHeight="1" spans="1:11" x14ac:dyDescent="0.25">
      <c r="A33" s="61"/>
      <c r="B33" s="60"/>
      <c r="C33" s="61"/>
      <c r="D33" s="61"/>
      <c r="E33" s="61"/>
      <c r="F33" s="61"/>
      <c r="G33" s="61"/>
      <c r="H33" s="61"/>
      <c r="I33" s="61"/>
      <c r="J33" s="61"/>
      <c r="K33" s="61"/>
    </row>
    <row r="34" ht="15" customHeight="1" spans="1:11" x14ac:dyDescent="0.25">
      <c r="A34" s="65"/>
      <c r="B34" s="64"/>
      <c r="C34" s="65"/>
      <c r="D34" s="65"/>
      <c r="E34" s="65"/>
      <c r="F34" s="65"/>
      <c r="G34" s="65"/>
      <c r="H34" s="65"/>
      <c r="I34" s="65"/>
      <c r="J34" s="65"/>
      <c r="K34" s="65"/>
    </row>
    <row r="35" ht="15" customHeight="1" spans="1:11" x14ac:dyDescent="0.25">
      <c r="A35" s="61"/>
      <c r="B35" s="60"/>
      <c r="C35" s="61"/>
      <c r="D35" s="61"/>
      <c r="E35" s="61"/>
      <c r="F35" s="61"/>
      <c r="G35" s="61"/>
      <c r="H35" s="61"/>
      <c r="I35" s="61"/>
      <c r="J35" s="61"/>
      <c r="K35" s="61"/>
    </row>
    <row r="36" ht="15" customHeight="1" spans="1:11" x14ac:dyDescent="0.25">
      <c r="A36" s="65"/>
      <c r="B36" s="64"/>
      <c r="C36" s="65"/>
      <c r="D36" s="65"/>
      <c r="E36" s="65"/>
      <c r="F36" s="65"/>
      <c r="G36" s="65"/>
      <c r="H36" s="65"/>
      <c r="I36" s="65"/>
      <c r="J36" s="65"/>
      <c r="K36" s="65"/>
    </row>
    <row r="37" ht="15" customHeight="1" spans="1:11" x14ac:dyDescent="0.25">
      <c r="A37" s="61"/>
      <c r="B37" s="60"/>
      <c r="C37" s="61"/>
      <c r="D37" s="61"/>
      <c r="E37" s="61"/>
      <c r="F37" s="61"/>
      <c r="G37" s="61"/>
      <c r="H37" s="61"/>
      <c r="I37" s="61"/>
      <c r="J37" s="61"/>
      <c r="K37" s="61"/>
    </row>
    <row r="38" ht="15" customHeight="1" spans="1:11" x14ac:dyDescent="0.25">
      <c r="A38" s="65"/>
      <c r="B38" s="64"/>
      <c r="C38" s="65"/>
      <c r="D38" s="65"/>
      <c r="E38" s="65"/>
      <c r="F38" s="65"/>
      <c r="G38" s="65"/>
      <c r="H38" s="65"/>
      <c r="I38" s="65"/>
      <c r="J38" s="65"/>
      <c r="K38" s="65"/>
    </row>
    <row r="39" ht="15" customHeight="1" spans="1:11" x14ac:dyDescent="0.25">
      <c r="A39" s="61"/>
      <c r="B39" s="60"/>
      <c r="C39" s="61"/>
      <c r="D39" s="61"/>
      <c r="E39" s="61"/>
      <c r="F39" s="61"/>
      <c r="G39" s="61"/>
      <c r="H39" s="61"/>
      <c r="I39" s="61"/>
      <c r="J39" s="61"/>
      <c r="K39" s="61"/>
    </row>
    <row r="40" ht="15" customHeight="1" spans="1:11" x14ac:dyDescent="0.25">
      <c r="A40" s="65"/>
      <c r="B40" s="64"/>
      <c r="C40" s="65"/>
      <c r="D40" s="65"/>
      <c r="E40" s="65"/>
      <c r="F40" s="65"/>
      <c r="G40" s="65"/>
      <c r="H40" s="65"/>
      <c r="I40" s="65"/>
      <c r="J40" s="65"/>
      <c r="K40" s="65"/>
    </row>
    <row r="41" ht="15" customHeight="1" spans="1:11" x14ac:dyDescent="0.25">
      <c r="A41" s="61"/>
      <c r="B41" s="60"/>
      <c r="C41" s="61"/>
      <c r="D41" s="61"/>
      <c r="E41" s="61"/>
      <c r="F41" s="61"/>
      <c r="G41" s="61"/>
      <c r="H41" s="61"/>
      <c r="I41" s="61"/>
      <c r="J41" s="61"/>
      <c r="K41" s="61"/>
    </row>
    <row r="42" ht="15" customHeight="1" spans="1:11" x14ac:dyDescent="0.25">
      <c r="A42" s="65"/>
      <c r="B42" s="64"/>
      <c r="C42" s="65"/>
      <c r="D42" s="65"/>
      <c r="E42" s="65"/>
      <c r="F42" s="65"/>
      <c r="G42" s="65"/>
      <c r="H42" s="65"/>
      <c r="I42" s="65"/>
      <c r="J42" s="65"/>
      <c r="K42" s="65"/>
    </row>
    <row r="43" ht="15" customHeight="1" spans="1:11" x14ac:dyDescent="0.25">
      <c r="A43" s="61"/>
      <c r="B43" s="60"/>
      <c r="C43" s="61"/>
      <c r="D43" s="61"/>
      <c r="E43" s="61"/>
      <c r="F43" s="61"/>
      <c r="G43" s="61"/>
      <c r="H43" s="61"/>
      <c r="I43" s="61"/>
      <c r="J43" s="61"/>
      <c r="K43" s="61"/>
    </row>
    <row r="44" ht="15" customHeight="1" spans="1:11" x14ac:dyDescent="0.25">
      <c r="A44" s="65"/>
      <c r="B44" s="64"/>
      <c r="C44" s="65"/>
      <c r="D44" s="65"/>
      <c r="E44" s="65"/>
      <c r="F44" s="65"/>
      <c r="G44" s="65"/>
      <c r="H44" s="65"/>
      <c r="I44" s="65"/>
      <c r="J44" s="65"/>
      <c r="K44" s="65"/>
    </row>
    <row r="45" ht="15" customHeight="1" spans="1:11" x14ac:dyDescent="0.25">
      <c r="A45" s="61"/>
      <c r="B45" s="60"/>
      <c r="C45" s="61"/>
      <c r="D45" s="61"/>
      <c r="E45" s="61"/>
      <c r="F45" s="61"/>
      <c r="G45" s="61"/>
      <c r="H45" s="61"/>
      <c r="I45" s="61"/>
      <c r="J45" s="61"/>
      <c r="K45" s="61"/>
    </row>
    <row r="46" ht="15" customHeight="1" spans="1:11" x14ac:dyDescent="0.25">
      <c r="A46" s="65"/>
      <c r="B46" s="64"/>
      <c r="C46" s="65"/>
      <c r="D46" s="65"/>
      <c r="E46" s="65"/>
      <c r="F46" s="65"/>
      <c r="G46" s="65"/>
      <c r="H46" s="65"/>
      <c r="I46" s="65"/>
      <c r="J46" s="65"/>
      <c r="K46" s="65"/>
    </row>
    <row r="47" ht="15" customHeight="1" spans="1:11" x14ac:dyDescent="0.25">
      <c r="A47" s="61"/>
      <c r="B47" s="60"/>
      <c r="C47" s="61"/>
      <c r="D47" s="61"/>
      <c r="E47" s="61"/>
      <c r="F47" s="61"/>
      <c r="G47" s="61"/>
      <c r="H47" s="61"/>
      <c r="I47" s="61"/>
      <c r="J47" s="61"/>
      <c r="K47" s="61"/>
    </row>
    <row r="48" ht="15" customHeight="1" spans="1:11" x14ac:dyDescent="0.25">
      <c r="A48" s="65"/>
      <c r="B48" s="64"/>
      <c r="C48" s="65"/>
      <c r="D48" s="65"/>
      <c r="E48" s="65"/>
      <c r="F48" s="65"/>
      <c r="G48" s="65"/>
      <c r="H48" s="65"/>
      <c r="I48" s="65"/>
      <c r="J48" s="65"/>
      <c r="K48" s="65"/>
    </row>
    <row r="49" ht="15" customHeight="1" spans="1:11" x14ac:dyDescent="0.25">
      <c r="A49" s="61"/>
      <c r="B49" s="60"/>
      <c r="C49" s="61"/>
      <c r="D49" s="61"/>
      <c r="E49" s="61"/>
      <c r="F49" s="61"/>
      <c r="G49" s="61"/>
      <c r="H49" s="61"/>
      <c r="I49" s="61"/>
      <c r="J49" s="61"/>
      <c r="K49" s="61"/>
    </row>
    <row r="50" ht="15" customHeight="1" spans="1:11" x14ac:dyDescent="0.25">
      <c r="A50" s="65"/>
      <c r="B50" s="64"/>
      <c r="C50" s="65"/>
      <c r="D50" s="65"/>
      <c r="E50" s="65"/>
      <c r="F50" s="65"/>
      <c r="G50" s="65"/>
      <c r="H50" s="65"/>
      <c r="I50" s="65"/>
      <c r="J50" s="65"/>
      <c r="K50" s="65"/>
    </row>
    <row r="51" ht="15" customHeight="1" spans="1:11" x14ac:dyDescent="0.25">
      <c r="A51" s="61"/>
      <c r="B51" s="60"/>
      <c r="C51" s="61"/>
      <c r="D51" s="61"/>
      <c r="E51" s="61"/>
      <c r="F51" s="61"/>
      <c r="G51" s="61"/>
      <c r="H51" s="61"/>
      <c r="I51" s="61"/>
      <c r="J51" s="61"/>
      <c r="K51" s="61"/>
    </row>
    <row r="52" ht="15" customHeight="1" spans="1:11" x14ac:dyDescent="0.25">
      <c r="A52" s="65"/>
      <c r="B52" s="64"/>
      <c r="C52" s="65"/>
      <c r="D52" s="65"/>
      <c r="E52" s="65"/>
      <c r="F52" s="65"/>
      <c r="G52" s="65"/>
      <c r="H52" s="65"/>
      <c r="I52" s="65"/>
      <c r="J52" s="65"/>
      <c r="K52" s="65"/>
    </row>
    <row r="53" ht="15" customHeight="1" spans="1:11" x14ac:dyDescent="0.25">
      <c r="A53" s="61"/>
      <c r="B53" s="60"/>
      <c r="C53" s="61"/>
      <c r="D53" s="61"/>
      <c r="E53" s="61"/>
      <c r="F53" s="61"/>
      <c r="G53" s="61"/>
      <c r="H53" s="61"/>
      <c r="I53" s="61"/>
      <c r="J53" s="61"/>
      <c r="K53" s="61"/>
    </row>
    <row r="54" ht="15" customHeight="1" spans="1:11" x14ac:dyDescent="0.25">
      <c r="A54" s="65"/>
      <c r="B54" s="64"/>
      <c r="C54" s="65"/>
      <c r="D54" s="65"/>
      <c r="E54" s="65"/>
      <c r="F54" s="65"/>
      <c r="G54" s="65"/>
      <c r="H54" s="65"/>
      <c r="I54" s="65"/>
      <c r="J54" s="65"/>
      <c r="K54" s="65"/>
    </row>
    <row r="55" ht="15" customHeight="1" spans="1:11" x14ac:dyDescent="0.25">
      <c r="A55" s="61"/>
      <c r="B55" s="60"/>
      <c r="C55" s="61"/>
      <c r="D55" s="61"/>
      <c r="E55" s="61"/>
      <c r="F55" s="61"/>
      <c r="G55" s="61"/>
      <c r="H55" s="61"/>
      <c r="I55" s="61"/>
      <c r="J55" s="61"/>
      <c r="K55" s="61"/>
    </row>
    <row r="56" ht="15" customHeight="1" spans="1:11" x14ac:dyDescent="0.25">
      <c r="A56" s="65"/>
      <c r="B56" s="64"/>
      <c r="C56" s="65"/>
      <c r="D56" s="65"/>
      <c r="E56" s="65"/>
      <c r="F56" s="65"/>
      <c r="G56" s="65"/>
      <c r="H56" s="65"/>
      <c r="I56" s="65"/>
      <c r="J56" s="65"/>
      <c r="K56" s="65"/>
    </row>
    <row r="57" ht="15" customHeight="1" spans="1:11" x14ac:dyDescent="0.25">
      <c r="A57" s="61"/>
      <c r="B57" s="60"/>
      <c r="C57" s="61"/>
      <c r="D57" s="61"/>
      <c r="E57" s="61"/>
      <c r="F57" s="61"/>
      <c r="G57" s="61"/>
      <c r="H57" s="61"/>
      <c r="I57" s="61"/>
      <c r="J57" s="61"/>
      <c r="K57" s="61"/>
    </row>
    <row r="58" ht="15" customHeight="1" spans="1:11" x14ac:dyDescent="0.25">
      <c r="A58" s="65"/>
      <c r="B58" s="64"/>
      <c r="C58" s="65"/>
      <c r="D58" s="65"/>
      <c r="E58" s="65"/>
      <c r="F58" s="65"/>
      <c r="G58" s="65"/>
      <c r="H58" s="65"/>
      <c r="I58" s="65"/>
      <c r="J58" s="65"/>
      <c r="K58" s="65"/>
    </row>
    <row r="59" ht="15" customHeight="1" spans="1:11" x14ac:dyDescent="0.25">
      <c r="A59" s="61"/>
      <c r="B59" s="60"/>
      <c r="C59" s="61"/>
      <c r="D59" s="61"/>
      <c r="E59" s="61"/>
      <c r="F59" s="61"/>
      <c r="G59" s="61"/>
      <c r="H59" s="61"/>
      <c r="I59" s="61"/>
      <c r="J59" s="61"/>
      <c r="K59" s="61"/>
    </row>
    <row r="60" ht="15" customHeight="1" spans="1:11" x14ac:dyDescent="0.25">
      <c r="A60" s="65"/>
      <c r="B60" s="64"/>
      <c r="C60" s="65"/>
      <c r="D60" s="65"/>
      <c r="E60" s="65"/>
      <c r="F60" s="65"/>
      <c r="G60" s="65"/>
      <c r="H60" s="65"/>
      <c r="I60" s="65"/>
      <c r="J60" s="65"/>
      <c r="K60" s="65"/>
    </row>
    <row r="61" ht="15" customHeight="1" spans="1:11" x14ac:dyDescent="0.25">
      <c r="A61" s="61"/>
      <c r="B61" s="60"/>
      <c r="C61" s="61"/>
      <c r="D61" s="61"/>
      <c r="E61" s="61"/>
      <c r="F61" s="61"/>
      <c r="G61" s="61"/>
      <c r="H61" s="61"/>
      <c r="I61" s="61"/>
      <c r="J61" s="61"/>
      <c r="K61" s="61"/>
    </row>
    <row r="62" ht="15" customHeight="1" spans="1:11" x14ac:dyDescent="0.25">
      <c r="A62" s="65"/>
      <c r="B62" s="64"/>
      <c r="C62" s="65"/>
      <c r="D62" s="65"/>
      <c r="E62" s="65"/>
      <c r="F62" s="65"/>
      <c r="G62" s="65"/>
      <c r="H62" s="65"/>
      <c r="I62" s="65"/>
      <c r="J62" s="65"/>
      <c r="K62" s="65"/>
    </row>
    <row r="63" ht="15" customHeight="1" spans="1:11" x14ac:dyDescent="0.25">
      <c r="A63" s="61"/>
      <c r="B63" s="60"/>
      <c r="C63" s="61"/>
      <c r="D63" s="61"/>
      <c r="E63" s="61"/>
      <c r="F63" s="61"/>
      <c r="G63" s="61"/>
      <c r="H63" s="61"/>
      <c r="I63" s="61"/>
      <c r="J63" s="61"/>
      <c r="K63" s="61"/>
    </row>
    <row r="64" ht="15" customHeight="1" spans="1:11" x14ac:dyDescent="0.25">
      <c r="A64" s="65"/>
      <c r="B64" s="64"/>
      <c r="C64" s="65"/>
      <c r="D64" s="65"/>
      <c r="E64" s="65"/>
      <c r="F64" s="65"/>
      <c r="G64" s="65"/>
      <c r="H64" s="65"/>
      <c r="I64" s="65"/>
      <c r="J64" s="65"/>
      <c r="K64" s="65"/>
    </row>
  </sheetData>
  <autoFilter ref="A4:K64"/>
  <mergeCells count="3">
    <mergeCell ref="A1:K1"/>
    <mergeCell ref="A2:K2"/>
    <mergeCell ref="A3:K3"/>
  </mergeCells>
  <conditionalFormatting sqref="A5:K64">
    <cfRule type="expression" dxfId="46" priority="1">
      <formula>$G5="Critical"</formula>
    </cfRule>
    <cfRule type="expression" dxfId="47" priority="2">
      <formula>$G5="High"</formula>
    </cfRule>
    <cfRule type="expression" dxfId="48" priority="3">
      <formula>$G5="Medium"</formula>
    </cfRule>
  </conditionalFormatting>
  <dataValidations count="3">
    <dataValidation type="list" allowBlank="1" showErrorMessage="1" errorStyle="warning" errorTitle="Value not in list" error="Pick a value from the drop-down, or override deliberately." sqref="E5:F64">
      <formula1>'13_Dropdowns'!$P$2:$P$4</formula1>
    </dataValidation>
    <dataValidation type="list" allowBlank="1" showErrorMessage="1" errorStyle="warning" errorTitle="Value not in list" error="Pick a value from the drop-down, or override deliberately." sqref="G5:G64">
      <formula1>'13_Dropdowns'!$O$2:$O$5</formula1>
    </dataValidation>
    <dataValidation type="list" allowBlank="1" showErrorMessage="1" errorStyle="warning" errorTitle="Value not in list" error="Pick a value from the drop-down, or override deliberately." sqref="J5:J64">
      <formula1>'13_Dropdowns'!$L$2:$L$4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5F8E"/>
  </sheetPr>
  <dimension ref="A1:J511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30" customWidth="1"/>
    <col min="3" max="3" width="34" customWidth="1"/>
    <col min="4" max="4" width="32" customWidth="1"/>
    <col min="5" max="5" width="18" customWidth="1"/>
    <col min="6" max="6" width="38" customWidth="1"/>
    <col min="7" max="7" width="16" customWidth="1"/>
    <col min="8" max="8" width="32" customWidth="1"/>
    <col min="9" max="9" width="17" customWidth="1"/>
    <col min="10" max="10" width="58" customWidth="1"/>
  </cols>
  <sheetData>
    <row r="1" ht="26" customHeight="1" spans="1:10" x14ac:dyDescent="0.25">
      <c r="A1" s="33" t="s">
        <v>2934</v>
      </c>
      <c r="B1" s="33"/>
      <c r="C1" s="33"/>
      <c r="D1" s="33"/>
      <c r="E1" s="33"/>
      <c r="F1" s="33"/>
      <c r="G1" s="33"/>
      <c r="H1" s="33"/>
      <c r="I1" s="33"/>
      <c r="J1" s="33"/>
    </row>
    <row r="2" ht="18" customHeight="1" spans="1:10" x14ac:dyDescent="0.25">
      <c r="A2" s="34" t="s">
        <v>2935</v>
      </c>
      <c r="B2" s="34"/>
      <c r="C2" s="34"/>
      <c r="D2" s="34"/>
      <c r="E2" s="34"/>
      <c r="F2" s="34"/>
      <c r="G2" s="34"/>
      <c r="H2" s="34"/>
      <c r="I2" s="34"/>
      <c r="J2" s="34"/>
    </row>
    <row r="3" ht="16" customHeight="1" spans="1:10" x14ac:dyDescent="0.25">
      <c r="A3" s="59" t="s">
        <v>2936</v>
      </c>
      <c r="B3" s="59"/>
      <c r="C3" s="59"/>
      <c r="D3" s="59"/>
      <c r="E3" s="59"/>
      <c r="F3" s="59"/>
      <c r="G3" s="59"/>
      <c r="H3" s="59"/>
      <c r="I3" s="59"/>
      <c r="J3" s="59"/>
    </row>
    <row r="4" ht="32" customHeight="1" spans="1:10" x14ac:dyDescent="0.25">
      <c r="A4" s="37" t="s">
        <v>209</v>
      </c>
      <c r="B4" s="37" t="s">
        <v>139</v>
      </c>
      <c r="C4" s="37" t="s">
        <v>138</v>
      </c>
      <c r="D4" s="37" t="s">
        <v>215</v>
      </c>
      <c r="E4" s="37" t="s">
        <v>216</v>
      </c>
      <c r="F4" s="37" t="s">
        <v>2937</v>
      </c>
      <c r="G4" s="37" t="s">
        <v>2938</v>
      </c>
      <c r="H4" s="37" t="s">
        <v>2939</v>
      </c>
      <c r="I4" s="37" t="s">
        <v>2940</v>
      </c>
      <c r="J4" s="37" t="s">
        <v>225</v>
      </c>
    </row>
    <row r="5" spans="1:10" x14ac:dyDescent="0.25">
      <c r="A5" s="70" t="s">
        <v>227</v>
      </c>
      <c r="B5" s="71" t="s">
        <v>145</v>
      </c>
      <c r="C5" s="71" t="s">
        <v>144</v>
      </c>
      <c r="D5" s="71" t="s">
        <v>232</v>
      </c>
      <c r="E5" s="71" t="s">
        <v>233</v>
      </c>
      <c r="F5" s="71" t="s">
        <v>2941</v>
      </c>
      <c r="G5" s="72" t="s">
        <v>2942</v>
      </c>
      <c r="H5" s="71" t="s">
        <v>232</v>
      </c>
      <c r="I5" s="72">
        <f>'02_Work_Items'!Q5</f>
      </c>
      <c r="J5" s="71" t="s">
        <v>46</v>
      </c>
    </row>
    <row r="6" spans="1:10" x14ac:dyDescent="0.25">
      <c r="A6" s="73" t="s">
        <v>235</v>
      </c>
      <c r="B6" s="74" t="s">
        <v>145</v>
      </c>
      <c r="C6" s="74" t="s">
        <v>144</v>
      </c>
      <c r="D6" s="74" t="s">
        <v>238</v>
      </c>
      <c r="E6" s="74" t="s">
        <v>233</v>
      </c>
      <c r="F6" s="74" t="s">
        <v>2941</v>
      </c>
      <c r="G6" s="75" t="s">
        <v>2942</v>
      </c>
      <c r="H6" s="74" t="s">
        <v>2943</v>
      </c>
      <c r="I6" s="72">
        <f>'02_Work_Items'!Q6</f>
      </c>
      <c r="J6" s="71" t="s">
        <v>46</v>
      </c>
    </row>
    <row r="7" spans="1:10" x14ac:dyDescent="0.25">
      <c r="A7" s="70" t="s">
        <v>239</v>
      </c>
      <c r="B7" s="71" t="s">
        <v>145</v>
      </c>
      <c r="C7" s="71" t="s">
        <v>144</v>
      </c>
      <c r="D7" s="71" t="s">
        <v>242</v>
      </c>
      <c r="E7" s="71" t="s">
        <v>233</v>
      </c>
      <c r="F7" s="71" t="s">
        <v>2941</v>
      </c>
      <c r="G7" s="72" t="s">
        <v>2942</v>
      </c>
      <c r="H7" s="71" t="s">
        <v>2944</v>
      </c>
      <c r="I7" s="72">
        <f>'02_Work_Items'!Q7</f>
      </c>
      <c r="J7" s="71" t="s">
        <v>46</v>
      </c>
    </row>
    <row r="8" spans="1:10" x14ac:dyDescent="0.25">
      <c r="A8" s="73" t="s">
        <v>243</v>
      </c>
      <c r="B8" s="74" t="s">
        <v>145</v>
      </c>
      <c r="C8" s="74" t="s">
        <v>144</v>
      </c>
      <c r="D8" s="74" t="s">
        <v>247</v>
      </c>
      <c r="E8" s="74" t="s">
        <v>233</v>
      </c>
      <c r="F8" s="74" t="s">
        <v>2941</v>
      </c>
      <c r="G8" s="75" t="s">
        <v>2942</v>
      </c>
      <c r="H8" s="74" t="s">
        <v>2945</v>
      </c>
      <c r="I8" s="72">
        <f>'02_Work_Items'!Q8</f>
      </c>
      <c r="J8" s="71" t="s">
        <v>46</v>
      </c>
    </row>
    <row r="9" spans="1:10" x14ac:dyDescent="0.25">
      <c r="A9" s="70" t="s">
        <v>248</v>
      </c>
      <c r="B9" s="71" t="s">
        <v>145</v>
      </c>
      <c r="C9" s="71" t="s">
        <v>144</v>
      </c>
      <c r="D9" s="71" t="s">
        <v>251</v>
      </c>
      <c r="E9" s="71" t="s">
        <v>233</v>
      </c>
      <c r="F9" s="71" t="s">
        <v>2941</v>
      </c>
      <c r="G9" s="72" t="s">
        <v>2942</v>
      </c>
      <c r="H9" s="71" t="s">
        <v>251</v>
      </c>
      <c r="I9" s="72">
        <f>'02_Work_Items'!Q9</f>
      </c>
      <c r="J9" s="71" t="s">
        <v>46</v>
      </c>
    </row>
    <row r="10" spans="1:10" x14ac:dyDescent="0.25">
      <c r="A10" s="73" t="s">
        <v>252</v>
      </c>
      <c r="B10" s="74" t="s">
        <v>145</v>
      </c>
      <c r="C10" s="74" t="s">
        <v>144</v>
      </c>
      <c r="D10" s="74" t="s">
        <v>255</v>
      </c>
      <c r="E10" s="74" t="s">
        <v>233</v>
      </c>
      <c r="F10" s="74" t="s">
        <v>2941</v>
      </c>
      <c r="G10" s="75" t="s">
        <v>2942</v>
      </c>
      <c r="H10" s="74" t="s">
        <v>255</v>
      </c>
      <c r="I10" s="72">
        <f>'02_Work_Items'!Q10</f>
      </c>
      <c r="J10" s="71" t="s">
        <v>46</v>
      </c>
    </row>
    <row r="11" spans="1:10" x14ac:dyDescent="0.25">
      <c r="A11" s="70" t="s">
        <v>256</v>
      </c>
      <c r="B11" s="71" t="s">
        <v>145</v>
      </c>
      <c r="C11" s="71" t="s">
        <v>144</v>
      </c>
      <c r="D11" s="71" t="s">
        <v>259</v>
      </c>
      <c r="E11" s="71" t="s">
        <v>233</v>
      </c>
      <c r="F11" s="71" t="s">
        <v>2941</v>
      </c>
      <c r="G11" s="72" t="s">
        <v>2942</v>
      </c>
      <c r="H11" s="71" t="s">
        <v>259</v>
      </c>
      <c r="I11" s="72">
        <f>'02_Work_Items'!Q11</f>
      </c>
      <c r="J11" s="71" t="s">
        <v>46</v>
      </c>
    </row>
    <row r="12" spans="1:10" x14ac:dyDescent="0.25">
      <c r="A12" s="73" t="s">
        <v>260</v>
      </c>
      <c r="B12" s="74" t="s">
        <v>145</v>
      </c>
      <c r="C12" s="74" t="s">
        <v>144</v>
      </c>
      <c r="D12" s="74" t="s">
        <v>263</v>
      </c>
      <c r="E12" s="74" t="s">
        <v>233</v>
      </c>
      <c r="F12" s="74" t="s">
        <v>2941</v>
      </c>
      <c r="G12" s="75" t="s">
        <v>2942</v>
      </c>
      <c r="H12" s="74" t="s">
        <v>2946</v>
      </c>
      <c r="I12" s="72">
        <f>'02_Work_Items'!Q12</f>
      </c>
      <c r="J12" s="71" t="s">
        <v>46</v>
      </c>
    </row>
    <row r="13" spans="1:10" x14ac:dyDescent="0.25">
      <c r="A13" s="70" t="s">
        <v>264</v>
      </c>
      <c r="B13" s="71" t="s">
        <v>145</v>
      </c>
      <c r="C13" s="71" t="s">
        <v>144</v>
      </c>
      <c r="D13" s="71" t="s">
        <v>267</v>
      </c>
      <c r="E13" s="71" t="s">
        <v>233</v>
      </c>
      <c r="F13" s="71" t="s">
        <v>2941</v>
      </c>
      <c r="G13" s="72" t="s">
        <v>2942</v>
      </c>
      <c r="H13" s="71" t="s">
        <v>2947</v>
      </c>
      <c r="I13" s="72">
        <f>'02_Work_Items'!Q13</f>
      </c>
      <c r="J13" s="71" t="s">
        <v>46</v>
      </c>
    </row>
    <row r="14" spans="1:10" x14ac:dyDescent="0.25">
      <c r="A14" s="73" t="s">
        <v>268</v>
      </c>
      <c r="B14" s="74" t="s">
        <v>145</v>
      </c>
      <c r="C14" s="74" t="s">
        <v>144</v>
      </c>
      <c r="D14" s="74" t="s">
        <v>271</v>
      </c>
      <c r="E14" s="74" t="s">
        <v>233</v>
      </c>
      <c r="F14" s="74" t="s">
        <v>2941</v>
      </c>
      <c r="G14" s="75" t="s">
        <v>2942</v>
      </c>
      <c r="H14" s="74" t="s">
        <v>2948</v>
      </c>
      <c r="I14" s="72">
        <f>'02_Work_Items'!Q14</f>
      </c>
      <c r="J14" s="71" t="s">
        <v>274</v>
      </c>
    </row>
    <row r="15" spans="1:10" x14ac:dyDescent="0.25">
      <c r="A15" s="70" t="s">
        <v>275</v>
      </c>
      <c r="B15" s="71" t="s">
        <v>145</v>
      </c>
      <c r="C15" s="71" t="s">
        <v>144</v>
      </c>
      <c r="D15" s="71" t="s">
        <v>278</v>
      </c>
      <c r="E15" s="71" t="s">
        <v>233</v>
      </c>
      <c r="F15" s="71" t="s">
        <v>2941</v>
      </c>
      <c r="G15" s="72" t="s">
        <v>2942</v>
      </c>
      <c r="H15" s="71" t="s">
        <v>278</v>
      </c>
      <c r="I15" s="72">
        <f>'02_Work_Items'!Q15</f>
      </c>
      <c r="J15" s="71" t="s">
        <v>279</v>
      </c>
    </row>
    <row r="16" spans="1:10" x14ac:dyDescent="0.25">
      <c r="A16" s="73" t="s">
        <v>280</v>
      </c>
      <c r="B16" s="74" t="s">
        <v>145</v>
      </c>
      <c r="C16" s="74" t="s">
        <v>144</v>
      </c>
      <c r="D16" s="74" t="s">
        <v>283</v>
      </c>
      <c r="E16" s="74" t="s">
        <v>233</v>
      </c>
      <c r="F16" s="74" t="s">
        <v>2941</v>
      </c>
      <c r="G16" s="75" t="s">
        <v>2942</v>
      </c>
      <c r="H16" s="74" t="s">
        <v>283</v>
      </c>
      <c r="I16" s="72">
        <f>'02_Work_Items'!Q16</f>
      </c>
      <c r="J16" s="71" t="s">
        <v>46</v>
      </c>
    </row>
    <row r="17" spans="1:10" x14ac:dyDescent="0.25">
      <c r="A17" s="70" t="s">
        <v>284</v>
      </c>
      <c r="B17" s="71" t="s">
        <v>145</v>
      </c>
      <c r="C17" s="71" t="s">
        <v>144</v>
      </c>
      <c r="D17" s="71" t="s">
        <v>287</v>
      </c>
      <c r="E17" s="71" t="s">
        <v>233</v>
      </c>
      <c r="F17" s="71" t="s">
        <v>2941</v>
      </c>
      <c r="G17" s="72" t="s">
        <v>2942</v>
      </c>
      <c r="H17" s="71" t="s">
        <v>287</v>
      </c>
      <c r="I17" s="72">
        <f>'02_Work_Items'!Q17</f>
      </c>
      <c r="J17" s="71" t="s">
        <v>46</v>
      </c>
    </row>
    <row r="18" spans="1:10" x14ac:dyDescent="0.25">
      <c r="A18" s="73" t="s">
        <v>288</v>
      </c>
      <c r="B18" s="74" t="s">
        <v>145</v>
      </c>
      <c r="C18" s="74" t="s">
        <v>144</v>
      </c>
      <c r="D18" s="74" t="s">
        <v>292</v>
      </c>
      <c r="E18" s="74" t="s">
        <v>233</v>
      </c>
      <c r="F18" s="74" t="s">
        <v>97</v>
      </c>
      <c r="G18" s="75" t="s">
        <v>2942</v>
      </c>
      <c r="H18" s="74" t="s">
        <v>292</v>
      </c>
      <c r="I18" s="72">
        <f>'02_Work_Items'!Q18</f>
      </c>
      <c r="J18" s="71" t="s">
        <v>293</v>
      </c>
    </row>
    <row r="19" spans="1:10" x14ac:dyDescent="0.25">
      <c r="A19" s="70" t="s">
        <v>294</v>
      </c>
      <c r="B19" s="71" t="s">
        <v>145</v>
      </c>
      <c r="C19" s="71" t="s">
        <v>144</v>
      </c>
      <c r="D19" s="71" t="s">
        <v>299</v>
      </c>
      <c r="E19" s="71" t="s">
        <v>233</v>
      </c>
      <c r="F19" s="71" t="s">
        <v>2941</v>
      </c>
      <c r="G19" s="72" t="s">
        <v>2942</v>
      </c>
      <c r="H19" s="71" t="s">
        <v>2949</v>
      </c>
      <c r="I19" s="72">
        <f>'02_Work_Items'!Q19</f>
      </c>
      <c r="J19" s="71" t="s">
        <v>46</v>
      </c>
    </row>
    <row r="20" spans="1:10" x14ac:dyDescent="0.25">
      <c r="A20" s="73" t="s">
        <v>300</v>
      </c>
      <c r="B20" s="74" t="s">
        <v>145</v>
      </c>
      <c r="C20" s="74" t="s">
        <v>144</v>
      </c>
      <c r="D20" s="74" t="s">
        <v>303</v>
      </c>
      <c r="E20" s="74" t="s">
        <v>233</v>
      </c>
      <c r="F20" s="74" t="s">
        <v>2950</v>
      </c>
      <c r="G20" s="75" t="s">
        <v>2942</v>
      </c>
      <c r="H20" s="74" t="s">
        <v>303</v>
      </c>
      <c r="I20" s="72">
        <f>'02_Work_Items'!Q20</f>
      </c>
      <c r="J20" s="71" t="s">
        <v>46</v>
      </c>
    </row>
    <row r="21" spans="1:10" x14ac:dyDescent="0.25">
      <c r="A21" s="70" t="s">
        <v>304</v>
      </c>
      <c r="B21" s="71" t="s">
        <v>145</v>
      </c>
      <c r="C21" s="71" t="s">
        <v>144</v>
      </c>
      <c r="D21" s="71" t="s">
        <v>308</v>
      </c>
      <c r="E21" s="71" t="s">
        <v>233</v>
      </c>
      <c r="F21" s="71" t="s">
        <v>2941</v>
      </c>
      <c r="G21" s="72" t="s">
        <v>2942</v>
      </c>
      <c r="H21" s="71" t="s">
        <v>2951</v>
      </c>
      <c r="I21" s="72">
        <f>'02_Work_Items'!Q21</f>
      </c>
      <c r="J21" s="71" t="s">
        <v>46</v>
      </c>
    </row>
    <row r="22" spans="1:10" x14ac:dyDescent="0.25">
      <c r="A22" s="73" t="s">
        <v>309</v>
      </c>
      <c r="B22" s="74" t="s">
        <v>145</v>
      </c>
      <c r="C22" s="74" t="s">
        <v>144</v>
      </c>
      <c r="D22" s="74" t="s">
        <v>312</v>
      </c>
      <c r="E22" s="74" t="s">
        <v>233</v>
      </c>
      <c r="F22" s="74" t="s">
        <v>2950</v>
      </c>
      <c r="G22" s="75" t="s">
        <v>2942</v>
      </c>
      <c r="H22" s="74" t="s">
        <v>312</v>
      </c>
      <c r="I22" s="72">
        <f>'02_Work_Items'!Q22</f>
      </c>
      <c r="J22" s="71" t="s">
        <v>46</v>
      </c>
    </row>
    <row r="23" spans="1:10" x14ac:dyDescent="0.25">
      <c r="A23" s="70" t="s">
        <v>313</v>
      </c>
      <c r="B23" s="71" t="s">
        <v>145</v>
      </c>
      <c r="C23" s="71" t="s">
        <v>144</v>
      </c>
      <c r="D23" s="71" t="s">
        <v>316</v>
      </c>
      <c r="E23" s="71" t="s">
        <v>233</v>
      </c>
      <c r="F23" s="71" t="s">
        <v>2950</v>
      </c>
      <c r="G23" s="72" t="s">
        <v>2942</v>
      </c>
      <c r="H23" s="71" t="s">
        <v>2952</v>
      </c>
      <c r="I23" s="72">
        <f>'02_Work_Items'!Q23</f>
      </c>
      <c r="J23" s="71" t="s">
        <v>46</v>
      </c>
    </row>
    <row r="24" spans="1:10" x14ac:dyDescent="0.25">
      <c r="A24" s="73" t="s">
        <v>317</v>
      </c>
      <c r="B24" s="74" t="s">
        <v>145</v>
      </c>
      <c r="C24" s="74" t="s">
        <v>144</v>
      </c>
      <c r="D24" s="74" t="s">
        <v>320</v>
      </c>
      <c r="E24" s="74" t="s">
        <v>233</v>
      </c>
      <c r="F24" s="74" t="s">
        <v>2950</v>
      </c>
      <c r="G24" s="75" t="s">
        <v>2942</v>
      </c>
      <c r="H24" s="74" t="s">
        <v>320</v>
      </c>
      <c r="I24" s="72">
        <f>'02_Work_Items'!Q24</f>
      </c>
      <c r="J24" s="71" t="s">
        <v>46</v>
      </c>
    </row>
    <row r="25" spans="1:10" x14ac:dyDescent="0.25">
      <c r="A25" s="70" t="s">
        <v>321</v>
      </c>
      <c r="B25" s="71" t="s">
        <v>145</v>
      </c>
      <c r="C25" s="71" t="s">
        <v>146</v>
      </c>
      <c r="D25" s="71" t="s">
        <v>326</v>
      </c>
      <c r="E25" s="71" t="s">
        <v>233</v>
      </c>
      <c r="F25" s="71" t="s">
        <v>2953</v>
      </c>
      <c r="G25" s="72" t="s">
        <v>2942</v>
      </c>
      <c r="H25" s="71" t="s">
        <v>2954</v>
      </c>
      <c r="I25" s="72">
        <f>'02_Work_Items'!Q25</f>
      </c>
      <c r="J25" s="71" t="s">
        <v>46</v>
      </c>
    </row>
    <row r="26" spans="1:10" x14ac:dyDescent="0.25">
      <c r="A26" s="73" t="s">
        <v>327</v>
      </c>
      <c r="B26" s="74" t="s">
        <v>145</v>
      </c>
      <c r="C26" s="74" t="s">
        <v>146</v>
      </c>
      <c r="D26" s="74" t="s">
        <v>330</v>
      </c>
      <c r="E26" s="74" t="s">
        <v>233</v>
      </c>
      <c r="F26" s="74" t="s">
        <v>2953</v>
      </c>
      <c r="G26" s="75" t="s">
        <v>2942</v>
      </c>
      <c r="H26" s="74" t="s">
        <v>2955</v>
      </c>
      <c r="I26" s="72">
        <f>'02_Work_Items'!Q26</f>
      </c>
      <c r="J26" s="71" t="s">
        <v>46</v>
      </c>
    </row>
    <row r="27" spans="1:10" x14ac:dyDescent="0.25">
      <c r="A27" s="70" t="s">
        <v>331</v>
      </c>
      <c r="B27" s="71" t="s">
        <v>145</v>
      </c>
      <c r="C27" s="71" t="s">
        <v>146</v>
      </c>
      <c r="D27" s="71" t="s">
        <v>334</v>
      </c>
      <c r="E27" s="71" t="s">
        <v>233</v>
      </c>
      <c r="F27" s="71" t="s">
        <v>2953</v>
      </c>
      <c r="G27" s="72" t="s">
        <v>2942</v>
      </c>
      <c r="H27" s="71" t="s">
        <v>2956</v>
      </c>
      <c r="I27" s="72">
        <f>'02_Work_Items'!Q27</f>
      </c>
      <c r="J27" s="71" t="s">
        <v>46</v>
      </c>
    </row>
    <row r="28" spans="1:10" x14ac:dyDescent="0.25">
      <c r="A28" s="73" t="s">
        <v>335</v>
      </c>
      <c r="B28" s="74" t="s">
        <v>145</v>
      </c>
      <c r="C28" s="74" t="s">
        <v>146</v>
      </c>
      <c r="D28" s="74" t="s">
        <v>338</v>
      </c>
      <c r="E28" s="74" t="s">
        <v>233</v>
      </c>
      <c r="F28" s="74" t="s">
        <v>2953</v>
      </c>
      <c r="G28" s="75" t="s">
        <v>2942</v>
      </c>
      <c r="H28" s="74" t="s">
        <v>2957</v>
      </c>
      <c r="I28" s="72">
        <f>'02_Work_Items'!Q28</f>
      </c>
      <c r="J28" s="71" t="s">
        <v>46</v>
      </c>
    </row>
    <row r="29" spans="1:10" x14ac:dyDescent="0.25">
      <c r="A29" s="70" t="s">
        <v>339</v>
      </c>
      <c r="B29" s="71" t="s">
        <v>145</v>
      </c>
      <c r="C29" s="71" t="s">
        <v>146</v>
      </c>
      <c r="D29" s="71" t="s">
        <v>343</v>
      </c>
      <c r="E29" s="71" t="s">
        <v>233</v>
      </c>
      <c r="F29" s="71" t="s">
        <v>2953</v>
      </c>
      <c r="G29" s="72" t="s">
        <v>2942</v>
      </c>
      <c r="H29" s="71" t="s">
        <v>2958</v>
      </c>
      <c r="I29" s="72">
        <f>'02_Work_Items'!Q29</f>
      </c>
      <c r="J29" s="71" t="s">
        <v>46</v>
      </c>
    </row>
    <row r="30" spans="1:10" x14ac:dyDescent="0.25">
      <c r="A30" s="73" t="s">
        <v>344</v>
      </c>
      <c r="B30" s="74" t="s">
        <v>145</v>
      </c>
      <c r="C30" s="74" t="s">
        <v>146</v>
      </c>
      <c r="D30" s="74" t="s">
        <v>347</v>
      </c>
      <c r="E30" s="74" t="s">
        <v>233</v>
      </c>
      <c r="F30" s="74" t="s">
        <v>2953</v>
      </c>
      <c r="G30" s="75" t="s">
        <v>2942</v>
      </c>
      <c r="H30" s="74" t="s">
        <v>2959</v>
      </c>
      <c r="I30" s="72">
        <f>'02_Work_Items'!Q30</f>
      </c>
      <c r="J30" s="71" t="s">
        <v>46</v>
      </c>
    </row>
    <row r="31" spans="1:10" x14ac:dyDescent="0.25">
      <c r="A31" s="70" t="s">
        <v>348</v>
      </c>
      <c r="B31" s="71" t="s">
        <v>145</v>
      </c>
      <c r="C31" s="71" t="s">
        <v>146</v>
      </c>
      <c r="D31" s="71" t="s">
        <v>352</v>
      </c>
      <c r="E31" s="71" t="s">
        <v>233</v>
      </c>
      <c r="F31" s="71" t="s">
        <v>2953</v>
      </c>
      <c r="G31" s="72" t="s">
        <v>2942</v>
      </c>
      <c r="H31" s="71" t="s">
        <v>352</v>
      </c>
      <c r="I31" s="72">
        <f>'02_Work_Items'!Q31</f>
      </c>
      <c r="J31" s="71" t="s">
        <v>46</v>
      </c>
    </row>
    <row r="32" spans="1:10" x14ac:dyDescent="0.25">
      <c r="A32" s="73" t="s">
        <v>353</v>
      </c>
      <c r="B32" s="74" t="s">
        <v>145</v>
      </c>
      <c r="C32" s="74" t="s">
        <v>146</v>
      </c>
      <c r="D32" s="74" t="s">
        <v>356</v>
      </c>
      <c r="E32" s="74" t="s">
        <v>233</v>
      </c>
      <c r="F32" s="74" t="s">
        <v>2953</v>
      </c>
      <c r="G32" s="75" t="s">
        <v>2942</v>
      </c>
      <c r="H32" s="74" t="s">
        <v>2960</v>
      </c>
      <c r="I32" s="72">
        <f>'02_Work_Items'!Q32</f>
      </c>
      <c r="J32" s="71" t="s">
        <v>46</v>
      </c>
    </row>
    <row r="33" spans="1:10" x14ac:dyDescent="0.25">
      <c r="A33" s="70" t="s">
        <v>357</v>
      </c>
      <c r="B33" s="71" t="s">
        <v>145</v>
      </c>
      <c r="C33" s="71" t="s">
        <v>146</v>
      </c>
      <c r="D33" s="71" t="s">
        <v>360</v>
      </c>
      <c r="E33" s="71" t="s">
        <v>233</v>
      </c>
      <c r="F33" s="71" t="s">
        <v>2953</v>
      </c>
      <c r="G33" s="72" t="s">
        <v>2942</v>
      </c>
      <c r="H33" s="71" t="s">
        <v>2961</v>
      </c>
      <c r="I33" s="72">
        <f>'02_Work_Items'!Q33</f>
      </c>
      <c r="J33" s="71" t="s">
        <v>46</v>
      </c>
    </row>
    <row r="34" spans="1:10" x14ac:dyDescent="0.25">
      <c r="A34" s="73" t="s">
        <v>361</v>
      </c>
      <c r="B34" s="74" t="s">
        <v>145</v>
      </c>
      <c r="C34" s="74" t="s">
        <v>146</v>
      </c>
      <c r="D34" s="74" t="s">
        <v>365</v>
      </c>
      <c r="E34" s="74" t="s">
        <v>233</v>
      </c>
      <c r="F34" s="74" t="s">
        <v>2953</v>
      </c>
      <c r="G34" s="75" t="s">
        <v>2942</v>
      </c>
      <c r="H34" s="74" t="s">
        <v>365</v>
      </c>
      <c r="I34" s="72">
        <f>'02_Work_Items'!Q34</f>
      </c>
      <c r="J34" s="71" t="s">
        <v>46</v>
      </c>
    </row>
    <row r="35" spans="1:10" x14ac:dyDescent="0.25">
      <c r="A35" s="70" t="s">
        <v>366</v>
      </c>
      <c r="B35" s="71" t="s">
        <v>145</v>
      </c>
      <c r="C35" s="71" t="s">
        <v>146</v>
      </c>
      <c r="D35" s="71" t="s">
        <v>369</v>
      </c>
      <c r="E35" s="71" t="s">
        <v>233</v>
      </c>
      <c r="F35" s="71" t="s">
        <v>97</v>
      </c>
      <c r="G35" s="72" t="s">
        <v>2942</v>
      </c>
      <c r="H35" s="71" t="s">
        <v>2962</v>
      </c>
      <c r="I35" s="72">
        <f>'02_Work_Items'!Q35</f>
      </c>
      <c r="J35" s="71" t="s">
        <v>46</v>
      </c>
    </row>
    <row r="36" spans="1:10" x14ac:dyDescent="0.25">
      <c r="A36" s="73" t="s">
        <v>370</v>
      </c>
      <c r="B36" s="74" t="s">
        <v>145</v>
      </c>
      <c r="C36" s="74" t="s">
        <v>146</v>
      </c>
      <c r="D36" s="74" t="s">
        <v>373</v>
      </c>
      <c r="E36" s="74" t="s">
        <v>233</v>
      </c>
      <c r="F36" s="74" t="s">
        <v>2953</v>
      </c>
      <c r="G36" s="75" t="s">
        <v>2942</v>
      </c>
      <c r="H36" s="74" t="s">
        <v>2963</v>
      </c>
      <c r="I36" s="72">
        <f>'02_Work_Items'!Q36</f>
      </c>
      <c r="J36" s="71" t="s">
        <v>374</v>
      </c>
    </row>
    <row r="37" spans="1:10" x14ac:dyDescent="0.25">
      <c r="A37" s="70" t="s">
        <v>375</v>
      </c>
      <c r="B37" s="71" t="s">
        <v>145</v>
      </c>
      <c r="C37" s="71" t="s">
        <v>146</v>
      </c>
      <c r="D37" s="71" t="s">
        <v>379</v>
      </c>
      <c r="E37" s="71" t="s">
        <v>233</v>
      </c>
      <c r="F37" s="71" t="s">
        <v>2953</v>
      </c>
      <c r="G37" s="72" t="s">
        <v>2942</v>
      </c>
      <c r="H37" s="71" t="s">
        <v>2964</v>
      </c>
      <c r="I37" s="72">
        <f>'02_Work_Items'!Q37</f>
      </c>
      <c r="J37" s="71" t="s">
        <v>46</v>
      </c>
    </row>
    <row r="38" spans="1:10" x14ac:dyDescent="0.25">
      <c r="A38" s="73" t="s">
        <v>380</v>
      </c>
      <c r="B38" s="74" t="s">
        <v>145</v>
      </c>
      <c r="C38" s="74" t="s">
        <v>146</v>
      </c>
      <c r="D38" s="74" t="s">
        <v>383</v>
      </c>
      <c r="E38" s="74" t="s">
        <v>233</v>
      </c>
      <c r="F38" s="74" t="s">
        <v>2953</v>
      </c>
      <c r="G38" s="75" t="s">
        <v>2942</v>
      </c>
      <c r="H38" s="74" t="s">
        <v>383</v>
      </c>
      <c r="I38" s="72">
        <f>'02_Work_Items'!Q38</f>
      </c>
      <c r="J38" s="71" t="s">
        <v>46</v>
      </c>
    </row>
    <row r="39" spans="1:10" x14ac:dyDescent="0.25">
      <c r="A39" s="70" t="s">
        <v>384</v>
      </c>
      <c r="B39" s="71" t="s">
        <v>145</v>
      </c>
      <c r="C39" s="71" t="s">
        <v>146</v>
      </c>
      <c r="D39" s="71" t="s">
        <v>387</v>
      </c>
      <c r="E39" s="71" t="s">
        <v>233</v>
      </c>
      <c r="F39" s="71" t="s">
        <v>2953</v>
      </c>
      <c r="G39" s="72" t="s">
        <v>2942</v>
      </c>
      <c r="H39" s="71" t="s">
        <v>2965</v>
      </c>
      <c r="I39" s="72">
        <f>'02_Work_Items'!Q39</f>
      </c>
      <c r="J39" s="71" t="s">
        <v>46</v>
      </c>
    </row>
    <row r="40" spans="1:10" x14ac:dyDescent="0.25">
      <c r="A40" s="73" t="s">
        <v>388</v>
      </c>
      <c r="B40" s="74" t="s">
        <v>145</v>
      </c>
      <c r="C40" s="74" t="s">
        <v>146</v>
      </c>
      <c r="D40" s="74" t="s">
        <v>391</v>
      </c>
      <c r="E40" s="74" t="s">
        <v>233</v>
      </c>
      <c r="F40" s="74" t="s">
        <v>2953</v>
      </c>
      <c r="G40" s="75" t="s">
        <v>2942</v>
      </c>
      <c r="H40" s="74" t="s">
        <v>2966</v>
      </c>
      <c r="I40" s="72">
        <f>'02_Work_Items'!Q40</f>
      </c>
      <c r="J40" s="71" t="s">
        <v>46</v>
      </c>
    </row>
    <row r="41" spans="1:10" x14ac:dyDescent="0.25">
      <c r="A41" s="70" t="s">
        <v>392</v>
      </c>
      <c r="B41" s="71" t="s">
        <v>145</v>
      </c>
      <c r="C41" s="71" t="s">
        <v>146</v>
      </c>
      <c r="D41" s="71" t="s">
        <v>395</v>
      </c>
      <c r="E41" s="71" t="s">
        <v>233</v>
      </c>
      <c r="F41" s="71" t="s">
        <v>2953</v>
      </c>
      <c r="G41" s="72" t="s">
        <v>2942</v>
      </c>
      <c r="H41" s="71" t="s">
        <v>395</v>
      </c>
      <c r="I41" s="72">
        <f>'02_Work_Items'!Q41</f>
      </c>
      <c r="J41" s="71" t="s">
        <v>46</v>
      </c>
    </row>
    <row r="42" spans="1:10" x14ac:dyDescent="0.25">
      <c r="A42" s="73" t="s">
        <v>396</v>
      </c>
      <c r="B42" s="74" t="s">
        <v>145</v>
      </c>
      <c r="C42" s="74" t="s">
        <v>147</v>
      </c>
      <c r="D42" s="74" t="s">
        <v>402</v>
      </c>
      <c r="E42" s="74" t="s">
        <v>233</v>
      </c>
      <c r="F42" s="74" t="s">
        <v>2967</v>
      </c>
      <c r="G42" s="75" t="s">
        <v>2942</v>
      </c>
      <c r="H42" s="74" t="s">
        <v>2968</v>
      </c>
      <c r="I42" s="72">
        <f>'02_Work_Items'!Q42</f>
      </c>
      <c r="J42" s="71" t="s">
        <v>46</v>
      </c>
    </row>
    <row r="43" spans="1:10" x14ac:dyDescent="0.25">
      <c r="A43" s="70" t="s">
        <v>403</v>
      </c>
      <c r="B43" s="71" t="s">
        <v>145</v>
      </c>
      <c r="C43" s="71" t="s">
        <v>147</v>
      </c>
      <c r="D43" s="71" t="s">
        <v>406</v>
      </c>
      <c r="E43" s="71" t="s">
        <v>233</v>
      </c>
      <c r="F43" s="71" t="s">
        <v>2967</v>
      </c>
      <c r="G43" s="72" t="s">
        <v>2942</v>
      </c>
      <c r="H43" s="71" t="s">
        <v>2969</v>
      </c>
      <c r="I43" s="72">
        <f>'02_Work_Items'!Q43</f>
      </c>
      <c r="J43" s="71" t="s">
        <v>46</v>
      </c>
    </row>
    <row r="44" spans="1:10" x14ac:dyDescent="0.25">
      <c r="A44" s="73" t="s">
        <v>407</v>
      </c>
      <c r="B44" s="74" t="s">
        <v>145</v>
      </c>
      <c r="C44" s="74" t="s">
        <v>147</v>
      </c>
      <c r="D44" s="74" t="s">
        <v>410</v>
      </c>
      <c r="E44" s="74" t="s">
        <v>233</v>
      </c>
      <c r="F44" s="74" t="s">
        <v>2967</v>
      </c>
      <c r="G44" s="75" t="s">
        <v>2942</v>
      </c>
      <c r="H44" s="74" t="s">
        <v>2970</v>
      </c>
      <c r="I44" s="72">
        <f>'02_Work_Items'!Q44</f>
      </c>
      <c r="J44" s="71" t="s">
        <v>46</v>
      </c>
    </row>
    <row r="45" spans="1:10" x14ac:dyDescent="0.25">
      <c r="A45" s="70" t="s">
        <v>411</v>
      </c>
      <c r="B45" s="71" t="s">
        <v>145</v>
      </c>
      <c r="C45" s="71" t="s">
        <v>147</v>
      </c>
      <c r="D45" s="71" t="s">
        <v>415</v>
      </c>
      <c r="E45" s="71" t="s">
        <v>233</v>
      </c>
      <c r="F45" s="71" t="s">
        <v>2967</v>
      </c>
      <c r="G45" s="72" t="s">
        <v>2942</v>
      </c>
      <c r="H45" s="71" t="s">
        <v>2971</v>
      </c>
      <c r="I45" s="72">
        <f>'02_Work_Items'!Q45</f>
      </c>
      <c r="J45" s="71" t="s">
        <v>46</v>
      </c>
    </row>
    <row r="46" spans="1:10" x14ac:dyDescent="0.25">
      <c r="A46" s="73" t="s">
        <v>416</v>
      </c>
      <c r="B46" s="74" t="s">
        <v>145</v>
      </c>
      <c r="C46" s="74" t="s">
        <v>147</v>
      </c>
      <c r="D46" s="74" t="s">
        <v>419</v>
      </c>
      <c r="E46" s="74" t="s">
        <v>233</v>
      </c>
      <c r="F46" s="74" t="s">
        <v>2967</v>
      </c>
      <c r="G46" s="75" t="s">
        <v>2942</v>
      </c>
      <c r="H46" s="74" t="s">
        <v>2972</v>
      </c>
      <c r="I46" s="72">
        <f>'02_Work_Items'!Q46</f>
      </c>
      <c r="J46" s="71" t="s">
        <v>420</v>
      </c>
    </row>
    <row r="47" spans="1:10" x14ac:dyDescent="0.25">
      <c r="A47" s="70" t="s">
        <v>421</v>
      </c>
      <c r="B47" s="71" t="s">
        <v>145</v>
      </c>
      <c r="C47" s="71" t="s">
        <v>147</v>
      </c>
      <c r="D47" s="71" t="s">
        <v>424</v>
      </c>
      <c r="E47" s="71" t="s">
        <v>233</v>
      </c>
      <c r="F47" s="71" t="s">
        <v>2967</v>
      </c>
      <c r="G47" s="72" t="s">
        <v>2942</v>
      </c>
      <c r="H47" s="71" t="s">
        <v>2973</v>
      </c>
      <c r="I47" s="72">
        <f>'02_Work_Items'!Q47</f>
      </c>
      <c r="J47" s="71" t="s">
        <v>46</v>
      </c>
    </row>
    <row r="48" spans="1:10" x14ac:dyDescent="0.25">
      <c r="A48" s="73" t="s">
        <v>425</v>
      </c>
      <c r="B48" s="74" t="s">
        <v>145</v>
      </c>
      <c r="C48" s="74" t="s">
        <v>147</v>
      </c>
      <c r="D48" s="74" t="s">
        <v>428</v>
      </c>
      <c r="E48" s="74" t="s">
        <v>233</v>
      </c>
      <c r="F48" s="74" t="s">
        <v>2967</v>
      </c>
      <c r="G48" s="75" t="s">
        <v>2942</v>
      </c>
      <c r="H48" s="74" t="s">
        <v>428</v>
      </c>
      <c r="I48" s="72">
        <f>'02_Work_Items'!Q48</f>
      </c>
      <c r="J48" s="71" t="s">
        <v>46</v>
      </c>
    </row>
    <row r="49" spans="1:10" x14ac:dyDescent="0.25">
      <c r="A49" s="70" t="s">
        <v>429</v>
      </c>
      <c r="B49" s="71" t="s">
        <v>145</v>
      </c>
      <c r="C49" s="71" t="s">
        <v>147</v>
      </c>
      <c r="D49" s="71" t="s">
        <v>432</v>
      </c>
      <c r="E49" s="71" t="s">
        <v>233</v>
      </c>
      <c r="F49" s="71" t="s">
        <v>2967</v>
      </c>
      <c r="G49" s="72" t="s">
        <v>2942</v>
      </c>
      <c r="H49" s="71" t="s">
        <v>2974</v>
      </c>
      <c r="I49" s="72">
        <f>'02_Work_Items'!Q49</f>
      </c>
      <c r="J49" s="71" t="s">
        <v>46</v>
      </c>
    </row>
    <row r="50" spans="1:10" x14ac:dyDescent="0.25">
      <c r="A50" s="73" t="s">
        <v>433</v>
      </c>
      <c r="B50" s="74" t="s">
        <v>145</v>
      </c>
      <c r="C50" s="74" t="s">
        <v>147</v>
      </c>
      <c r="D50" s="74" t="s">
        <v>437</v>
      </c>
      <c r="E50" s="74" t="s">
        <v>233</v>
      </c>
      <c r="F50" s="74" t="s">
        <v>97</v>
      </c>
      <c r="G50" s="75" t="s">
        <v>2942</v>
      </c>
      <c r="H50" s="74" t="s">
        <v>2975</v>
      </c>
      <c r="I50" s="72">
        <f>'02_Work_Items'!Q50</f>
      </c>
      <c r="J50" s="71" t="s">
        <v>46</v>
      </c>
    </row>
    <row r="51" spans="1:10" x14ac:dyDescent="0.25">
      <c r="A51" s="70" t="s">
        <v>438</v>
      </c>
      <c r="B51" s="71" t="s">
        <v>145</v>
      </c>
      <c r="C51" s="71" t="s">
        <v>147</v>
      </c>
      <c r="D51" s="71" t="s">
        <v>441</v>
      </c>
      <c r="E51" s="71" t="s">
        <v>233</v>
      </c>
      <c r="F51" s="71" t="s">
        <v>2967</v>
      </c>
      <c r="G51" s="72" t="s">
        <v>2942</v>
      </c>
      <c r="H51" s="71" t="s">
        <v>441</v>
      </c>
      <c r="I51" s="72">
        <f>'02_Work_Items'!Q51</f>
      </c>
      <c r="J51" s="71" t="s">
        <v>46</v>
      </c>
    </row>
    <row r="52" spans="1:10" x14ac:dyDescent="0.25">
      <c r="A52" s="73" t="s">
        <v>442</v>
      </c>
      <c r="B52" s="74" t="s">
        <v>145</v>
      </c>
      <c r="C52" s="74" t="s">
        <v>147</v>
      </c>
      <c r="D52" s="74" t="s">
        <v>445</v>
      </c>
      <c r="E52" s="74" t="s">
        <v>233</v>
      </c>
      <c r="F52" s="74" t="s">
        <v>2967</v>
      </c>
      <c r="G52" s="75" t="s">
        <v>2942</v>
      </c>
      <c r="H52" s="74" t="s">
        <v>2976</v>
      </c>
      <c r="I52" s="72">
        <f>'02_Work_Items'!Q52</f>
      </c>
      <c r="J52" s="71" t="s">
        <v>46</v>
      </c>
    </row>
    <row r="53" spans="1:10" x14ac:dyDescent="0.25">
      <c r="A53" s="70" t="s">
        <v>446</v>
      </c>
      <c r="B53" s="71" t="s">
        <v>145</v>
      </c>
      <c r="C53" s="71" t="s">
        <v>147</v>
      </c>
      <c r="D53" s="71" t="s">
        <v>449</v>
      </c>
      <c r="E53" s="71" t="s">
        <v>233</v>
      </c>
      <c r="F53" s="71" t="s">
        <v>2967</v>
      </c>
      <c r="G53" s="72" t="s">
        <v>2942</v>
      </c>
      <c r="H53" s="71" t="s">
        <v>2977</v>
      </c>
      <c r="I53" s="72">
        <f>'02_Work_Items'!Q53</f>
      </c>
      <c r="J53" s="71" t="s">
        <v>46</v>
      </c>
    </row>
    <row r="54" spans="1:10" x14ac:dyDescent="0.25">
      <c r="A54" s="73" t="s">
        <v>450</v>
      </c>
      <c r="B54" s="74" t="s">
        <v>145</v>
      </c>
      <c r="C54" s="74" t="s">
        <v>147</v>
      </c>
      <c r="D54" s="74" t="s">
        <v>453</v>
      </c>
      <c r="E54" s="74" t="s">
        <v>233</v>
      </c>
      <c r="F54" s="74" t="s">
        <v>97</v>
      </c>
      <c r="G54" s="75" t="s">
        <v>2942</v>
      </c>
      <c r="H54" s="74" t="s">
        <v>453</v>
      </c>
      <c r="I54" s="72">
        <f>'02_Work_Items'!Q54</f>
      </c>
      <c r="J54" s="71" t="s">
        <v>46</v>
      </c>
    </row>
    <row r="55" spans="1:10" x14ac:dyDescent="0.25">
      <c r="A55" s="70" t="s">
        <v>454</v>
      </c>
      <c r="B55" s="71" t="s">
        <v>149</v>
      </c>
      <c r="C55" s="71" t="s">
        <v>148</v>
      </c>
      <c r="D55" s="71" t="s">
        <v>458</v>
      </c>
      <c r="E55" s="71" t="s">
        <v>459</v>
      </c>
      <c r="F55" s="71" t="s">
        <v>2967</v>
      </c>
      <c r="G55" s="72" t="s">
        <v>2942</v>
      </c>
      <c r="H55" s="71" t="s">
        <v>2978</v>
      </c>
      <c r="I55" s="72">
        <f>'02_Work_Items'!Q55</f>
      </c>
      <c r="J55" s="71" t="s">
        <v>46</v>
      </c>
    </row>
    <row r="56" spans="1:10" x14ac:dyDescent="0.25">
      <c r="A56" s="73" t="s">
        <v>461</v>
      </c>
      <c r="B56" s="74" t="s">
        <v>149</v>
      </c>
      <c r="C56" s="74" t="s">
        <v>148</v>
      </c>
      <c r="D56" s="74" t="s">
        <v>464</v>
      </c>
      <c r="E56" s="74" t="s">
        <v>465</v>
      </c>
      <c r="F56" s="74" t="s">
        <v>2953</v>
      </c>
      <c r="G56" s="75" t="s">
        <v>2942</v>
      </c>
      <c r="H56" s="74" t="s">
        <v>699</v>
      </c>
      <c r="I56" s="72">
        <f>'02_Work_Items'!Q56</f>
      </c>
      <c r="J56" s="71" t="s">
        <v>46</v>
      </c>
    </row>
    <row r="57" spans="1:10" x14ac:dyDescent="0.25">
      <c r="A57" s="70" t="s">
        <v>466</v>
      </c>
      <c r="B57" s="71" t="s">
        <v>149</v>
      </c>
      <c r="C57" s="71" t="s">
        <v>148</v>
      </c>
      <c r="D57" s="71" t="s">
        <v>470</v>
      </c>
      <c r="E57" s="71" t="s">
        <v>471</v>
      </c>
      <c r="F57" s="71" t="s">
        <v>2979</v>
      </c>
      <c r="G57" s="72" t="s">
        <v>2942</v>
      </c>
      <c r="H57" s="71" t="s">
        <v>2980</v>
      </c>
      <c r="I57" s="72">
        <f>'02_Work_Items'!Q57</f>
      </c>
      <c r="J57" s="71" t="s">
        <v>46</v>
      </c>
    </row>
    <row r="58" spans="1:10" x14ac:dyDescent="0.25">
      <c r="A58" s="73" t="s">
        <v>472</v>
      </c>
      <c r="B58" s="74" t="s">
        <v>149</v>
      </c>
      <c r="C58" s="74" t="s">
        <v>148</v>
      </c>
      <c r="D58" s="74" t="s">
        <v>475</v>
      </c>
      <c r="E58" s="74" t="s">
        <v>471</v>
      </c>
      <c r="F58" s="74" t="s">
        <v>2979</v>
      </c>
      <c r="G58" s="75" t="s">
        <v>2942</v>
      </c>
      <c r="H58" s="74" t="s">
        <v>475</v>
      </c>
      <c r="I58" s="72">
        <f>'02_Work_Items'!Q58</f>
      </c>
      <c r="J58" s="71" t="s">
        <v>46</v>
      </c>
    </row>
    <row r="59" spans="1:10" x14ac:dyDescent="0.25">
      <c r="A59" s="70" t="s">
        <v>476</v>
      </c>
      <c r="B59" s="71" t="s">
        <v>149</v>
      </c>
      <c r="C59" s="71" t="s">
        <v>148</v>
      </c>
      <c r="D59" s="71" t="s">
        <v>479</v>
      </c>
      <c r="E59" s="71" t="s">
        <v>471</v>
      </c>
      <c r="F59" s="71" t="s">
        <v>2979</v>
      </c>
      <c r="G59" s="72" t="s">
        <v>2942</v>
      </c>
      <c r="H59" s="71" t="s">
        <v>479</v>
      </c>
      <c r="I59" s="72">
        <f>'02_Work_Items'!Q59</f>
      </c>
      <c r="J59" s="71" t="s">
        <v>46</v>
      </c>
    </row>
    <row r="60" spans="1:10" x14ac:dyDescent="0.25">
      <c r="A60" s="73" t="s">
        <v>480</v>
      </c>
      <c r="B60" s="74" t="s">
        <v>149</v>
      </c>
      <c r="C60" s="74" t="s">
        <v>148</v>
      </c>
      <c r="D60" s="74" t="s">
        <v>483</v>
      </c>
      <c r="E60" s="74" t="s">
        <v>471</v>
      </c>
      <c r="F60" s="74" t="s">
        <v>2981</v>
      </c>
      <c r="G60" s="75" t="s">
        <v>2942</v>
      </c>
      <c r="H60" s="74" t="s">
        <v>483</v>
      </c>
      <c r="I60" s="72">
        <f>'02_Work_Items'!Q60</f>
      </c>
      <c r="J60" s="71" t="s">
        <v>46</v>
      </c>
    </row>
    <row r="61" spans="1:10" x14ac:dyDescent="0.25">
      <c r="A61" s="70" t="s">
        <v>484</v>
      </c>
      <c r="B61" s="71" t="s">
        <v>149</v>
      </c>
      <c r="C61" s="71" t="s">
        <v>148</v>
      </c>
      <c r="D61" s="71" t="s">
        <v>487</v>
      </c>
      <c r="E61" s="71" t="s">
        <v>471</v>
      </c>
      <c r="F61" s="71" t="s">
        <v>2979</v>
      </c>
      <c r="G61" s="72" t="s">
        <v>2942</v>
      </c>
      <c r="H61" s="71" t="s">
        <v>2982</v>
      </c>
      <c r="I61" s="72">
        <f>'02_Work_Items'!Q61</f>
      </c>
      <c r="J61" s="71" t="s">
        <v>46</v>
      </c>
    </row>
    <row r="62" spans="1:10" x14ac:dyDescent="0.25">
      <c r="A62" s="73" t="s">
        <v>488</v>
      </c>
      <c r="B62" s="74" t="s">
        <v>149</v>
      </c>
      <c r="C62" s="74" t="s">
        <v>148</v>
      </c>
      <c r="D62" s="74" t="s">
        <v>491</v>
      </c>
      <c r="E62" s="74" t="s">
        <v>471</v>
      </c>
      <c r="F62" s="74" t="s">
        <v>2979</v>
      </c>
      <c r="G62" s="75" t="s">
        <v>2942</v>
      </c>
      <c r="H62" s="74" t="s">
        <v>491</v>
      </c>
      <c r="I62" s="72">
        <f>'02_Work_Items'!Q62</f>
      </c>
      <c r="J62" s="71" t="s">
        <v>46</v>
      </c>
    </row>
    <row r="63" spans="1:10" x14ac:dyDescent="0.25">
      <c r="A63" s="70" t="s">
        <v>492</v>
      </c>
      <c r="B63" s="71" t="s">
        <v>149</v>
      </c>
      <c r="C63" s="71" t="s">
        <v>148</v>
      </c>
      <c r="D63" s="71" t="s">
        <v>496</v>
      </c>
      <c r="E63" s="71" t="s">
        <v>471</v>
      </c>
      <c r="F63" s="71" t="s">
        <v>2979</v>
      </c>
      <c r="G63" s="72" t="s">
        <v>2942</v>
      </c>
      <c r="H63" s="71" t="s">
        <v>496</v>
      </c>
      <c r="I63" s="72">
        <f>'02_Work_Items'!Q63</f>
      </c>
      <c r="J63" s="71" t="s">
        <v>46</v>
      </c>
    </row>
    <row r="64" spans="1:10" x14ac:dyDescent="0.25">
      <c r="A64" s="73" t="s">
        <v>497</v>
      </c>
      <c r="B64" s="74" t="s">
        <v>149</v>
      </c>
      <c r="C64" s="74" t="s">
        <v>148</v>
      </c>
      <c r="D64" s="74" t="s">
        <v>500</v>
      </c>
      <c r="E64" s="74" t="s">
        <v>501</v>
      </c>
      <c r="F64" s="74" t="s">
        <v>97</v>
      </c>
      <c r="G64" s="75" t="s">
        <v>2942</v>
      </c>
      <c r="H64" s="74" t="s">
        <v>500</v>
      </c>
      <c r="I64" s="72">
        <f>'02_Work_Items'!Q64</f>
      </c>
      <c r="J64" s="71" t="s">
        <v>46</v>
      </c>
    </row>
    <row r="65" spans="1:10" x14ac:dyDescent="0.25">
      <c r="A65" s="70" t="s">
        <v>502</v>
      </c>
      <c r="B65" s="71" t="s">
        <v>149</v>
      </c>
      <c r="C65" s="71" t="s">
        <v>148</v>
      </c>
      <c r="D65" s="71" t="s">
        <v>505</v>
      </c>
      <c r="E65" s="71" t="s">
        <v>471</v>
      </c>
      <c r="F65" s="71" t="s">
        <v>2941</v>
      </c>
      <c r="G65" s="72" t="s">
        <v>2942</v>
      </c>
      <c r="H65" s="71" t="s">
        <v>505</v>
      </c>
      <c r="I65" s="72">
        <f>'02_Work_Items'!Q65</f>
      </c>
      <c r="J65" s="71" t="s">
        <v>46</v>
      </c>
    </row>
    <row r="66" spans="1:10" x14ac:dyDescent="0.25">
      <c r="A66" s="73" t="s">
        <v>506</v>
      </c>
      <c r="B66" s="74" t="s">
        <v>149</v>
      </c>
      <c r="C66" s="74" t="s">
        <v>148</v>
      </c>
      <c r="D66" s="74" t="s">
        <v>509</v>
      </c>
      <c r="E66" s="74" t="s">
        <v>471</v>
      </c>
      <c r="F66" s="74" t="s">
        <v>97</v>
      </c>
      <c r="G66" s="75" t="s">
        <v>2942</v>
      </c>
      <c r="H66" s="74" t="s">
        <v>2983</v>
      </c>
      <c r="I66" s="72">
        <f>'02_Work_Items'!Q66</f>
      </c>
      <c r="J66" s="71" t="s">
        <v>46</v>
      </c>
    </row>
    <row r="67" spans="1:10" x14ac:dyDescent="0.25">
      <c r="A67" s="70" t="s">
        <v>510</v>
      </c>
      <c r="B67" s="71" t="s">
        <v>149</v>
      </c>
      <c r="C67" s="71" t="s">
        <v>148</v>
      </c>
      <c r="D67" s="71" t="s">
        <v>514</v>
      </c>
      <c r="E67" s="71" t="s">
        <v>471</v>
      </c>
      <c r="F67" s="71" t="s">
        <v>2979</v>
      </c>
      <c r="G67" s="72" t="s">
        <v>2942</v>
      </c>
      <c r="H67" s="71" t="s">
        <v>514</v>
      </c>
      <c r="I67" s="72">
        <f>'02_Work_Items'!Q67</f>
      </c>
      <c r="J67" s="71" t="s">
        <v>46</v>
      </c>
    </row>
    <row r="68" spans="1:10" x14ac:dyDescent="0.25">
      <c r="A68" s="73" t="s">
        <v>515</v>
      </c>
      <c r="B68" s="74" t="s">
        <v>149</v>
      </c>
      <c r="C68" s="74" t="s">
        <v>148</v>
      </c>
      <c r="D68" s="74" t="s">
        <v>518</v>
      </c>
      <c r="E68" s="74" t="s">
        <v>471</v>
      </c>
      <c r="F68" s="74" t="s">
        <v>2941</v>
      </c>
      <c r="G68" s="75" t="s">
        <v>2942</v>
      </c>
      <c r="H68" s="74" t="s">
        <v>518</v>
      </c>
      <c r="I68" s="72">
        <f>'02_Work_Items'!Q68</f>
      </c>
      <c r="J68" s="71" t="s">
        <v>46</v>
      </c>
    </row>
    <row r="69" spans="1:10" x14ac:dyDescent="0.25">
      <c r="A69" s="70" t="s">
        <v>519</v>
      </c>
      <c r="B69" s="71" t="s">
        <v>149</v>
      </c>
      <c r="C69" s="71" t="s">
        <v>148</v>
      </c>
      <c r="D69" s="71" t="s">
        <v>523</v>
      </c>
      <c r="E69" s="71" t="s">
        <v>471</v>
      </c>
      <c r="F69" s="71" t="s">
        <v>2984</v>
      </c>
      <c r="G69" s="72" t="s">
        <v>2942</v>
      </c>
      <c r="H69" s="71" t="s">
        <v>2985</v>
      </c>
      <c r="I69" s="72">
        <f>'02_Work_Items'!Q69</f>
      </c>
      <c r="J69" s="71" t="s">
        <v>46</v>
      </c>
    </row>
    <row r="70" spans="1:10" x14ac:dyDescent="0.25">
      <c r="A70" s="73" t="s">
        <v>524</v>
      </c>
      <c r="B70" s="74" t="s">
        <v>149</v>
      </c>
      <c r="C70" s="74" t="s">
        <v>150</v>
      </c>
      <c r="D70" s="74" t="s">
        <v>528</v>
      </c>
      <c r="E70" s="74" t="s">
        <v>529</v>
      </c>
      <c r="F70" s="74" t="s">
        <v>2967</v>
      </c>
      <c r="G70" s="75" t="s">
        <v>2942</v>
      </c>
      <c r="H70" s="74" t="s">
        <v>528</v>
      </c>
      <c r="I70" s="72">
        <f>'02_Work_Items'!Q70</f>
      </c>
      <c r="J70" s="71" t="s">
        <v>46</v>
      </c>
    </row>
    <row r="71" spans="1:10" x14ac:dyDescent="0.25">
      <c r="A71" s="70" t="s">
        <v>531</v>
      </c>
      <c r="B71" s="71" t="s">
        <v>149</v>
      </c>
      <c r="C71" s="71" t="s">
        <v>150</v>
      </c>
      <c r="D71" s="71" t="s">
        <v>534</v>
      </c>
      <c r="E71" s="71" t="s">
        <v>529</v>
      </c>
      <c r="F71" s="71" t="s">
        <v>2979</v>
      </c>
      <c r="G71" s="72" t="s">
        <v>2942</v>
      </c>
      <c r="H71" s="71" t="s">
        <v>534</v>
      </c>
      <c r="I71" s="72">
        <f>'02_Work_Items'!Q71</f>
      </c>
      <c r="J71" s="71" t="s">
        <v>46</v>
      </c>
    </row>
    <row r="72" spans="1:10" x14ac:dyDescent="0.25">
      <c r="A72" s="73" t="s">
        <v>535</v>
      </c>
      <c r="B72" s="74" t="s">
        <v>149</v>
      </c>
      <c r="C72" s="74" t="s">
        <v>150</v>
      </c>
      <c r="D72" s="74" t="s">
        <v>538</v>
      </c>
      <c r="E72" s="74" t="s">
        <v>529</v>
      </c>
      <c r="F72" s="74" t="s">
        <v>2979</v>
      </c>
      <c r="G72" s="75" t="s">
        <v>2942</v>
      </c>
      <c r="H72" s="74" t="s">
        <v>538</v>
      </c>
      <c r="I72" s="72">
        <f>'02_Work_Items'!Q72</f>
      </c>
      <c r="J72" s="71" t="s">
        <v>46</v>
      </c>
    </row>
    <row r="73" spans="1:10" x14ac:dyDescent="0.25">
      <c r="A73" s="70" t="s">
        <v>539</v>
      </c>
      <c r="B73" s="71" t="s">
        <v>149</v>
      </c>
      <c r="C73" s="71" t="s">
        <v>150</v>
      </c>
      <c r="D73" s="71" t="s">
        <v>542</v>
      </c>
      <c r="E73" s="71" t="s">
        <v>529</v>
      </c>
      <c r="F73" s="71" t="s">
        <v>2979</v>
      </c>
      <c r="G73" s="72" t="s">
        <v>2942</v>
      </c>
      <c r="H73" s="71" t="s">
        <v>542</v>
      </c>
      <c r="I73" s="72">
        <f>'02_Work_Items'!Q73</f>
      </c>
      <c r="J73" s="71" t="s">
        <v>46</v>
      </c>
    </row>
    <row r="74" spans="1:10" x14ac:dyDescent="0.25">
      <c r="A74" s="73" t="s">
        <v>543</v>
      </c>
      <c r="B74" s="74" t="s">
        <v>149</v>
      </c>
      <c r="C74" s="74" t="s">
        <v>150</v>
      </c>
      <c r="D74" s="74" t="s">
        <v>546</v>
      </c>
      <c r="E74" s="74" t="s">
        <v>529</v>
      </c>
      <c r="F74" s="74" t="s">
        <v>2979</v>
      </c>
      <c r="G74" s="75" t="s">
        <v>2942</v>
      </c>
      <c r="H74" s="74" t="s">
        <v>2986</v>
      </c>
      <c r="I74" s="72">
        <f>'02_Work_Items'!Q74</f>
      </c>
      <c r="J74" s="71" t="s">
        <v>46</v>
      </c>
    </row>
    <row r="75" spans="1:10" x14ac:dyDescent="0.25">
      <c r="A75" s="70" t="s">
        <v>547</v>
      </c>
      <c r="B75" s="71" t="s">
        <v>149</v>
      </c>
      <c r="C75" s="71" t="s">
        <v>150</v>
      </c>
      <c r="D75" s="71" t="s">
        <v>550</v>
      </c>
      <c r="E75" s="71" t="s">
        <v>529</v>
      </c>
      <c r="F75" s="71" t="s">
        <v>2979</v>
      </c>
      <c r="G75" s="72" t="s">
        <v>2942</v>
      </c>
      <c r="H75" s="71" t="s">
        <v>550</v>
      </c>
      <c r="I75" s="72">
        <f>'02_Work_Items'!Q75</f>
      </c>
      <c r="J75" s="71" t="s">
        <v>46</v>
      </c>
    </row>
    <row r="76" spans="1:10" x14ac:dyDescent="0.25">
      <c r="A76" s="73" t="s">
        <v>551</v>
      </c>
      <c r="B76" s="74" t="s">
        <v>149</v>
      </c>
      <c r="C76" s="74" t="s">
        <v>150</v>
      </c>
      <c r="D76" s="74" t="s">
        <v>554</v>
      </c>
      <c r="E76" s="74" t="s">
        <v>529</v>
      </c>
      <c r="F76" s="74" t="s">
        <v>2979</v>
      </c>
      <c r="G76" s="75" t="s">
        <v>2942</v>
      </c>
      <c r="H76" s="74" t="s">
        <v>554</v>
      </c>
      <c r="I76" s="72">
        <f>'02_Work_Items'!Q76</f>
      </c>
      <c r="J76" s="71" t="s">
        <v>46</v>
      </c>
    </row>
    <row r="77" spans="1:10" x14ac:dyDescent="0.25">
      <c r="A77" s="70" t="s">
        <v>555</v>
      </c>
      <c r="B77" s="71" t="s">
        <v>149</v>
      </c>
      <c r="C77" s="71" t="s">
        <v>150</v>
      </c>
      <c r="D77" s="71" t="s">
        <v>558</v>
      </c>
      <c r="E77" s="71" t="s">
        <v>529</v>
      </c>
      <c r="F77" s="71" t="s">
        <v>2979</v>
      </c>
      <c r="G77" s="72" t="s">
        <v>2942</v>
      </c>
      <c r="H77" s="71" t="s">
        <v>558</v>
      </c>
      <c r="I77" s="72">
        <f>'02_Work_Items'!Q77</f>
      </c>
      <c r="J77" s="71" t="s">
        <v>46</v>
      </c>
    </row>
    <row r="78" spans="1:10" x14ac:dyDescent="0.25">
      <c r="A78" s="73" t="s">
        <v>559</v>
      </c>
      <c r="B78" s="74" t="s">
        <v>149</v>
      </c>
      <c r="C78" s="74" t="s">
        <v>150</v>
      </c>
      <c r="D78" s="74" t="s">
        <v>562</v>
      </c>
      <c r="E78" s="74" t="s">
        <v>529</v>
      </c>
      <c r="F78" s="74" t="s">
        <v>2979</v>
      </c>
      <c r="G78" s="75" t="s">
        <v>2942</v>
      </c>
      <c r="H78" s="74" t="s">
        <v>2987</v>
      </c>
      <c r="I78" s="72">
        <f>'02_Work_Items'!Q78</f>
      </c>
      <c r="J78" s="71" t="s">
        <v>46</v>
      </c>
    </row>
    <row r="79" spans="1:10" x14ac:dyDescent="0.25">
      <c r="A79" s="70" t="s">
        <v>563</v>
      </c>
      <c r="B79" s="71" t="s">
        <v>149</v>
      </c>
      <c r="C79" s="71" t="s">
        <v>150</v>
      </c>
      <c r="D79" s="71" t="s">
        <v>566</v>
      </c>
      <c r="E79" s="71" t="s">
        <v>529</v>
      </c>
      <c r="F79" s="71" t="s">
        <v>2979</v>
      </c>
      <c r="G79" s="72" t="s">
        <v>2942</v>
      </c>
      <c r="H79" s="71" t="s">
        <v>566</v>
      </c>
      <c r="I79" s="72">
        <f>'02_Work_Items'!Q79</f>
      </c>
      <c r="J79" s="71" t="s">
        <v>46</v>
      </c>
    </row>
    <row r="80" spans="1:10" x14ac:dyDescent="0.25">
      <c r="A80" s="73" t="s">
        <v>567</v>
      </c>
      <c r="B80" s="74" t="s">
        <v>149</v>
      </c>
      <c r="C80" s="74" t="s">
        <v>150</v>
      </c>
      <c r="D80" s="74" t="s">
        <v>570</v>
      </c>
      <c r="E80" s="74" t="s">
        <v>529</v>
      </c>
      <c r="F80" s="74" t="s">
        <v>2979</v>
      </c>
      <c r="G80" s="75" t="s">
        <v>2942</v>
      </c>
      <c r="H80" s="74" t="s">
        <v>570</v>
      </c>
      <c r="I80" s="72">
        <f>'02_Work_Items'!Q80</f>
      </c>
      <c r="J80" s="71" t="s">
        <v>572</v>
      </c>
    </row>
    <row r="81" spans="1:10" x14ac:dyDescent="0.25">
      <c r="A81" s="70" t="s">
        <v>573</v>
      </c>
      <c r="B81" s="71" t="s">
        <v>149</v>
      </c>
      <c r="C81" s="71" t="s">
        <v>150</v>
      </c>
      <c r="D81" s="71" t="s">
        <v>576</v>
      </c>
      <c r="E81" s="71" t="s">
        <v>529</v>
      </c>
      <c r="F81" s="71" t="s">
        <v>2979</v>
      </c>
      <c r="G81" s="72" t="s">
        <v>2942</v>
      </c>
      <c r="H81" s="71" t="s">
        <v>576</v>
      </c>
      <c r="I81" s="72">
        <f>'02_Work_Items'!Q81</f>
      </c>
      <c r="J81" s="71" t="s">
        <v>46</v>
      </c>
    </row>
    <row r="82" spans="1:10" x14ac:dyDescent="0.25">
      <c r="A82" s="73" t="s">
        <v>577</v>
      </c>
      <c r="B82" s="74" t="s">
        <v>149</v>
      </c>
      <c r="C82" s="74" t="s">
        <v>150</v>
      </c>
      <c r="D82" s="74" t="s">
        <v>580</v>
      </c>
      <c r="E82" s="74" t="s">
        <v>529</v>
      </c>
      <c r="F82" s="74" t="s">
        <v>2979</v>
      </c>
      <c r="G82" s="75" t="s">
        <v>2942</v>
      </c>
      <c r="H82" s="74" t="s">
        <v>580</v>
      </c>
      <c r="I82" s="72">
        <f>'02_Work_Items'!Q82</f>
      </c>
      <c r="J82" s="71" t="s">
        <v>46</v>
      </c>
    </row>
    <row r="83" spans="1:10" x14ac:dyDescent="0.25">
      <c r="A83" s="70" t="s">
        <v>581</v>
      </c>
      <c r="B83" s="71" t="s">
        <v>149</v>
      </c>
      <c r="C83" s="71" t="s">
        <v>150</v>
      </c>
      <c r="D83" s="71" t="s">
        <v>585</v>
      </c>
      <c r="E83" s="71" t="s">
        <v>529</v>
      </c>
      <c r="F83" s="71" t="s">
        <v>2953</v>
      </c>
      <c r="G83" s="72" t="s">
        <v>2942</v>
      </c>
      <c r="H83" s="71" t="s">
        <v>585</v>
      </c>
      <c r="I83" s="72">
        <f>'02_Work_Items'!Q83</f>
      </c>
      <c r="J83" s="71" t="s">
        <v>586</v>
      </c>
    </row>
    <row r="84" spans="1:10" x14ac:dyDescent="0.25">
      <c r="A84" s="73" t="s">
        <v>587</v>
      </c>
      <c r="B84" s="74" t="s">
        <v>149</v>
      </c>
      <c r="C84" s="74" t="s">
        <v>150</v>
      </c>
      <c r="D84" s="74" t="s">
        <v>590</v>
      </c>
      <c r="E84" s="74" t="s">
        <v>529</v>
      </c>
      <c r="F84" s="74" t="s">
        <v>97</v>
      </c>
      <c r="G84" s="75" t="s">
        <v>2942</v>
      </c>
      <c r="H84" s="74" t="s">
        <v>590</v>
      </c>
      <c r="I84" s="72">
        <f>'02_Work_Items'!Q84</f>
      </c>
      <c r="J84" s="71" t="s">
        <v>46</v>
      </c>
    </row>
    <row r="85" spans="1:10" x14ac:dyDescent="0.25">
      <c r="A85" s="70" t="s">
        <v>591</v>
      </c>
      <c r="B85" s="71" t="s">
        <v>149</v>
      </c>
      <c r="C85" s="71" t="s">
        <v>150</v>
      </c>
      <c r="D85" s="71" t="s">
        <v>594</v>
      </c>
      <c r="E85" s="71" t="s">
        <v>529</v>
      </c>
      <c r="F85" s="71" t="s">
        <v>2941</v>
      </c>
      <c r="G85" s="72" t="s">
        <v>2942</v>
      </c>
      <c r="H85" s="71" t="s">
        <v>594</v>
      </c>
      <c r="I85" s="72">
        <f>'02_Work_Items'!Q85</f>
      </c>
      <c r="J85" s="71" t="s">
        <v>46</v>
      </c>
    </row>
    <row r="86" spans="1:10" x14ac:dyDescent="0.25">
      <c r="A86" s="73" t="s">
        <v>595</v>
      </c>
      <c r="B86" s="74" t="s">
        <v>149</v>
      </c>
      <c r="C86" s="74" t="s">
        <v>150</v>
      </c>
      <c r="D86" s="74" t="s">
        <v>598</v>
      </c>
      <c r="E86" s="74" t="s">
        <v>529</v>
      </c>
      <c r="F86" s="74" t="s">
        <v>2984</v>
      </c>
      <c r="G86" s="75" t="s">
        <v>2942</v>
      </c>
      <c r="H86" s="74" t="s">
        <v>598</v>
      </c>
      <c r="I86" s="72">
        <f>'02_Work_Items'!Q86</f>
      </c>
      <c r="J86" s="71" t="s">
        <v>46</v>
      </c>
    </row>
    <row r="87" spans="1:10" x14ac:dyDescent="0.25">
      <c r="A87" s="70" t="s">
        <v>599</v>
      </c>
      <c r="B87" s="71" t="s">
        <v>149</v>
      </c>
      <c r="C87" s="71" t="s">
        <v>151</v>
      </c>
      <c r="D87" s="71" t="s">
        <v>603</v>
      </c>
      <c r="E87" s="71" t="s">
        <v>604</v>
      </c>
      <c r="F87" s="71" t="s">
        <v>2979</v>
      </c>
      <c r="G87" s="72" t="s">
        <v>2942</v>
      </c>
      <c r="H87" s="71" t="s">
        <v>603</v>
      </c>
      <c r="I87" s="72">
        <f>'02_Work_Items'!Q87</f>
      </c>
      <c r="J87" s="71" t="s">
        <v>46</v>
      </c>
    </row>
    <row r="88" spans="1:10" x14ac:dyDescent="0.25">
      <c r="A88" s="73" t="s">
        <v>605</v>
      </c>
      <c r="B88" s="74" t="s">
        <v>149</v>
      </c>
      <c r="C88" s="74" t="s">
        <v>151</v>
      </c>
      <c r="D88" s="74" t="s">
        <v>608</v>
      </c>
      <c r="E88" s="74" t="s">
        <v>604</v>
      </c>
      <c r="F88" s="74" t="s">
        <v>2979</v>
      </c>
      <c r="G88" s="75" t="s">
        <v>2942</v>
      </c>
      <c r="H88" s="74" t="s">
        <v>608</v>
      </c>
      <c r="I88" s="72">
        <f>'02_Work_Items'!Q88</f>
      </c>
      <c r="J88" s="71" t="s">
        <v>46</v>
      </c>
    </row>
    <row r="89" spans="1:10" x14ac:dyDescent="0.25">
      <c r="A89" s="70" t="s">
        <v>609</v>
      </c>
      <c r="B89" s="71" t="s">
        <v>149</v>
      </c>
      <c r="C89" s="71" t="s">
        <v>151</v>
      </c>
      <c r="D89" s="71" t="s">
        <v>612</v>
      </c>
      <c r="E89" s="71" t="s">
        <v>604</v>
      </c>
      <c r="F89" s="71" t="s">
        <v>2979</v>
      </c>
      <c r="G89" s="72" t="s">
        <v>2942</v>
      </c>
      <c r="H89" s="71" t="s">
        <v>612</v>
      </c>
      <c r="I89" s="72">
        <f>'02_Work_Items'!Q89</f>
      </c>
      <c r="J89" s="71" t="s">
        <v>46</v>
      </c>
    </row>
    <row r="90" spans="1:10" x14ac:dyDescent="0.25">
      <c r="A90" s="73" t="s">
        <v>613</v>
      </c>
      <c r="B90" s="74" t="s">
        <v>149</v>
      </c>
      <c r="C90" s="74" t="s">
        <v>151</v>
      </c>
      <c r="D90" s="74" t="s">
        <v>616</v>
      </c>
      <c r="E90" s="74" t="s">
        <v>604</v>
      </c>
      <c r="F90" s="74" t="s">
        <v>2979</v>
      </c>
      <c r="G90" s="75" t="s">
        <v>2942</v>
      </c>
      <c r="H90" s="74" t="s">
        <v>616</v>
      </c>
      <c r="I90" s="72">
        <f>'02_Work_Items'!Q90</f>
      </c>
      <c r="J90" s="71" t="s">
        <v>618</v>
      </c>
    </row>
    <row r="91" spans="1:10" x14ac:dyDescent="0.25">
      <c r="A91" s="70" t="s">
        <v>619</v>
      </c>
      <c r="B91" s="71" t="s">
        <v>149</v>
      </c>
      <c r="C91" s="71" t="s">
        <v>151</v>
      </c>
      <c r="D91" s="71" t="s">
        <v>622</v>
      </c>
      <c r="E91" s="71" t="s">
        <v>604</v>
      </c>
      <c r="F91" s="71" t="s">
        <v>2979</v>
      </c>
      <c r="G91" s="72" t="s">
        <v>2942</v>
      </c>
      <c r="H91" s="71" t="s">
        <v>2988</v>
      </c>
      <c r="I91" s="72">
        <f>'02_Work_Items'!Q91</f>
      </c>
      <c r="J91" s="71" t="s">
        <v>46</v>
      </c>
    </row>
    <row r="92" spans="1:10" x14ac:dyDescent="0.25">
      <c r="A92" s="73" t="s">
        <v>623</v>
      </c>
      <c r="B92" s="74" t="s">
        <v>149</v>
      </c>
      <c r="C92" s="74" t="s">
        <v>151</v>
      </c>
      <c r="D92" s="74" t="s">
        <v>626</v>
      </c>
      <c r="E92" s="74" t="s">
        <v>604</v>
      </c>
      <c r="F92" s="74" t="s">
        <v>2979</v>
      </c>
      <c r="G92" s="75" t="s">
        <v>2942</v>
      </c>
      <c r="H92" s="74" t="s">
        <v>626</v>
      </c>
      <c r="I92" s="72">
        <f>'02_Work_Items'!Q92</f>
      </c>
      <c r="J92" s="71" t="s">
        <v>46</v>
      </c>
    </row>
    <row r="93" spans="1:10" x14ac:dyDescent="0.25">
      <c r="A93" s="70" t="s">
        <v>627</v>
      </c>
      <c r="B93" s="71" t="s">
        <v>149</v>
      </c>
      <c r="C93" s="71" t="s">
        <v>151</v>
      </c>
      <c r="D93" s="71" t="s">
        <v>630</v>
      </c>
      <c r="E93" s="71" t="s">
        <v>604</v>
      </c>
      <c r="F93" s="71" t="s">
        <v>2979</v>
      </c>
      <c r="G93" s="72" t="s">
        <v>2942</v>
      </c>
      <c r="H93" s="71" t="s">
        <v>630</v>
      </c>
      <c r="I93" s="72">
        <f>'02_Work_Items'!Q93</f>
      </c>
      <c r="J93" s="71" t="s">
        <v>46</v>
      </c>
    </row>
    <row r="94" spans="1:10" x14ac:dyDescent="0.25">
      <c r="A94" s="73" t="s">
        <v>631</v>
      </c>
      <c r="B94" s="74" t="s">
        <v>149</v>
      </c>
      <c r="C94" s="74" t="s">
        <v>151</v>
      </c>
      <c r="D94" s="74" t="s">
        <v>634</v>
      </c>
      <c r="E94" s="74" t="s">
        <v>604</v>
      </c>
      <c r="F94" s="74" t="s">
        <v>2979</v>
      </c>
      <c r="G94" s="75" t="s">
        <v>2942</v>
      </c>
      <c r="H94" s="74" t="s">
        <v>634</v>
      </c>
      <c r="I94" s="72">
        <f>'02_Work_Items'!Q94</f>
      </c>
      <c r="J94" s="71" t="s">
        <v>46</v>
      </c>
    </row>
    <row r="95" spans="1:10" x14ac:dyDescent="0.25">
      <c r="A95" s="70" t="s">
        <v>635</v>
      </c>
      <c r="B95" s="71" t="s">
        <v>149</v>
      </c>
      <c r="C95" s="71" t="s">
        <v>151</v>
      </c>
      <c r="D95" s="71" t="s">
        <v>638</v>
      </c>
      <c r="E95" s="71" t="s">
        <v>604</v>
      </c>
      <c r="F95" s="71" t="s">
        <v>97</v>
      </c>
      <c r="G95" s="72" t="s">
        <v>2942</v>
      </c>
      <c r="H95" s="71" t="s">
        <v>638</v>
      </c>
      <c r="I95" s="72">
        <f>'02_Work_Items'!Q95</f>
      </c>
      <c r="J95" s="71" t="s">
        <v>46</v>
      </c>
    </row>
    <row r="96" spans="1:10" x14ac:dyDescent="0.25">
      <c r="A96" s="73" t="s">
        <v>639</v>
      </c>
      <c r="B96" s="74" t="s">
        <v>149</v>
      </c>
      <c r="C96" s="74" t="s">
        <v>151</v>
      </c>
      <c r="D96" s="74" t="s">
        <v>642</v>
      </c>
      <c r="E96" s="74" t="s">
        <v>643</v>
      </c>
      <c r="F96" s="74" t="s">
        <v>97</v>
      </c>
      <c r="G96" s="75" t="s">
        <v>2942</v>
      </c>
      <c r="H96" s="74" t="s">
        <v>642</v>
      </c>
      <c r="I96" s="72">
        <f>'02_Work_Items'!Q96</f>
      </c>
      <c r="J96" s="71" t="s">
        <v>46</v>
      </c>
    </row>
    <row r="97" spans="1:10" x14ac:dyDescent="0.25">
      <c r="A97" s="70" t="s">
        <v>644</v>
      </c>
      <c r="B97" s="71" t="s">
        <v>149</v>
      </c>
      <c r="C97" s="71" t="s">
        <v>151</v>
      </c>
      <c r="D97" s="71" t="s">
        <v>647</v>
      </c>
      <c r="E97" s="71" t="s">
        <v>233</v>
      </c>
      <c r="F97" s="71" t="s">
        <v>97</v>
      </c>
      <c r="G97" s="72" t="s">
        <v>2942</v>
      </c>
      <c r="H97" s="71" t="s">
        <v>647</v>
      </c>
      <c r="I97" s="72">
        <f>'02_Work_Items'!Q97</f>
      </c>
      <c r="J97" s="71" t="s">
        <v>46</v>
      </c>
    </row>
    <row r="98" spans="1:10" x14ac:dyDescent="0.25">
      <c r="A98" s="73" t="s">
        <v>648</v>
      </c>
      <c r="B98" s="74" t="s">
        <v>149</v>
      </c>
      <c r="C98" s="74" t="s">
        <v>151</v>
      </c>
      <c r="D98" s="74" t="s">
        <v>598</v>
      </c>
      <c r="E98" s="74" t="s">
        <v>604</v>
      </c>
      <c r="F98" s="74" t="s">
        <v>2984</v>
      </c>
      <c r="G98" s="75" t="s">
        <v>2942</v>
      </c>
      <c r="H98" s="74" t="s">
        <v>598</v>
      </c>
      <c r="I98" s="72">
        <f>'02_Work_Items'!Q98</f>
      </c>
      <c r="J98" s="71" t="s">
        <v>46</v>
      </c>
    </row>
    <row r="99" spans="1:10" x14ac:dyDescent="0.25">
      <c r="A99" s="70" t="s">
        <v>651</v>
      </c>
      <c r="B99" s="71" t="s">
        <v>149</v>
      </c>
      <c r="C99" s="71" t="s">
        <v>152</v>
      </c>
      <c r="D99" s="71" t="s">
        <v>655</v>
      </c>
      <c r="E99" s="71" t="s">
        <v>656</v>
      </c>
      <c r="F99" s="71" t="s">
        <v>2979</v>
      </c>
      <c r="G99" s="72" t="s">
        <v>2942</v>
      </c>
      <c r="H99" s="71" t="s">
        <v>655</v>
      </c>
      <c r="I99" s="72">
        <f>'02_Work_Items'!Q99</f>
      </c>
      <c r="J99" s="71" t="s">
        <v>46</v>
      </c>
    </row>
    <row r="100" spans="1:10" x14ac:dyDescent="0.25">
      <c r="A100" s="73" t="s">
        <v>658</v>
      </c>
      <c r="B100" s="74" t="s">
        <v>149</v>
      </c>
      <c r="C100" s="74" t="s">
        <v>152</v>
      </c>
      <c r="D100" s="74" t="s">
        <v>661</v>
      </c>
      <c r="E100" s="74" t="s">
        <v>656</v>
      </c>
      <c r="F100" s="74" t="s">
        <v>2979</v>
      </c>
      <c r="G100" s="75" t="s">
        <v>2942</v>
      </c>
      <c r="H100" s="74" t="s">
        <v>661</v>
      </c>
      <c r="I100" s="72">
        <f>'02_Work_Items'!Q100</f>
      </c>
      <c r="J100" s="71" t="s">
        <v>46</v>
      </c>
    </row>
    <row r="101" spans="1:10" x14ac:dyDescent="0.25">
      <c r="A101" s="70" t="s">
        <v>662</v>
      </c>
      <c r="B101" s="71" t="s">
        <v>149</v>
      </c>
      <c r="C101" s="71" t="s">
        <v>152</v>
      </c>
      <c r="D101" s="71" t="s">
        <v>665</v>
      </c>
      <c r="E101" s="71" t="s">
        <v>656</v>
      </c>
      <c r="F101" s="71" t="s">
        <v>2979</v>
      </c>
      <c r="G101" s="72" t="s">
        <v>2942</v>
      </c>
      <c r="H101" s="71" t="s">
        <v>665</v>
      </c>
      <c r="I101" s="72">
        <f>'02_Work_Items'!Q101</f>
      </c>
      <c r="J101" s="71" t="s">
        <v>46</v>
      </c>
    </row>
    <row r="102" spans="1:10" x14ac:dyDescent="0.25">
      <c r="A102" s="73" t="s">
        <v>666</v>
      </c>
      <c r="B102" s="74" t="s">
        <v>149</v>
      </c>
      <c r="C102" s="74" t="s">
        <v>152</v>
      </c>
      <c r="D102" s="74" t="s">
        <v>669</v>
      </c>
      <c r="E102" s="74" t="s">
        <v>656</v>
      </c>
      <c r="F102" s="74" t="s">
        <v>2979</v>
      </c>
      <c r="G102" s="75" t="s">
        <v>2942</v>
      </c>
      <c r="H102" s="74" t="s">
        <v>669</v>
      </c>
      <c r="I102" s="72">
        <f>'02_Work_Items'!Q102</f>
      </c>
      <c r="J102" s="71" t="s">
        <v>46</v>
      </c>
    </row>
    <row r="103" spans="1:10" x14ac:dyDescent="0.25">
      <c r="A103" s="70" t="s">
        <v>670</v>
      </c>
      <c r="B103" s="71" t="s">
        <v>149</v>
      </c>
      <c r="C103" s="71" t="s">
        <v>152</v>
      </c>
      <c r="D103" s="71" t="s">
        <v>673</v>
      </c>
      <c r="E103" s="71" t="s">
        <v>656</v>
      </c>
      <c r="F103" s="71" t="s">
        <v>2979</v>
      </c>
      <c r="G103" s="72" t="s">
        <v>2942</v>
      </c>
      <c r="H103" s="71" t="s">
        <v>673</v>
      </c>
      <c r="I103" s="72">
        <f>'02_Work_Items'!Q103</f>
      </c>
      <c r="J103" s="71" t="s">
        <v>675</v>
      </c>
    </row>
    <row r="104" spans="1:10" x14ac:dyDescent="0.25">
      <c r="A104" s="73" t="s">
        <v>676</v>
      </c>
      <c r="B104" s="74" t="s">
        <v>149</v>
      </c>
      <c r="C104" s="74" t="s">
        <v>152</v>
      </c>
      <c r="D104" s="74" t="s">
        <v>679</v>
      </c>
      <c r="E104" s="74" t="s">
        <v>656</v>
      </c>
      <c r="F104" s="74" t="s">
        <v>2979</v>
      </c>
      <c r="G104" s="75" t="s">
        <v>2942</v>
      </c>
      <c r="H104" s="74" t="s">
        <v>679</v>
      </c>
      <c r="I104" s="72">
        <f>'02_Work_Items'!Q104</f>
      </c>
      <c r="J104" s="71" t="s">
        <v>46</v>
      </c>
    </row>
    <row r="105" spans="1:10" x14ac:dyDescent="0.25">
      <c r="A105" s="70" t="s">
        <v>680</v>
      </c>
      <c r="B105" s="71" t="s">
        <v>149</v>
      </c>
      <c r="C105" s="71" t="s">
        <v>152</v>
      </c>
      <c r="D105" s="71" t="s">
        <v>683</v>
      </c>
      <c r="E105" s="71" t="s">
        <v>684</v>
      </c>
      <c r="F105" s="71" t="s">
        <v>97</v>
      </c>
      <c r="G105" s="72" t="s">
        <v>2942</v>
      </c>
      <c r="H105" s="71" t="s">
        <v>683</v>
      </c>
      <c r="I105" s="72">
        <f>'02_Work_Items'!Q105</f>
      </c>
      <c r="J105" s="71" t="s">
        <v>46</v>
      </c>
    </row>
    <row r="106" spans="1:10" x14ac:dyDescent="0.25">
      <c r="A106" s="73" t="s">
        <v>685</v>
      </c>
      <c r="B106" s="74" t="s">
        <v>149</v>
      </c>
      <c r="C106" s="74" t="s">
        <v>152</v>
      </c>
      <c r="D106" s="74" t="s">
        <v>688</v>
      </c>
      <c r="E106" s="74" t="s">
        <v>656</v>
      </c>
      <c r="F106" s="74" t="s">
        <v>2984</v>
      </c>
      <c r="G106" s="75" t="s">
        <v>2942</v>
      </c>
      <c r="H106" s="74" t="s">
        <v>2989</v>
      </c>
      <c r="I106" s="72">
        <f>'02_Work_Items'!Q106</f>
      </c>
      <c r="J106" s="71" t="s">
        <v>46</v>
      </c>
    </row>
    <row r="107" spans="1:10" x14ac:dyDescent="0.25">
      <c r="A107" s="70" t="s">
        <v>689</v>
      </c>
      <c r="B107" s="71" t="s">
        <v>154</v>
      </c>
      <c r="C107" s="71" t="s">
        <v>153</v>
      </c>
      <c r="D107" s="71" t="s">
        <v>693</v>
      </c>
      <c r="E107" s="71" t="s">
        <v>694</v>
      </c>
      <c r="F107" s="71" t="s">
        <v>2967</v>
      </c>
      <c r="G107" s="72" t="s">
        <v>2942</v>
      </c>
      <c r="H107" s="71" t="s">
        <v>2990</v>
      </c>
      <c r="I107" s="72">
        <f>'02_Work_Items'!Q107</f>
      </c>
      <c r="J107" s="71" t="s">
        <v>46</v>
      </c>
    </row>
    <row r="108" spans="1:10" x14ac:dyDescent="0.25">
      <c r="A108" s="73" t="s">
        <v>696</v>
      </c>
      <c r="B108" s="74" t="s">
        <v>154</v>
      </c>
      <c r="C108" s="74" t="s">
        <v>153</v>
      </c>
      <c r="D108" s="74" t="s">
        <v>699</v>
      </c>
      <c r="E108" s="74" t="s">
        <v>694</v>
      </c>
      <c r="F108" s="74" t="s">
        <v>2953</v>
      </c>
      <c r="G108" s="75" t="s">
        <v>2942</v>
      </c>
      <c r="H108" s="74" t="s">
        <v>699</v>
      </c>
      <c r="I108" s="72">
        <f>'02_Work_Items'!Q108</f>
      </c>
      <c r="J108" s="71" t="s">
        <v>46</v>
      </c>
    </row>
    <row r="109" spans="1:10" x14ac:dyDescent="0.25">
      <c r="A109" s="70" t="s">
        <v>700</v>
      </c>
      <c r="B109" s="71" t="s">
        <v>154</v>
      </c>
      <c r="C109" s="71" t="s">
        <v>153</v>
      </c>
      <c r="D109" s="71" t="s">
        <v>703</v>
      </c>
      <c r="E109" s="71" t="s">
        <v>694</v>
      </c>
      <c r="F109" s="71" t="s">
        <v>2979</v>
      </c>
      <c r="G109" s="72" t="s">
        <v>2942</v>
      </c>
      <c r="H109" s="71" t="s">
        <v>2991</v>
      </c>
      <c r="I109" s="72">
        <f>'02_Work_Items'!Q109</f>
      </c>
      <c r="J109" s="71" t="s">
        <v>46</v>
      </c>
    </row>
    <row r="110" spans="1:10" x14ac:dyDescent="0.25">
      <c r="A110" s="73" t="s">
        <v>704</v>
      </c>
      <c r="B110" s="74" t="s">
        <v>154</v>
      </c>
      <c r="C110" s="74" t="s">
        <v>153</v>
      </c>
      <c r="D110" s="74" t="s">
        <v>707</v>
      </c>
      <c r="E110" s="74" t="s">
        <v>694</v>
      </c>
      <c r="F110" s="74" t="s">
        <v>2979</v>
      </c>
      <c r="G110" s="75" t="s">
        <v>2942</v>
      </c>
      <c r="H110" s="74" t="s">
        <v>707</v>
      </c>
      <c r="I110" s="72">
        <f>'02_Work_Items'!Q110</f>
      </c>
      <c r="J110" s="71" t="s">
        <v>708</v>
      </c>
    </row>
    <row r="111" spans="1:10" x14ac:dyDescent="0.25">
      <c r="A111" s="70" t="s">
        <v>709</v>
      </c>
      <c r="B111" s="71" t="s">
        <v>154</v>
      </c>
      <c r="C111" s="71" t="s">
        <v>153</v>
      </c>
      <c r="D111" s="71" t="s">
        <v>712</v>
      </c>
      <c r="E111" s="71" t="s">
        <v>694</v>
      </c>
      <c r="F111" s="71" t="s">
        <v>2979</v>
      </c>
      <c r="G111" s="72" t="s">
        <v>2942</v>
      </c>
      <c r="H111" s="71" t="s">
        <v>712</v>
      </c>
      <c r="I111" s="72">
        <f>'02_Work_Items'!Q111</f>
      </c>
      <c r="J111" s="71" t="s">
        <v>46</v>
      </c>
    </row>
    <row r="112" spans="1:10" x14ac:dyDescent="0.25">
      <c r="A112" s="73" t="s">
        <v>713</v>
      </c>
      <c r="B112" s="74" t="s">
        <v>154</v>
      </c>
      <c r="C112" s="74" t="s">
        <v>153</v>
      </c>
      <c r="D112" s="74" t="s">
        <v>716</v>
      </c>
      <c r="E112" s="74" t="s">
        <v>694</v>
      </c>
      <c r="F112" s="74" t="s">
        <v>2979</v>
      </c>
      <c r="G112" s="75" t="s">
        <v>2942</v>
      </c>
      <c r="H112" s="74" t="s">
        <v>716</v>
      </c>
      <c r="I112" s="72">
        <f>'02_Work_Items'!Q112</f>
      </c>
      <c r="J112" s="71" t="s">
        <v>717</v>
      </c>
    </row>
    <row r="113" spans="1:10" x14ac:dyDescent="0.25">
      <c r="A113" s="70" t="s">
        <v>718</v>
      </c>
      <c r="B113" s="71" t="s">
        <v>154</v>
      </c>
      <c r="C113" s="71" t="s">
        <v>153</v>
      </c>
      <c r="D113" s="71" t="s">
        <v>721</v>
      </c>
      <c r="E113" s="71" t="s">
        <v>694</v>
      </c>
      <c r="F113" s="71" t="s">
        <v>2979</v>
      </c>
      <c r="G113" s="72" t="s">
        <v>2942</v>
      </c>
      <c r="H113" s="71" t="s">
        <v>2992</v>
      </c>
      <c r="I113" s="72">
        <f>'02_Work_Items'!Q113</f>
      </c>
      <c r="J113" s="71" t="s">
        <v>722</v>
      </c>
    </row>
    <row r="114" spans="1:10" x14ac:dyDescent="0.25">
      <c r="A114" s="73" t="s">
        <v>723</v>
      </c>
      <c r="B114" s="74" t="s">
        <v>154</v>
      </c>
      <c r="C114" s="74" t="s">
        <v>153</v>
      </c>
      <c r="D114" s="74" t="s">
        <v>726</v>
      </c>
      <c r="E114" s="74" t="s">
        <v>694</v>
      </c>
      <c r="F114" s="74" t="s">
        <v>2979</v>
      </c>
      <c r="G114" s="75" t="s">
        <v>2942</v>
      </c>
      <c r="H114" s="74" t="s">
        <v>2993</v>
      </c>
      <c r="I114" s="72">
        <f>'02_Work_Items'!Q114</f>
      </c>
      <c r="J114" s="71" t="s">
        <v>46</v>
      </c>
    </row>
    <row r="115" spans="1:10" x14ac:dyDescent="0.25">
      <c r="A115" s="70" t="s">
        <v>727</v>
      </c>
      <c r="B115" s="71" t="s">
        <v>154</v>
      </c>
      <c r="C115" s="71" t="s">
        <v>153</v>
      </c>
      <c r="D115" s="71" t="s">
        <v>730</v>
      </c>
      <c r="E115" s="71" t="s">
        <v>694</v>
      </c>
      <c r="F115" s="71" t="s">
        <v>2979</v>
      </c>
      <c r="G115" s="72" t="s">
        <v>2942</v>
      </c>
      <c r="H115" s="71" t="s">
        <v>730</v>
      </c>
      <c r="I115" s="72">
        <f>'02_Work_Items'!Q115</f>
      </c>
      <c r="J115" s="71" t="s">
        <v>46</v>
      </c>
    </row>
    <row r="116" spans="1:10" x14ac:dyDescent="0.25">
      <c r="A116" s="73" t="s">
        <v>731</v>
      </c>
      <c r="B116" s="74" t="s">
        <v>154</v>
      </c>
      <c r="C116" s="74" t="s">
        <v>153</v>
      </c>
      <c r="D116" s="74" t="s">
        <v>734</v>
      </c>
      <c r="E116" s="74" t="s">
        <v>694</v>
      </c>
      <c r="F116" s="74" t="s">
        <v>97</v>
      </c>
      <c r="G116" s="75" t="s">
        <v>2942</v>
      </c>
      <c r="H116" s="74" t="s">
        <v>734</v>
      </c>
      <c r="I116" s="72">
        <f>'02_Work_Items'!Q116</f>
      </c>
      <c r="J116" s="71" t="s">
        <v>46</v>
      </c>
    </row>
    <row r="117" spans="1:10" x14ac:dyDescent="0.25">
      <c r="A117" s="70" t="s">
        <v>735</v>
      </c>
      <c r="B117" s="71" t="s">
        <v>154</v>
      </c>
      <c r="C117" s="71" t="s">
        <v>153</v>
      </c>
      <c r="D117" s="71" t="s">
        <v>738</v>
      </c>
      <c r="E117" s="71" t="s">
        <v>694</v>
      </c>
      <c r="F117" s="71" t="s">
        <v>2941</v>
      </c>
      <c r="G117" s="72" t="s">
        <v>2942</v>
      </c>
      <c r="H117" s="71" t="s">
        <v>738</v>
      </c>
      <c r="I117" s="72">
        <f>'02_Work_Items'!Q117</f>
      </c>
      <c r="J117" s="71" t="s">
        <v>46</v>
      </c>
    </row>
    <row r="118" spans="1:10" x14ac:dyDescent="0.25">
      <c r="A118" s="73" t="s">
        <v>739</v>
      </c>
      <c r="B118" s="74" t="s">
        <v>154</v>
      </c>
      <c r="C118" s="74" t="s">
        <v>153</v>
      </c>
      <c r="D118" s="74" t="s">
        <v>598</v>
      </c>
      <c r="E118" s="74" t="s">
        <v>694</v>
      </c>
      <c r="F118" s="74" t="s">
        <v>2984</v>
      </c>
      <c r="G118" s="75" t="s">
        <v>2942</v>
      </c>
      <c r="H118" s="74" t="s">
        <v>598</v>
      </c>
      <c r="I118" s="72">
        <f>'02_Work_Items'!Q118</f>
      </c>
      <c r="J118" s="71" t="s">
        <v>46</v>
      </c>
    </row>
    <row r="119" spans="1:10" x14ac:dyDescent="0.25">
      <c r="A119" s="70" t="s">
        <v>742</v>
      </c>
      <c r="B119" s="71" t="s">
        <v>154</v>
      </c>
      <c r="C119" s="71" t="s">
        <v>155</v>
      </c>
      <c r="D119" s="71" t="s">
        <v>746</v>
      </c>
      <c r="E119" s="71" t="s">
        <v>747</v>
      </c>
      <c r="F119" s="71" t="s">
        <v>2967</v>
      </c>
      <c r="G119" s="72" t="s">
        <v>2942</v>
      </c>
      <c r="H119" s="71" t="s">
        <v>2994</v>
      </c>
      <c r="I119" s="72">
        <f>'02_Work_Items'!Q119</f>
      </c>
      <c r="J119" s="71" t="s">
        <v>46</v>
      </c>
    </row>
    <row r="120" spans="1:10" x14ac:dyDescent="0.25">
      <c r="A120" s="73" t="s">
        <v>749</v>
      </c>
      <c r="B120" s="74" t="s">
        <v>154</v>
      </c>
      <c r="C120" s="74" t="s">
        <v>155</v>
      </c>
      <c r="D120" s="74" t="s">
        <v>752</v>
      </c>
      <c r="E120" s="74" t="s">
        <v>747</v>
      </c>
      <c r="F120" s="74" t="s">
        <v>2967</v>
      </c>
      <c r="G120" s="75" t="s">
        <v>2942</v>
      </c>
      <c r="H120" s="74" t="s">
        <v>2995</v>
      </c>
      <c r="I120" s="72">
        <f>'02_Work_Items'!Q120</f>
      </c>
      <c r="J120" s="71" t="s">
        <v>46</v>
      </c>
    </row>
    <row r="121" spans="1:10" x14ac:dyDescent="0.25">
      <c r="A121" s="70" t="s">
        <v>753</v>
      </c>
      <c r="B121" s="71" t="s">
        <v>154</v>
      </c>
      <c r="C121" s="71" t="s">
        <v>155</v>
      </c>
      <c r="D121" s="71" t="s">
        <v>756</v>
      </c>
      <c r="E121" s="71" t="s">
        <v>747</v>
      </c>
      <c r="F121" s="71" t="s">
        <v>2953</v>
      </c>
      <c r="G121" s="72" t="s">
        <v>2942</v>
      </c>
      <c r="H121" s="71" t="s">
        <v>2996</v>
      </c>
      <c r="I121" s="72">
        <f>'02_Work_Items'!Q121</f>
      </c>
      <c r="J121" s="71" t="s">
        <v>46</v>
      </c>
    </row>
    <row r="122" spans="1:10" x14ac:dyDescent="0.25">
      <c r="A122" s="73" t="s">
        <v>757</v>
      </c>
      <c r="B122" s="74" t="s">
        <v>154</v>
      </c>
      <c r="C122" s="74" t="s">
        <v>155</v>
      </c>
      <c r="D122" s="74" t="s">
        <v>760</v>
      </c>
      <c r="E122" s="74" t="s">
        <v>747</v>
      </c>
      <c r="F122" s="74" t="s">
        <v>2979</v>
      </c>
      <c r="G122" s="75" t="s">
        <v>2942</v>
      </c>
      <c r="H122" s="74" t="s">
        <v>2997</v>
      </c>
      <c r="I122" s="72">
        <f>'02_Work_Items'!Q122</f>
      </c>
      <c r="J122" s="71" t="s">
        <v>46</v>
      </c>
    </row>
    <row r="123" spans="1:10" x14ac:dyDescent="0.25">
      <c r="A123" s="70" t="s">
        <v>761</v>
      </c>
      <c r="B123" s="71" t="s">
        <v>154</v>
      </c>
      <c r="C123" s="71" t="s">
        <v>155</v>
      </c>
      <c r="D123" s="71" t="s">
        <v>764</v>
      </c>
      <c r="E123" s="71" t="s">
        <v>747</v>
      </c>
      <c r="F123" s="71" t="s">
        <v>2979</v>
      </c>
      <c r="G123" s="72" t="s">
        <v>2942</v>
      </c>
      <c r="H123" s="71" t="s">
        <v>2998</v>
      </c>
      <c r="I123" s="72">
        <f>'02_Work_Items'!Q123</f>
      </c>
      <c r="J123" s="71" t="s">
        <v>46</v>
      </c>
    </row>
    <row r="124" spans="1:10" x14ac:dyDescent="0.25">
      <c r="A124" s="73" t="s">
        <v>765</v>
      </c>
      <c r="B124" s="74" t="s">
        <v>154</v>
      </c>
      <c r="C124" s="74" t="s">
        <v>155</v>
      </c>
      <c r="D124" s="74" t="s">
        <v>768</v>
      </c>
      <c r="E124" s="74" t="s">
        <v>747</v>
      </c>
      <c r="F124" s="74" t="s">
        <v>2979</v>
      </c>
      <c r="G124" s="75" t="s">
        <v>2942</v>
      </c>
      <c r="H124" s="74" t="s">
        <v>768</v>
      </c>
      <c r="I124" s="72">
        <f>'02_Work_Items'!Q124</f>
      </c>
      <c r="J124" s="71" t="s">
        <v>46</v>
      </c>
    </row>
    <row r="125" spans="1:10" x14ac:dyDescent="0.25">
      <c r="A125" s="70" t="s">
        <v>769</v>
      </c>
      <c r="B125" s="71" t="s">
        <v>154</v>
      </c>
      <c r="C125" s="71" t="s">
        <v>155</v>
      </c>
      <c r="D125" s="71" t="s">
        <v>772</v>
      </c>
      <c r="E125" s="71" t="s">
        <v>747</v>
      </c>
      <c r="F125" s="71" t="s">
        <v>2979</v>
      </c>
      <c r="G125" s="72" t="s">
        <v>2942</v>
      </c>
      <c r="H125" s="71" t="s">
        <v>772</v>
      </c>
      <c r="I125" s="72">
        <f>'02_Work_Items'!Q125</f>
      </c>
      <c r="J125" s="71" t="s">
        <v>46</v>
      </c>
    </row>
    <row r="126" spans="1:10" x14ac:dyDescent="0.25">
      <c r="A126" s="73" t="s">
        <v>773</v>
      </c>
      <c r="B126" s="74" t="s">
        <v>154</v>
      </c>
      <c r="C126" s="74" t="s">
        <v>155</v>
      </c>
      <c r="D126" s="74" t="s">
        <v>776</v>
      </c>
      <c r="E126" s="74" t="s">
        <v>747</v>
      </c>
      <c r="F126" s="74" t="s">
        <v>2979</v>
      </c>
      <c r="G126" s="75" t="s">
        <v>2942</v>
      </c>
      <c r="H126" s="74" t="s">
        <v>776</v>
      </c>
      <c r="I126" s="72">
        <f>'02_Work_Items'!Q126</f>
      </c>
      <c r="J126" s="71" t="s">
        <v>46</v>
      </c>
    </row>
    <row r="127" spans="1:10" x14ac:dyDescent="0.25">
      <c r="A127" s="70" t="s">
        <v>777</v>
      </c>
      <c r="B127" s="71" t="s">
        <v>154</v>
      </c>
      <c r="C127" s="71" t="s">
        <v>155</v>
      </c>
      <c r="D127" s="71" t="s">
        <v>780</v>
      </c>
      <c r="E127" s="71" t="s">
        <v>747</v>
      </c>
      <c r="F127" s="71" t="s">
        <v>2979</v>
      </c>
      <c r="G127" s="72" t="s">
        <v>2942</v>
      </c>
      <c r="H127" s="71" t="s">
        <v>780</v>
      </c>
      <c r="I127" s="72">
        <f>'02_Work_Items'!Q127</f>
      </c>
      <c r="J127" s="71" t="s">
        <v>46</v>
      </c>
    </row>
    <row r="128" spans="1:10" x14ac:dyDescent="0.25">
      <c r="A128" s="73" t="s">
        <v>781</v>
      </c>
      <c r="B128" s="74" t="s">
        <v>154</v>
      </c>
      <c r="C128" s="74" t="s">
        <v>155</v>
      </c>
      <c r="D128" s="74" t="s">
        <v>784</v>
      </c>
      <c r="E128" s="74" t="s">
        <v>747</v>
      </c>
      <c r="F128" s="74" t="s">
        <v>2979</v>
      </c>
      <c r="G128" s="75" t="s">
        <v>2942</v>
      </c>
      <c r="H128" s="74" t="s">
        <v>2999</v>
      </c>
      <c r="I128" s="72">
        <f>'02_Work_Items'!Q128</f>
      </c>
      <c r="J128" s="71" t="s">
        <v>46</v>
      </c>
    </row>
    <row r="129" spans="1:10" x14ac:dyDescent="0.25">
      <c r="A129" s="70" t="s">
        <v>785</v>
      </c>
      <c r="B129" s="71" t="s">
        <v>154</v>
      </c>
      <c r="C129" s="71" t="s">
        <v>155</v>
      </c>
      <c r="D129" s="71" t="s">
        <v>788</v>
      </c>
      <c r="E129" s="71" t="s">
        <v>747</v>
      </c>
      <c r="F129" s="71" t="s">
        <v>2979</v>
      </c>
      <c r="G129" s="72" t="s">
        <v>2942</v>
      </c>
      <c r="H129" s="71" t="s">
        <v>788</v>
      </c>
      <c r="I129" s="72">
        <f>'02_Work_Items'!Q129</f>
      </c>
      <c r="J129" s="71" t="s">
        <v>789</v>
      </c>
    </row>
    <row r="130" spans="1:10" x14ac:dyDescent="0.25">
      <c r="A130" s="73" t="s">
        <v>790</v>
      </c>
      <c r="B130" s="74" t="s">
        <v>154</v>
      </c>
      <c r="C130" s="74" t="s">
        <v>155</v>
      </c>
      <c r="D130" s="74" t="s">
        <v>793</v>
      </c>
      <c r="E130" s="74" t="s">
        <v>747</v>
      </c>
      <c r="F130" s="74" t="s">
        <v>2979</v>
      </c>
      <c r="G130" s="75" t="s">
        <v>2942</v>
      </c>
      <c r="H130" s="74" t="s">
        <v>793</v>
      </c>
      <c r="I130" s="72">
        <f>'02_Work_Items'!Q130</f>
      </c>
      <c r="J130" s="71" t="s">
        <v>46</v>
      </c>
    </row>
    <row r="131" spans="1:10" x14ac:dyDescent="0.25">
      <c r="A131" s="70" t="s">
        <v>794</v>
      </c>
      <c r="B131" s="71" t="s">
        <v>154</v>
      </c>
      <c r="C131" s="71" t="s">
        <v>155</v>
      </c>
      <c r="D131" s="71" t="s">
        <v>797</v>
      </c>
      <c r="E131" s="71" t="s">
        <v>747</v>
      </c>
      <c r="F131" s="71" t="s">
        <v>2979</v>
      </c>
      <c r="G131" s="72" t="s">
        <v>2942</v>
      </c>
      <c r="H131" s="71" t="s">
        <v>797</v>
      </c>
      <c r="I131" s="72">
        <f>'02_Work_Items'!Q131</f>
      </c>
      <c r="J131" s="71" t="s">
        <v>46</v>
      </c>
    </row>
    <row r="132" spans="1:10" x14ac:dyDescent="0.25">
      <c r="A132" s="73" t="s">
        <v>798</v>
      </c>
      <c r="B132" s="74" t="s">
        <v>154</v>
      </c>
      <c r="C132" s="74" t="s">
        <v>155</v>
      </c>
      <c r="D132" s="74" t="s">
        <v>801</v>
      </c>
      <c r="E132" s="74" t="s">
        <v>747</v>
      </c>
      <c r="F132" s="74" t="s">
        <v>2979</v>
      </c>
      <c r="G132" s="75" t="s">
        <v>2942</v>
      </c>
      <c r="H132" s="74" t="s">
        <v>801</v>
      </c>
      <c r="I132" s="72">
        <f>'02_Work_Items'!Q132</f>
      </c>
      <c r="J132" s="71" t="s">
        <v>46</v>
      </c>
    </row>
    <row r="133" spans="1:10" x14ac:dyDescent="0.25">
      <c r="A133" s="70" t="s">
        <v>802</v>
      </c>
      <c r="B133" s="71" t="s">
        <v>154</v>
      </c>
      <c r="C133" s="71" t="s">
        <v>155</v>
      </c>
      <c r="D133" s="71" t="s">
        <v>805</v>
      </c>
      <c r="E133" s="71" t="s">
        <v>747</v>
      </c>
      <c r="F133" s="71" t="s">
        <v>2979</v>
      </c>
      <c r="G133" s="72" t="s">
        <v>2942</v>
      </c>
      <c r="H133" s="71" t="s">
        <v>805</v>
      </c>
      <c r="I133" s="72">
        <f>'02_Work_Items'!Q133</f>
      </c>
      <c r="J133" s="71" t="s">
        <v>46</v>
      </c>
    </row>
    <row r="134" spans="1:10" x14ac:dyDescent="0.25">
      <c r="A134" s="73" t="s">
        <v>806</v>
      </c>
      <c r="B134" s="74" t="s">
        <v>154</v>
      </c>
      <c r="C134" s="74" t="s">
        <v>155</v>
      </c>
      <c r="D134" s="74" t="s">
        <v>809</v>
      </c>
      <c r="E134" s="74" t="s">
        <v>747</v>
      </c>
      <c r="F134" s="74" t="s">
        <v>2979</v>
      </c>
      <c r="G134" s="75" t="s">
        <v>2942</v>
      </c>
      <c r="H134" s="74" t="s">
        <v>809</v>
      </c>
      <c r="I134" s="72">
        <f>'02_Work_Items'!Q134</f>
      </c>
      <c r="J134" s="71" t="s">
        <v>810</v>
      </c>
    </row>
    <row r="135" spans="1:10" x14ac:dyDescent="0.25">
      <c r="A135" s="70" t="s">
        <v>811</v>
      </c>
      <c r="B135" s="71" t="s">
        <v>154</v>
      </c>
      <c r="C135" s="71" t="s">
        <v>155</v>
      </c>
      <c r="D135" s="71" t="s">
        <v>814</v>
      </c>
      <c r="E135" s="71" t="s">
        <v>747</v>
      </c>
      <c r="F135" s="71" t="s">
        <v>2979</v>
      </c>
      <c r="G135" s="72" t="s">
        <v>2942</v>
      </c>
      <c r="H135" s="71" t="s">
        <v>814</v>
      </c>
      <c r="I135" s="72">
        <f>'02_Work_Items'!Q135</f>
      </c>
      <c r="J135" s="71" t="s">
        <v>46</v>
      </c>
    </row>
    <row r="136" spans="1:10" x14ac:dyDescent="0.25">
      <c r="A136" s="73" t="s">
        <v>815</v>
      </c>
      <c r="B136" s="74" t="s">
        <v>154</v>
      </c>
      <c r="C136" s="74" t="s">
        <v>155</v>
      </c>
      <c r="D136" s="74" t="s">
        <v>818</v>
      </c>
      <c r="E136" s="74" t="s">
        <v>819</v>
      </c>
      <c r="F136" s="74" t="s">
        <v>2979</v>
      </c>
      <c r="G136" s="75" t="s">
        <v>2942</v>
      </c>
      <c r="H136" s="74" t="s">
        <v>818</v>
      </c>
      <c r="I136" s="72">
        <f>'02_Work_Items'!Q136</f>
      </c>
      <c r="J136" s="71" t="s">
        <v>46</v>
      </c>
    </row>
    <row r="137" spans="1:10" x14ac:dyDescent="0.25">
      <c r="A137" s="70" t="s">
        <v>820</v>
      </c>
      <c r="B137" s="71" t="s">
        <v>154</v>
      </c>
      <c r="C137" s="71" t="s">
        <v>155</v>
      </c>
      <c r="D137" s="71" t="s">
        <v>823</v>
      </c>
      <c r="E137" s="71" t="s">
        <v>747</v>
      </c>
      <c r="F137" s="71" t="s">
        <v>3000</v>
      </c>
      <c r="G137" s="72" t="s">
        <v>2942</v>
      </c>
      <c r="H137" s="71" t="s">
        <v>3001</v>
      </c>
      <c r="I137" s="72">
        <f>'02_Work_Items'!Q137</f>
      </c>
      <c r="J137" s="71" t="s">
        <v>46</v>
      </c>
    </row>
    <row r="138" spans="1:10" x14ac:dyDescent="0.25">
      <c r="A138" s="73" t="s">
        <v>824</v>
      </c>
      <c r="B138" s="74" t="s">
        <v>154</v>
      </c>
      <c r="C138" s="74" t="s">
        <v>155</v>
      </c>
      <c r="D138" s="74" t="s">
        <v>827</v>
      </c>
      <c r="E138" s="74" t="s">
        <v>747</v>
      </c>
      <c r="F138" s="74" t="s">
        <v>3002</v>
      </c>
      <c r="G138" s="75" t="s">
        <v>2942</v>
      </c>
      <c r="H138" s="74" t="s">
        <v>827</v>
      </c>
      <c r="I138" s="72">
        <f>'02_Work_Items'!Q138</f>
      </c>
      <c r="J138" s="71" t="s">
        <v>46</v>
      </c>
    </row>
    <row r="139" spans="1:10" x14ac:dyDescent="0.25">
      <c r="A139" s="70" t="s">
        <v>828</v>
      </c>
      <c r="B139" s="71" t="s">
        <v>154</v>
      </c>
      <c r="C139" s="71" t="s">
        <v>155</v>
      </c>
      <c r="D139" s="71" t="s">
        <v>831</v>
      </c>
      <c r="E139" s="71" t="s">
        <v>747</v>
      </c>
      <c r="F139" s="71" t="s">
        <v>97</v>
      </c>
      <c r="G139" s="72" t="s">
        <v>2942</v>
      </c>
      <c r="H139" s="71" t="s">
        <v>831</v>
      </c>
      <c r="I139" s="72">
        <f>'02_Work_Items'!Q139</f>
      </c>
      <c r="J139" s="71" t="s">
        <v>832</v>
      </c>
    </row>
    <row r="140" spans="1:10" x14ac:dyDescent="0.25">
      <c r="A140" s="73" t="s">
        <v>833</v>
      </c>
      <c r="B140" s="74" t="s">
        <v>154</v>
      </c>
      <c r="C140" s="74" t="s">
        <v>155</v>
      </c>
      <c r="D140" s="74" t="s">
        <v>836</v>
      </c>
      <c r="E140" s="74" t="s">
        <v>819</v>
      </c>
      <c r="F140" s="74" t="s">
        <v>97</v>
      </c>
      <c r="G140" s="75" t="s">
        <v>2942</v>
      </c>
      <c r="H140" s="74" t="s">
        <v>836</v>
      </c>
      <c r="I140" s="72">
        <f>'02_Work_Items'!Q140</f>
      </c>
      <c r="J140" s="71" t="s">
        <v>46</v>
      </c>
    </row>
    <row r="141" spans="1:10" x14ac:dyDescent="0.25">
      <c r="A141" s="70" t="s">
        <v>837</v>
      </c>
      <c r="B141" s="71" t="s">
        <v>154</v>
      </c>
      <c r="C141" s="71" t="s">
        <v>155</v>
      </c>
      <c r="D141" s="71" t="s">
        <v>840</v>
      </c>
      <c r="E141" s="71" t="s">
        <v>841</v>
      </c>
      <c r="F141" s="71" t="s">
        <v>97</v>
      </c>
      <c r="G141" s="72" t="s">
        <v>2942</v>
      </c>
      <c r="H141" s="71" t="s">
        <v>840</v>
      </c>
      <c r="I141" s="72">
        <f>'02_Work_Items'!Q141</f>
      </c>
      <c r="J141" s="71" t="s">
        <v>46</v>
      </c>
    </row>
    <row r="142" spans="1:10" x14ac:dyDescent="0.25">
      <c r="A142" s="73" t="s">
        <v>842</v>
      </c>
      <c r="B142" s="74" t="s">
        <v>154</v>
      </c>
      <c r="C142" s="74" t="s">
        <v>155</v>
      </c>
      <c r="D142" s="74" t="s">
        <v>845</v>
      </c>
      <c r="E142" s="74" t="s">
        <v>747</v>
      </c>
      <c r="F142" s="74" t="s">
        <v>2941</v>
      </c>
      <c r="G142" s="75" t="s">
        <v>2942</v>
      </c>
      <c r="H142" s="74" t="s">
        <v>845</v>
      </c>
      <c r="I142" s="72">
        <f>'02_Work_Items'!Q142</f>
      </c>
      <c r="J142" s="71" t="s">
        <v>46</v>
      </c>
    </row>
    <row r="143" spans="1:10" x14ac:dyDescent="0.25">
      <c r="A143" s="70" t="s">
        <v>846</v>
      </c>
      <c r="B143" s="71" t="s">
        <v>154</v>
      </c>
      <c r="C143" s="71" t="s">
        <v>155</v>
      </c>
      <c r="D143" s="71" t="s">
        <v>598</v>
      </c>
      <c r="E143" s="71" t="s">
        <v>747</v>
      </c>
      <c r="F143" s="71" t="s">
        <v>2984</v>
      </c>
      <c r="G143" s="72" t="s">
        <v>2942</v>
      </c>
      <c r="H143" s="71" t="s">
        <v>598</v>
      </c>
      <c r="I143" s="72">
        <f>'02_Work_Items'!Q143</f>
      </c>
      <c r="J143" s="71" t="s">
        <v>46</v>
      </c>
    </row>
    <row r="144" spans="1:10" x14ac:dyDescent="0.25">
      <c r="A144" s="73" t="s">
        <v>849</v>
      </c>
      <c r="B144" s="74" t="s">
        <v>154</v>
      </c>
      <c r="C144" s="74" t="s">
        <v>156</v>
      </c>
      <c r="D144" s="74" t="s">
        <v>853</v>
      </c>
      <c r="E144" s="74" t="s">
        <v>854</v>
      </c>
      <c r="F144" s="74" t="s">
        <v>2967</v>
      </c>
      <c r="G144" s="75" t="s">
        <v>2942</v>
      </c>
      <c r="H144" s="74" t="s">
        <v>853</v>
      </c>
      <c r="I144" s="72">
        <f>'02_Work_Items'!Q144</f>
      </c>
      <c r="J144" s="71" t="s">
        <v>46</v>
      </c>
    </row>
    <row r="145" spans="1:10" x14ac:dyDescent="0.25">
      <c r="A145" s="70" t="s">
        <v>856</v>
      </c>
      <c r="B145" s="71" t="s">
        <v>154</v>
      </c>
      <c r="C145" s="71" t="s">
        <v>156</v>
      </c>
      <c r="D145" s="71" t="s">
        <v>859</v>
      </c>
      <c r="E145" s="71" t="s">
        <v>854</v>
      </c>
      <c r="F145" s="71" t="s">
        <v>2979</v>
      </c>
      <c r="G145" s="72" t="s">
        <v>2942</v>
      </c>
      <c r="H145" s="71" t="s">
        <v>859</v>
      </c>
      <c r="I145" s="72">
        <f>'02_Work_Items'!Q145</f>
      </c>
      <c r="J145" s="71" t="s">
        <v>46</v>
      </c>
    </row>
    <row r="146" spans="1:10" x14ac:dyDescent="0.25">
      <c r="A146" s="73" t="s">
        <v>860</v>
      </c>
      <c r="B146" s="74" t="s">
        <v>154</v>
      </c>
      <c r="C146" s="74" t="s">
        <v>156</v>
      </c>
      <c r="D146" s="74" t="s">
        <v>863</v>
      </c>
      <c r="E146" s="74" t="s">
        <v>854</v>
      </c>
      <c r="F146" s="74" t="s">
        <v>2979</v>
      </c>
      <c r="G146" s="75" t="s">
        <v>2942</v>
      </c>
      <c r="H146" s="74" t="s">
        <v>863</v>
      </c>
      <c r="I146" s="72">
        <f>'02_Work_Items'!Q146</f>
      </c>
      <c r="J146" s="71" t="s">
        <v>46</v>
      </c>
    </row>
    <row r="147" spans="1:10" x14ac:dyDescent="0.25">
      <c r="A147" s="70" t="s">
        <v>864</v>
      </c>
      <c r="B147" s="71" t="s">
        <v>154</v>
      </c>
      <c r="C147" s="71" t="s">
        <v>156</v>
      </c>
      <c r="D147" s="71" t="s">
        <v>867</v>
      </c>
      <c r="E147" s="71" t="s">
        <v>854</v>
      </c>
      <c r="F147" s="71" t="s">
        <v>2979</v>
      </c>
      <c r="G147" s="72" t="s">
        <v>2942</v>
      </c>
      <c r="H147" s="71" t="s">
        <v>867</v>
      </c>
      <c r="I147" s="72">
        <f>'02_Work_Items'!Q147</f>
      </c>
      <c r="J147" s="71" t="s">
        <v>46</v>
      </c>
    </row>
    <row r="148" spans="1:10" x14ac:dyDescent="0.25">
      <c r="A148" s="73" t="s">
        <v>868</v>
      </c>
      <c r="B148" s="74" t="s">
        <v>154</v>
      </c>
      <c r="C148" s="74" t="s">
        <v>156</v>
      </c>
      <c r="D148" s="74" t="s">
        <v>871</v>
      </c>
      <c r="E148" s="74" t="s">
        <v>854</v>
      </c>
      <c r="F148" s="74" t="s">
        <v>2979</v>
      </c>
      <c r="G148" s="75" t="s">
        <v>2942</v>
      </c>
      <c r="H148" s="74" t="s">
        <v>871</v>
      </c>
      <c r="I148" s="72">
        <f>'02_Work_Items'!Q148</f>
      </c>
      <c r="J148" s="71" t="s">
        <v>46</v>
      </c>
    </row>
    <row r="149" spans="1:10" x14ac:dyDescent="0.25">
      <c r="A149" s="70" t="s">
        <v>872</v>
      </c>
      <c r="B149" s="71" t="s">
        <v>154</v>
      </c>
      <c r="C149" s="71" t="s">
        <v>156</v>
      </c>
      <c r="D149" s="71" t="s">
        <v>875</v>
      </c>
      <c r="E149" s="71" t="s">
        <v>854</v>
      </c>
      <c r="F149" s="71" t="s">
        <v>97</v>
      </c>
      <c r="G149" s="72" t="s">
        <v>2942</v>
      </c>
      <c r="H149" s="71" t="s">
        <v>875</v>
      </c>
      <c r="I149" s="72">
        <f>'02_Work_Items'!Q149</f>
      </c>
      <c r="J149" s="71" t="s">
        <v>46</v>
      </c>
    </row>
    <row r="150" spans="1:10" x14ac:dyDescent="0.25">
      <c r="A150" s="73" t="s">
        <v>876</v>
      </c>
      <c r="B150" s="74" t="s">
        <v>154</v>
      </c>
      <c r="C150" s="74" t="s">
        <v>156</v>
      </c>
      <c r="D150" s="74" t="s">
        <v>879</v>
      </c>
      <c r="E150" s="74" t="s">
        <v>854</v>
      </c>
      <c r="F150" s="74" t="s">
        <v>2984</v>
      </c>
      <c r="G150" s="75" t="s">
        <v>2942</v>
      </c>
      <c r="H150" s="74" t="s">
        <v>879</v>
      </c>
      <c r="I150" s="72">
        <f>'02_Work_Items'!Q150</f>
      </c>
      <c r="J150" s="71" t="s">
        <v>46</v>
      </c>
    </row>
    <row r="151" spans="1:10" x14ac:dyDescent="0.25">
      <c r="A151" s="70" t="s">
        <v>880</v>
      </c>
      <c r="B151" s="71" t="s">
        <v>158</v>
      </c>
      <c r="C151" s="71" t="s">
        <v>157</v>
      </c>
      <c r="D151" s="71" t="s">
        <v>884</v>
      </c>
      <c r="E151" s="71" t="s">
        <v>885</v>
      </c>
      <c r="F151" s="71" t="s">
        <v>3002</v>
      </c>
      <c r="G151" s="72" t="s">
        <v>2942</v>
      </c>
      <c r="H151" s="71" t="s">
        <v>3003</v>
      </c>
      <c r="I151" s="72">
        <f>'02_Work_Items'!Q151</f>
      </c>
      <c r="J151" s="71" t="s">
        <v>46</v>
      </c>
    </row>
    <row r="152" spans="1:10" x14ac:dyDescent="0.25">
      <c r="A152" s="73" t="s">
        <v>886</v>
      </c>
      <c r="B152" s="74" t="s">
        <v>158</v>
      </c>
      <c r="C152" s="74" t="s">
        <v>157</v>
      </c>
      <c r="D152" s="74" t="s">
        <v>889</v>
      </c>
      <c r="E152" s="74" t="s">
        <v>885</v>
      </c>
      <c r="F152" s="74" t="s">
        <v>2979</v>
      </c>
      <c r="G152" s="75" t="s">
        <v>2942</v>
      </c>
      <c r="H152" s="74" t="s">
        <v>889</v>
      </c>
      <c r="I152" s="72">
        <f>'02_Work_Items'!Q152</f>
      </c>
      <c r="J152" s="71" t="s">
        <v>46</v>
      </c>
    </row>
    <row r="153" spans="1:10" x14ac:dyDescent="0.25">
      <c r="A153" s="70" t="s">
        <v>890</v>
      </c>
      <c r="B153" s="71" t="s">
        <v>158</v>
      </c>
      <c r="C153" s="71" t="s">
        <v>157</v>
      </c>
      <c r="D153" s="71" t="s">
        <v>893</v>
      </c>
      <c r="E153" s="71" t="s">
        <v>885</v>
      </c>
      <c r="F153" s="71" t="s">
        <v>2979</v>
      </c>
      <c r="G153" s="72" t="s">
        <v>2942</v>
      </c>
      <c r="H153" s="71" t="s">
        <v>893</v>
      </c>
      <c r="I153" s="72">
        <f>'02_Work_Items'!Q153</f>
      </c>
      <c r="J153" s="71" t="s">
        <v>46</v>
      </c>
    </row>
    <row r="154" spans="1:10" x14ac:dyDescent="0.25">
      <c r="A154" s="73" t="s">
        <v>894</v>
      </c>
      <c r="B154" s="74" t="s">
        <v>158</v>
      </c>
      <c r="C154" s="74" t="s">
        <v>157</v>
      </c>
      <c r="D154" s="74" t="s">
        <v>897</v>
      </c>
      <c r="E154" s="74" t="s">
        <v>885</v>
      </c>
      <c r="F154" s="74" t="s">
        <v>2979</v>
      </c>
      <c r="G154" s="75" t="s">
        <v>2942</v>
      </c>
      <c r="H154" s="74" t="s">
        <v>897</v>
      </c>
      <c r="I154" s="72">
        <f>'02_Work_Items'!Q154</f>
      </c>
      <c r="J154" s="71" t="s">
        <v>46</v>
      </c>
    </row>
    <row r="155" spans="1:10" x14ac:dyDescent="0.25">
      <c r="A155" s="70" t="s">
        <v>898</v>
      </c>
      <c r="B155" s="71" t="s">
        <v>158</v>
      </c>
      <c r="C155" s="71" t="s">
        <v>157</v>
      </c>
      <c r="D155" s="71" t="s">
        <v>901</v>
      </c>
      <c r="E155" s="71" t="s">
        <v>885</v>
      </c>
      <c r="F155" s="71" t="s">
        <v>2953</v>
      </c>
      <c r="G155" s="72" t="s">
        <v>2942</v>
      </c>
      <c r="H155" s="71" t="s">
        <v>3004</v>
      </c>
      <c r="I155" s="72">
        <f>'02_Work_Items'!Q155</f>
      </c>
      <c r="J155" s="71" t="s">
        <v>902</v>
      </c>
    </row>
    <row r="156" spans="1:10" x14ac:dyDescent="0.25">
      <c r="A156" s="73" t="s">
        <v>903</v>
      </c>
      <c r="B156" s="74" t="s">
        <v>158</v>
      </c>
      <c r="C156" s="74" t="s">
        <v>157</v>
      </c>
      <c r="D156" s="74" t="s">
        <v>906</v>
      </c>
      <c r="E156" s="74" t="s">
        <v>885</v>
      </c>
      <c r="F156" s="74" t="s">
        <v>2979</v>
      </c>
      <c r="G156" s="75" t="s">
        <v>2942</v>
      </c>
      <c r="H156" s="74" t="s">
        <v>906</v>
      </c>
      <c r="I156" s="72">
        <f>'02_Work_Items'!Q156</f>
      </c>
      <c r="J156" s="71" t="s">
        <v>46</v>
      </c>
    </row>
    <row r="157" spans="1:10" x14ac:dyDescent="0.25">
      <c r="A157" s="70" t="s">
        <v>907</v>
      </c>
      <c r="B157" s="71" t="s">
        <v>158</v>
      </c>
      <c r="C157" s="71" t="s">
        <v>157</v>
      </c>
      <c r="D157" s="71" t="s">
        <v>910</v>
      </c>
      <c r="E157" s="71" t="s">
        <v>885</v>
      </c>
      <c r="F157" s="71" t="s">
        <v>2979</v>
      </c>
      <c r="G157" s="72" t="s">
        <v>2942</v>
      </c>
      <c r="H157" s="71" t="s">
        <v>910</v>
      </c>
      <c r="I157" s="72">
        <f>'02_Work_Items'!Q157</f>
      </c>
      <c r="J157" s="71" t="s">
        <v>46</v>
      </c>
    </row>
    <row r="158" spans="1:10" x14ac:dyDescent="0.25">
      <c r="A158" s="73" t="s">
        <v>911</v>
      </c>
      <c r="B158" s="74" t="s">
        <v>158</v>
      </c>
      <c r="C158" s="74" t="s">
        <v>157</v>
      </c>
      <c r="D158" s="74" t="s">
        <v>914</v>
      </c>
      <c r="E158" s="74" t="s">
        <v>885</v>
      </c>
      <c r="F158" s="74" t="s">
        <v>2967</v>
      </c>
      <c r="G158" s="75" t="s">
        <v>2942</v>
      </c>
      <c r="H158" s="74" t="s">
        <v>914</v>
      </c>
      <c r="I158" s="72">
        <f>'02_Work_Items'!Q158</f>
      </c>
      <c r="J158" s="71" t="s">
        <v>46</v>
      </c>
    </row>
    <row r="159" spans="1:10" x14ac:dyDescent="0.25">
      <c r="A159" s="70" t="s">
        <v>915</v>
      </c>
      <c r="B159" s="71" t="s">
        <v>158</v>
      </c>
      <c r="C159" s="71" t="s">
        <v>157</v>
      </c>
      <c r="D159" s="71" t="s">
        <v>918</v>
      </c>
      <c r="E159" s="71" t="s">
        <v>885</v>
      </c>
      <c r="F159" s="71" t="s">
        <v>2979</v>
      </c>
      <c r="G159" s="72" t="s">
        <v>2942</v>
      </c>
      <c r="H159" s="71" t="s">
        <v>918</v>
      </c>
      <c r="I159" s="72">
        <f>'02_Work_Items'!Q159</f>
      </c>
      <c r="J159" s="71" t="s">
        <v>46</v>
      </c>
    </row>
    <row r="160" spans="1:10" x14ac:dyDescent="0.25">
      <c r="A160" s="73" t="s">
        <v>919</v>
      </c>
      <c r="B160" s="74" t="s">
        <v>158</v>
      </c>
      <c r="C160" s="74" t="s">
        <v>157</v>
      </c>
      <c r="D160" s="74" t="s">
        <v>922</v>
      </c>
      <c r="E160" s="74" t="s">
        <v>885</v>
      </c>
      <c r="F160" s="74" t="s">
        <v>2979</v>
      </c>
      <c r="G160" s="75" t="s">
        <v>2942</v>
      </c>
      <c r="H160" s="74" t="s">
        <v>922</v>
      </c>
      <c r="I160" s="72">
        <f>'02_Work_Items'!Q160</f>
      </c>
      <c r="J160" s="71" t="s">
        <v>46</v>
      </c>
    </row>
    <row r="161" spans="1:10" x14ac:dyDescent="0.25">
      <c r="A161" s="70" t="s">
        <v>923</v>
      </c>
      <c r="B161" s="71" t="s">
        <v>158</v>
      </c>
      <c r="C161" s="71" t="s">
        <v>157</v>
      </c>
      <c r="D161" s="71" t="s">
        <v>926</v>
      </c>
      <c r="E161" s="71" t="s">
        <v>885</v>
      </c>
      <c r="F161" s="71" t="s">
        <v>2979</v>
      </c>
      <c r="G161" s="72" t="s">
        <v>2942</v>
      </c>
      <c r="H161" s="71" t="s">
        <v>926</v>
      </c>
      <c r="I161" s="72">
        <f>'02_Work_Items'!Q161</f>
      </c>
      <c r="J161" s="71" t="s">
        <v>46</v>
      </c>
    </row>
    <row r="162" spans="1:10" x14ac:dyDescent="0.25">
      <c r="A162" s="73" t="s">
        <v>927</v>
      </c>
      <c r="B162" s="74" t="s">
        <v>158</v>
      </c>
      <c r="C162" s="74" t="s">
        <v>157</v>
      </c>
      <c r="D162" s="74" t="s">
        <v>930</v>
      </c>
      <c r="E162" s="74" t="s">
        <v>885</v>
      </c>
      <c r="F162" s="74" t="s">
        <v>2979</v>
      </c>
      <c r="G162" s="75" t="s">
        <v>2942</v>
      </c>
      <c r="H162" s="74" t="s">
        <v>930</v>
      </c>
      <c r="I162" s="72">
        <f>'02_Work_Items'!Q162</f>
      </c>
      <c r="J162" s="71" t="s">
        <v>46</v>
      </c>
    </row>
    <row r="163" spans="1:10" x14ac:dyDescent="0.25">
      <c r="A163" s="70" t="s">
        <v>931</v>
      </c>
      <c r="B163" s="71" t="s">
        <v>158</v>
      </c>
      <c r="C163" s="71" t="s">
        <v>157</v>
      </c>
      <c r="D163" s="71" t="s">
        <v>934</v>
      </c>
      <c r="E163" s="71" t="s">
        <v>885</v>
      </c>
      <c r="F163" s="71" t="s">
        <v>2979</v>
      </c>
      <c r="G163" s="72" t="s">
        <v>2942</v>
      </c>
      <c r="H163" s="71" t="s">
        <v>934</v>
      </c>
      <c r="I163" s="72">
        <f>'02_Work_Items'!Q163</f>
      </c>
      <c r="J163" s="71" t="s">
        <v>935</v>
      </c>
    </row>
    <row r="164" spans="1:10" x14ac:dyDescent="0.25">
      <c r="A164" s="73" t="s">
        <v>936</v>
      </c>
      <c r="B164" s="74" t="s">
        <v>158</v>
      </c>
      <c r="C164" s="74" t="s">
        <v>157</v>
      </c>
      <c r="D164" s="74" t="s">
        <v>939</v>
      </c>
      <c r="E164" s="74" t="s">
        <v>885</v>
      </c>
      <c r="F164" s="74" t="s">
        <v>2979</v>
      </c>
      <c r="G164" s="75" t="s">
        <v>2942</v>
      </c>
      <c r="H164" s="74" t="s">
        <v>939</v>
      </c>
      <c r="I164" s="72">
        <f>'02_Work_Items'!Q164</f>
      </c>
      <c r="J164" s="71" t="s">
        <v>46</v>
      </c>
    </row>
    <row r="165" spans="1:10" x14ac:dyDescent="0.25">
      <c r="A165" s="70" t="s">
        <v>940</v>
      </c>
      <c r="B165" s="71" t="s">
        <v>158</v>
      </c>
      <c r="C165" s="71" t="s">
        <v>157</v>
      </c>
      <c r="D165" s="71" t="s">
        <v>943</v>
      </c>
      <c r="E165" s="71" t="s">
        <v>885</v>
      </c>
      <c r="F165" s="71" t="s">
        <v>2979</v>
      </c>
      <c r="G165" s="72" t="s">
        <v>2942</v>
      </c>
      <c r="H165" s="71" t="s">
        <v>943</v>
      </c>
      <c r="I165" s="72">
        <f>'02_Work_Items'!Q165</f>
      </c>
      <c r="J165" s="71" t="s">
        <v>46</v>
      </c>
    </row>
    <row r="166" spans="1:10" x14ac:dyDescent="0.25">
      <c r="A166" s="73" t="s">
        <v>944</v>
      </c>
      <c r="B166" s="74" t="s">
        <v>158</v>
      </c>
      <c r="C166" s="74" t="s">
        <v>157</v>
      </c>
      <c r="D166" s="74" t="s">
        <v>947</v>
      </c>
      <c r="E166" s="74" t="s">
        <v>885</v>
      </c>
      <c r="F166" s="74" t="s">
        <v>2979</v>
      </c>
      <c r="G166" s="75" t="s">
        <v>2942</v>
      </c>
      <c r="H166" s="74" t="s">
        <v>947</v>
      </c>
      <c r="I166" s="72">
        <f>'02_Work_Items'!Q166</f>
      </c>
      <c r="J166" s="71" t="s">
        <v>46</v>
      </c>
    </row>
    <row r="167" spans="1:10" x14ac:dyDescent="0.25">
      <c r="A167" s="70" t="s">
        <v>948</v>
      </c>
      <c r="B167" s="71" t="s">
        <v>158</v>
      </c>
      <c r="C167" s="71" t="s">
        <v>157</v>
      </c>
      <c r="D167" s="71" t="s">
        <v>951</v>
      </c>
      <c r="E167" s="71" t="s">
        <v>885</v>
      </c>
      <c r="F167" s="71" t="s">
        <v>2979</v>
      </c>
      <c r="G167" s="72" t="s">
        <v>2942</v>
      </c>
      <c r="H167" s="71" t="s">
        <v>951</v>
      </c>
      <c r="I167" s="72">
        <f>'02_Work_Items'!Q167</f>
      </c>
      <c r="J167" s="71" t="s">
        <v>46</v>
      </c>
    </row>
    <row r="168" spans="1:10" x14ac:dyDescent="0.25">
      <c r="A168" s="73" t="s">
        <v>952</v>
      </c>
      <c r="B168" s="74" t="s">
        <v>158</v>
      </c>
      <c r="C168" s="74" t="s">
        <v>157</v>
      </c>
      <c r="D168" s="74" t="s">
        <v>955</v>
      </c>
      <c r="E168" s="74" t="s">
        <v>885</v>
      </c>
      <c r="F168" s="74" t="s">
        <v>2979</v>
      </c>
      <c r="G168" s="75" t="s">
        <v>2942</v>
      </c>
      <c r="H168" s="74" t="s">
        <v>955</v>
      </c>
      <c r="I168" s="72">
        <f>'02_Work_Items'!Q168</f>
      </c>
      <c r="J168" s="71" t="s">
        <v>46</v>
      </c>
    </row>
    <row r="169" spans="1:10" x14ac:dyDescent="0.25">
      <c r="A169" s="70" t="s">
        <v>956</v>
      </c>
      <c r="B169" s="71" t="s">
        <v>158</v>
      </c>
      <c r="C169" s="71" t="s">
        <v>157</v>
      </c>
      <c r="D169" s="71" t="s">
        <v>959</v>
      </c>
      <c r="E169" s="71" t="s">
        <v>885</v>
      </c>
      <c r="F169" s="71" t="s">
        <v>2979</v>
      </c>
      <c r="G169" s="72" t="s">
        <v>2942</v>
      </c>
      <c r="H169" s="71" t="s">
        <v>959</v>
      </c>
      <c r="I169" s="72">
        <f>'02_Work_Items'!Q169</f>
      </c>
      <c r="J169" s="71" t="s">
        <v>46</v>
      </c>
    </row>
    <row r="170" spans="1:10" x14ac:dyDescent="0.25">
      <c r="A170" s="73" t="s">
        <v>960</v>
      </c>
      <c r="B170" s="74" t="s">
        <v>158</v>
      </c>
      <c r="C170" s="74" t="s">
        <v>157</v>
      </c>
      <c r="D170" s="74" t="s">
        <v>963</v>
      </c>
      <c r="E170" s="74" t="s">
        <v>885</v>
      </c>
      <c r="F170" s="74" t="s">
        <v>3002</v>
      </c>
      <c r="G170" s="75" t="s">
        <v>2942</v>
      </c>
      <c r="H170" s="74" t="s">
        <v>963</v>
      </c>
      <c r="I170" s="72">
        <f>'02_Work_Items'!Q170</f>
      </c>
      <c r="J170" s="71" t="s">
        <v>964</v>
      </c>
    </row>
    <row r="171" spans="1:10" x14ac:dyDescent="0.25">
      <c r="A171" s="70" t="s">
        <v>965</v>
      </c>
      <c r="B171" s="71" t="s">
        <v>158</v>
      </c>
      <c r="C171" s="71" t="s">
        <v>157</v>
      </c>
      <c r="D171" s="71" t="s">
        <v>968</v>
      </c>
      <c r="E171" s="71" t="s">
        <v>885</v>
      </c>
      <c r="F171" s="71" t="s">
        <v>2979</v>
      </c>
      <c r="G171" s="72" t="s">
        <v>2942</v>
      </c>
      <c r="H171" s="71" t="s">
        <v>968</v>
      </c>
      <c r="I171" s="72">
        <f>'02_Work_Items'!Q171</f>
      </c>
      <c r="J171" s="71" t="s">
        <v>46</v>
      </c>
    </row>
    <row r="172" spans="1:10" x14ac:dyDescent="0.25">
      <c r="A172" s="73" t="s">
        <v>969</v>
      </c>
      <c r="B172" s="74" t="s">
        <v>158</v>
      </c>
      <c r="C172" s="74" t="s">
        <v>157</v>
      </c>
      <c r="D172" s="74" t="s">
        <v>972</v>
      </c>
      <c r="E172" s="74" t="s">
        <v>973</v>
      </c>
      <c r="F172" s="74" t="s">
        <v>97</v>
      </c>
      <c r="G172" s="75" t="s">
        <v>2942</v>
      </c>
      <c r="H172" s="74" t="s">
        <v>972</v>
      </c>
      <c r="I172" s="72">
        <f>'02_Work_Items'!Q172</f>
      </c>
      <c r="J172" s="71" t="s">
        <v>46</v>
      </c>
    </row>
    <row r="173" spans="1:10" x14ac:dyDescent="0.25">
      <c r="A173" s="70" t="s">
        <v>974</v>
      </c>
      <c r="B173" s="71" t="s">
        <v>158</v>
      </c>
      <c r="C173" s="71" t="s">
        <v>157</v>
      </c>
      <c r="D173" s="71" t="s">
        <v>977</v>
      </c>
      <c r="E173" s="71" t="s">
        <v>978</v>
      </c>
      <c r="F173" s="71" t="s">
        <v>97</v>
      </c>
      <c r="G173" s="72" t="s">
        <v>2942</v>
      </c>
      <c r="H173" s="71" t="s">
        <v>977</v>
      </c>
      <c r="I173" s="72">
        <f>'02_Work_Items'!Q173</f>
      </c>
      <c r="J173" s="71" t="s">
        <v>46</v>
      </c>
    </row>
    <row r="174" spans="1:10" x14ac:dyDescent="0.25">
      <c r="A174" s="73" t="s">
        <v>979</v>
      </c>
      <c r="B174" s="74" t="s">
        <v>158</v>
      </c>
      <c r="C174" s="74" t="s">
        <v>157</v>
      </c>
      <c r="D174" s="74" t="s">
        <v>982</v>
      </c>
      <c r="E174" s="74" t="s">
        <v>885</v>
      </c>
      <c r="F174" s="74" t="s">
        <v>2941</v>
      </c>
      <c r="G174" s="75" t="s">
        <v>2942</v>
      </c>
      <c r="H174" s="74" t="s">
        <v>982</v>
      </c>
      <c r="I174" s="72">
        <f>'02_Work_Items'!Q174</f>
      </c>
      <c r="J174" s="71" t="s">
        <v>46</v>
      </c>
    </row>
    <row r="175" spans="1:10" x14ac:dyDescent="0.25">
      <c r="A175" s="70" t="s">
        <v>983</v>
      </c>
      <c r="B175" s="71" t="s">
        <v>158</v>
      </c>
      <c r="C175" s="71" t="s">
        <v>157</v>
      </c>
      <c r="D175" s="71" t="s">
        <v>986</v>
      </c>
      <c r="E175" s="71" t="s">
        <v>885</v>
      </c>
      <c r="F175" s="71" t="s">
        <v>2984</v>
      </c>
      <c r="G175" s="72" t="s">
        <v>2942</v>
      </c>
      <c r="H175" s="71" t="s">
        <v>598</v>
      </c>
      <c r="I175" s="72">
        <f>'02_Work_Items'!Q175</f>
      </c>
      <c r="J175" s="71" t="s">
        <v>46</v>
      </c>
    </row>
    <row r="176" spans="1:10" x14ac:dyDescent="0.25">
      <c r="A176" s="73" t="s">
        <v>987</v>
      </c>
      <c r="B176" s="74" t="s">
        <v>158</v>
      </c>
      <c r="C176" s="74" t="s">
        <v>159</v>
      </c>
      <c r="D176" s="74" t="s">
        <v>991</v>
      </c>
      <c r="E176" s="74" t="s">
        <v>992</v>
      </c>
      <c r="F176" s="74" t="s">
        <v>2979</v>
      </c>
      <c r="G176" s="75" t="s">
        <v>2942</v>
      </c>
      <c r="H176" s="74" t="s">
        <v>991</v>
      </c>
      <c r="I176" s="72">
        <f>'02_Work_Items'!Q176</f>
      </c>
      <c r="J176" s="71" t="s">
        <v>46</v>
      </c>
    </row>
    <row r="177" spans="1:10" x14ac:dyDescent="0.25">
      <c r="A177" s="70" t="s">
        <v>994</v>
      </c>
      <c r="B177" s="71" t="s">
        <v>158</v>
      </c>
      <c r="C177" s="71" t="s">
        <v>159</v>
      </c>
      <c r="D177" s="71" t="s">
        <v>997</v>
      </c>
      <c r="E177" s="71" t="s">
        <v>992</v>
      </c>
      <c r="F177" s="71" t="s">
        <v>2979</v>
      </c>
      <c r="G177" s="72" t="s">
        <v>2942</v>
      </c>
      <c r="H177" s="71" t="s">
        <v>997</v>
      </c>
      <c r="I177" s="72">
        <f>'02_Work_Items'!Q177</f>
      </c>
      <c r="J177" s="71" t="s">
        <v>46</v>
      </c>
    </row>
    <row r="178" spans="1:10" x14ac:dyDescent="0.25">
      <c r="A178" s="73" t="s">
        <v>998</v>
      </c>
      <c r="B178" s="74" t="s">
        <v>158</v>
      </c>
      <c r="C178" s="74" t="s">
        <v>159</v>
      </c>
      <c r="D178" s="74" t="s">
        <v>1001</v>
      </c>
      <c r="E178" s="74" t="s">
        <v>992</v>
      </c>
      <c r="F178" s="74" t="s">
        <v>2979</v>
      </c>
      <c r="G178" s="75" t="s">
        <v>2942</v>
      </c>
      <c r="H178" s="74" t="s">
        <v>1001</v>
      </c>
      <c r="I178" s="72">
        <f>'02_Work_Items'!Q178</f>
      </c>
      <c r="J178" s="71" t="s">
        <v>46</v>
      </c>
    </row>
    <row r="179" spans="1:10" x14ac:dyDescent="0.25">
      <c r="A179" s="70" t="s">
        <v>1002</v>
      </c>
      <c r="B179" s="71" t="s">
        <v>158</v>
      </c>
      <c r="C179" s="71" t="s">
        <v>159</v>
      </c>
      <c r="D179" s="71" t="s">
        <v>1005</v>
      </c>
      <c r="E179" s="71" t="s">
        <v>992</v>
      </c>
      <c r="F179" s="71" t="s">
        <v>2979</v>
      </c>
      <c r="G179" s="72" t="s">
        <v>2942</v>
      </c>
      <c r="H179" s="71" t="s">
        <v>1005</v>
      </c>
      <c r="I179" s="72">
        <f>'02_Work_Items'!Q179</f>
      </c>
      <c r="J179" s="71" t="s">
        <v>46</v>
      </c>
    </row>
    <row r="180" spans="1:10" x14ac:dyDescent="0.25">
      <c r="A180" s="73" t="s">
        <v>1006</v>
      </c>
      <c r="B180" s="74" t="s">
        <v>158</v>
      </c>
      <c r="C180" s="74" t="s">
        <v>159</v>
      </c>
      <c r="D180" s="74" t="s">
        <v>1009</v>
      </c>
      <c r="E180" s="74" t="s">
        <v>992</v>
      </c>
      <c r="F180" s="74" t="s">
        <v>2979</v>
      </c>
      <c r="G180" s="75" t="s">
        <v>2942</v>
      </c>
      <c r="H180" s="74" t="s">
        <v>1009</v>
      </c>
      <c r="I180" s="72">
        <f>'02_Work_Items'!Q180</f>
      </c>
      <c r="J180" s="71" t="s">
        <v>46</v>
      </c>
    </row>
    <row r="181" spans="1:10" x14ac:dyDescent="0.25">
      <c r="A181" s="70" t="s">
        <v>1010</v>
      </c>
      <c r="B181" s="71" t="s">
        <v>158</v>
      </c>
      <c r="C181" s="71" t="s">
        <v>159</v>
      </c>
      <c r="D181" s="71" t="s">
        <v>1013</v>
      </c>
      <c r="E181" s="71" t="s">
        <v>992</v>
      </c>
      <c r="F181" s="71" t="s">
        <v>97</v>
      </c>
      <c r="G181" s="72" t="s">
        <v>2942</v>
      </c>
      <c r="H181" s="71" t="s">
        <v>1013</v>
      </c>
      <c r="I181" s="72">
        <f>'02_Work_Items'!Q181</f>
      </c>
      <c r="J181" s="71" t="s">
        <v>46</v>
      </c>
    </row>
    <row r="182" spans="1:10" x14ac:dyDescent="0.25">
      <c r="A182" s="73" t="s">
        <v>1014</v>
      </c>
      <c r="B182" s="74" t="s">
        <v>158</v>
      </c>
      <c r="C182" s="74" t="s">
        <v>159</v>
      </c>
      <c r="D182" s="74" t="s">
        <v>1017</v>
      </c>
      <c r="E182" s="74" t="s">
        <v>992</v>
      </c>
      <c r="F182" s="74" t="s">
        <v>97</v>
      </c>
      <c r="G182" s="75" t="s">
        <v>2942</v>
      </c>
      <c r="H182" s="74" t="s">
        <v>1017</v>
      </c>
      <c r="I182" s="72">
        <f>'02_Work_Items'!Q182</f>
      </c>
      <c r="J182" s="71" t="s">
        <v>46</v>
      </c>
    </row>
    <row r="183" spans="1:10" x14ac:dyDescent="0.25">
      <c r="A183" s="70" t="s">
        <v>1018</v>
      </c>
      <c r="B183" s="71" t="s">
        <v>158</v>
      </c>
      <c r="C183" s="71" t="s">
        <v>159</v>
      </c>
      <c r="D183" s="71" t="s">
        <v>1021</v>
      </c>
      <c r="E183" s="71" t="s">
        <v>992</v>
      </c>
      <c r="F183" s="71" t="s">
        <v>97</v>
      </c>
      <c r="G183" s="72" t="s">
        <v>2942</v>
      </c>
      <c r="H183" s="71" t="s">
        <v>1021</v>
      </c>
      <c r="I183" s="72">
        <f>'02_Work_Items'!Q183</f>
      </c>
      <c r="J183" s="71" t="s">
        <v>1022</v>
      </c>
    </row>
    <row r="184" spans="1:10" x14ac:dyDescent="0.25">
      <c r="A184" s="73" t="s">
        <v>1023</v>
      </c>
      <c r="B184" s="74" t="s">
        <v>158</v>
      </c>
      <c r="C184" s="74" t="s">
        <v>159</v>
      </c>
      <c r="D184" s="74" t="s">
        <v>1026</v>
      </c>
      <c r="E184" s="74" t="s">
        <v>992</v>
      </c>
      <c r="F184" s="74" t="s">
        <v>97</v>
      </c>
      <c r="G184" s="75" t="s">
        <v>2942</v>
      </c>
      <c r="H184" s="74" t="s">
        <v>1026</v>
      </c>
      <c r="I184" s="72">
        <f>'02_Work_Items'!Q184</f>
      </c>
      <c r="J184" s="71" t="s">
        <v>1028</v>
      </c>
    </row>
    <row r="185" spans="1:10" x14ac:dyDescent="0.25">
      <c r="A185" s="70" t="s">
        <v>1029</v>
      </c>
      <c r="B185" s="71" t="s">
        <v>158</v>
      </c>
      <c r="C185" s="71" t="s">
        <v>159</v>
      </c>
      <c r="D185" s="71" t="s">
        <v>1032</v>
      </c>
      <c r="E185" s="71" t="s">
        <v>992</v>
      </c>
      <c r="F185" s="71" t="s">
        <v>2984</v>
      </c>
      <c r="G185" s="72" t="s">
        <v>2942</v>
      </c>
      <c r="H185" s="71" t="s">
        <v>1032</v>
      </c>
      <c r="I185" s="72">
        <f>'02_Work_Items'!Q185</f>
      </c>
      <c r="J185" s="71" t="s">
        <v>46</v>
      </c>
    </row>
    <row r="186" spans="1:10" x14ac:dyDescent="0.25">
      <c r="A186" s="73" t="s">
        <v>1033</v>
      </c>
      <c r="B186" s="74" t="s">
        <v>161</v>
      </c>
      <c r="C186" s="74" t="s">
        <v>160</v>
      </c>
      <c r="D186" s="74" t="s">
        <v>1037</v>
      </c>
      <c r="E186" s="74" t="s">
        <v>1038</v>
      </c>
      <c r="F186" s="74" t="s">
        <v>2967</v>
      </c>
      <c r="G186" s="75" t="s">
        <v>2942</v>
      </c>
      <c r="H186" s="74" t="s">
        <v>1037</v>
      </c>
      <c r="I186" s="72">
        <f>'02_Work_Items'!Q186</f>
      </c>
      <c r="J186" s="71" t="s">
        <v>46</v>
      </c>
    </row>
    <row r="187" spans="1:10" x14ac:dyDescent="0.25">
      <c r="A187" s="70" t="s">
        <v>1040</v>
      </c>
      <c r="B187" s="71" t="s">
        <v>161</v>
      </c>
      <c r="C187" s="71" t="s">
        <v>160</v>
      </c>
      <c r="D187" s="71" t="s">
        <v>699</v>
      </c>
      <c r="E187" s="71" t="s">
        <v>1038</v>
      </c>
      <c r="F187" s="71" t="s">
        <v>2953</v>
      </c>
      <c r="G187" s="72" t="s">
        <v>2942</v>
      </c>
      <c r="H187" s="71" t="s">
        <v>699</v>
      </c>
      <c r="I187" s="72">
        <f>'02_Work_Items'!Q187</f>
      </c>
      <c r="J187" s="71" t="s">
        <v>46</v>
      </c>
    </row>
    <row r="188" spans="1:10" x14ac:dyDescent="0.25">
      <c r="A188" s="73" t="s">
        <v>1042</v>
      </c>
      <c r="B188" s="74" t="s">
        <v>161</v>
      </c>
      <c r="C188" s="74" t="s">
        <v>160</v>
      </c>
      <c r="D188" s="74" t="s">
        <v>1045</v>
      </c>
      <c r="E188" s="74" t="s">
        <v>1038</v>
      </c>
      <c r="F188" s="74" t="s">
        <v>2979</v>
      </c>
      <c r="G188" s="75" t="s">
        <v>2942</v>
      </c>
      <c r="H188" s="74" t="s">
        <v>1045</v>
      </c>
      <c r="I188" s="72">
        <f>'02_Work_Items'!Q188</f>
      </c>
      <c r="J188" s="71" t="s">
        <v>46</v>
      </c>
    </row>
    <row r="189" spans="1:10" x14ac:dyDescent="0.25">
      <c r="A189" s="70" t="s">
        <v>1046</v>
      </c>
      <c r="B189" s="71" t="s">
        <v>161</v>
      </c>
      <c r="C189" s="71" t="s">
        <v>160</v>
      </c>
      <c r="D189" s="71" t="s">
        <v>1049</v>
      </c>
      <c r="E189" s="71" t="s">
        <v>1038</v>
      </c>
      <c r="F189" s="71" t="s">
        <v>2979</v>
      </c>
      <c r="G189" s="72" t="s">
        <v>2942</v>
      </c>
      <c r="H189" s="71" t="s">
        <v>1049</v>
      </c>
      <c r="I189" s="72">
        <f>'02_Work_Items'!Q189</f>
      </c>
      <c r="J189" s="71" t="s">
        <v>46</v>
      </c>
    </row>
    <row r="190" spans="1:10" x14ac:dyDescent="0.25">
      <c r="A190" s="73" t="s">
        <v>1050</v>
      </c>
      <c r="B190" s="74" t="s">
        <v>161</v>
      </c>
      <c r="C190" s="74" t="s">
        <v>160</v>
      </c>
      <c r="D190" s="74" t="s">
        <v>1053</v>
      </c>
      <c r="E190" s="74" t="s">
        <v>1038</v>
      </c>
      <c r="F190" s="74" t="s">
        <v>2979</v>
      </c>
      <c r="G190" s="75" t="s">
        <v>2942</v>
      </c>
      <c r="H190" s="74" t="s">
        <v>1053</v>
      </c>
      <c r="I190" s="72">
        <f>'02_Work_Items'!Q190</f>
      </c>
      <c r="J190" s="71" t="s">
        <v>46</v>
      </c>
    </row>
    <row r="191" spans="1:10" x14ac:dyDescent="0.25">
      <c r="A191" s="70" t="s">
        <v>1054</v>
      </c>
      <c r="B191" s="71" t="s">
        <v>161</v>
      </c>
      <c r="C191" s="71" t="s">
        <v>160</v>
      </c>
      <c r="D191" s="71" t="s">
        <v>1057</v>
      </c>
      <c r="E191" s="71" t="s">
        <v>1038</v>
      </c>
      <c r="F191" s="71" t="s">
        <v>2979</v>
      </c>
      <c r="G191" s="72" t="s">
        <v>2942</v>
      </c>
      <c r="H191" s="71" t="s">
        <v>1057</v>
      </c>
      <c r="I191" s="72">
        <f>'02_Work_Items'!Q191</f>
      </c>
      <c r="J191" s="71" t="s">
        <v>46</v>
      </c>
    </row>
    <row r="192" spans="1:10" x14ac:dyDescent="0.25">
      <c r="A192" s="73" t="s">
        <v>1058</v>
      </c>
      <c r="B192" s="74" t="s">
        <v>161</v>
      </c>
      <c r="C192" s="74" t="s">
        <v>160</v>
      </c>
      <c r="D192" s="74" t="s">
        <v>1060</v>
      </c>
      <c r="E192" s="74" t="s">
        <v>1038</v>
      </c>
      <c r="F192" s="74" t="s">
        <v>2979</v>
      </c>
      <c r="G192" s="75" t="s">
        <v>2942</v>
      </c>
      <c r="H192" s="74" t="s">
        <v>1060</v>
      </c>
      <c r="I192" s="72">
        <f>'02_Work_Items'!Q192</f>
      </c>
      <c r="J192" s="71" t="s">
        <v>46</v>
      </c>
    </row>
    <row r="193" spans="1:10" x14ac:dyDescent="0.25">
      <c r="A193" s="70" t="s">
        <v>1061</v>
      </c>
      <c r="B193" s="71" t="s">
        <v>161</v>
      </c>
      <c r="C193" s="71" t="s">
        <v>160</v>
      </c>
      <c r="D193" s="71" t="s">
        <v>1064</v>
      </c>
      <c r="E193" s="71" t="s">
        <v>1038</v>
      </c>
      <c r="F193" s="71" t="s">
        <v>2979</v>
      </c>
      <c r="G193" s="72" t="s">
        <v>2942</v>
      </c>
      <c r="H193" s="71" t="s">
        <v>1064</v>
      </c>
      <c r="I193" s="72">
        <f>'02_Work_Items'!Q193</f>
      </c>
      <c r="J193" s="71" t="s">
        <v>46</v>
      </c>
    </row>
    <row r="194" spans="1:10" x14ac:dyDescent="0.25">
      <c r="A194" s="73" t="s">
        <v>1065</v>
      </c>
      <c r="B194" s="74" t="s">
        <v>161</v>
      </c>
      <c r="C194" s="74" t="s">
        <v>160</v>
      </c>
      <c r="D194" s="74" t="s">
        <v>1068</v>
      </c>
      <c r="E194" s="74" t="s">
        <v>1038</v>
      </c>
      <c r="F194" s="74" t="s">
        <v>97</v>
      </c>
      <c r="G194" s="75" t="s">
        <v>2942</v>
      </c>
      <c r="H194" s="74" t="s">
        <v>1068</v>
      </c>
      <c r="I194" s="72">
        <f>'02_Work_Items'!Q194</f>
      </c>
      <c r="J194" s="71" t="s">
        <v>46</v>
      </c>
    </row>
    <row r="195" spans="1:10" x14ac:dyDescent="0.25">
      <c r="A195" s="70" t="s">
        <v>1069</v>
      </c>
      <c r="B195" s="71" t="s">
        <v>161</v>
      </c>
      <c r="C195" s="71" t="s">
        <v>160</v>
      </c>
      <c r="D195" s="71" t="s">
        <v>1068</v>
      </c>
      <c r="E195" s="71" t="s">
        <v>1038</v>
      </c>
      <c r="F195" s="71" t="s">
        <v>97</v>
      </c>
      <c r="G195" s="72" t="s">
        <v>2942</v>
      </c>
      <c r="H195" s="71" t="s">
        <v>1068</v>
      </c>
      <c r="I195" s="72">
        <f>'02_Work_Items'!Q195</f>
      </c>
      <c r="J195" s="71" t="s">
        <v>46</v>
      </c>
    </row>
    <row r="196" spans="1:10" x14ac:dyDescent="0.25">
      <c r="A196" s="73" t="s">
        <v>1072</v>
      </c>
      <c r="B196" s="74" t="s">
        <v>161</v>
      </c>
      <c r="C196" s="74" t="s">
        <v>160</v>
      </c>
      <c r="D196" s="74" t="s">
        <v>1075</v>
      </c>
      <c r="E196" s="74" t="s">
        <v>1038</v>
      </c>
      <c r="F196" s="74" t="s">
        <v>97</v>
      </c>
      <c r="G196" s="75" t="s">
        <v>2942</v>
      </c>
      <c r="H196" s="74" t="s">
        <v>1075</v>
      </c>
      <c r="I196" s="72">
        <f>'02_Work_Items'!Q196</f>
      </c>
      <c r="J196" s="71" t="s">
        <v>1076</v>
      </c>
    </row>
    <row r="197" spans="1:10" x14ac:dyDescent="0.25">
      <c r="A197" s="70" t="s">
        <v>1077</v>
      </c>
      <c r="B197" s="71" t="s">
        <v>161</v>
      </c>
      <c r="C197" s="71" t="s">
        <v>160</v>
      </c>
      <c r="D197" s="71" t="s">
        <v>840</v>
      </c>
      <c r="E197" s="71" t="s">
        <v>1038</v>
      </c>
      <c r="F197" s="71" t="s">
        <v>97</v>
      </c>
      <c r="G197" s="72" t="s">
        <v>2942</v>
      </c>
      <c r="H197" s="71" t="s">
        <v>840</v>
      </c>
      <c r="I197" s="72">
        <f>'02_Work_Items'!Q197</f>
      </c>
      <c r="J197" s="71" t="s">
        <v>1080</v>
      </c>
    </row>
    <row r="198" spans="1:10" x14ac:dyDescent="0.25">
      <c r="A198" s="73" t="s">
        <v>1081</v>
      </c>
      <c r="B198" s="74" t="s">
        <v>161</v>
      </c>
      <c r="C198" s="74" t="s">
        <v>160</v>
      </c>
      <c r="D198" s="74" t="s">
        <v>598</v>
      </c>
      <c r="E198" s="74" t="s">
        <v>1038</v>
      </c>
      <c r="F198" s="74" t="s">
        <v>2984</v>
      </c>
      <c r="G198" s="75" t="s">
        <v>2942</v>
      </c>
      <c r="H198" s="74" t="s">
        <v>598</v>
      </c>
      <c r="I198" s="72">
        <f>'02_Work_Items'!Q198</f>
      </c>
      <c r="J198" s="71" t="s">
        <v>46</v>
      </c>
    </row>
    <row r="199" spans="1:10" x14ac:dyDescent="0.25">
      <c r="A199" s="70" t="s">
        <v>1084</v>
      </c>
      <c r="B199" s="71" t="s">
        <v>161</v>
      </c>
      <c r="C199" s="71" t="s">
        <v>162</v>
      </c>
      <c r="D199" s="71" t="s">
        <v>1088</v>
      </c>
      <c r="E199" s="71" t="s">
        <v>1089</v>
      </c>
      <c r="F199" s="71" t="s">
        <v>2967</v>
      </c>
      <c r="G199" s="72" t="s">
        <v>2942</v>
      </c>
      <c r="H199" s="71" t="s">
        <v>3005</v>
      </c>
      <c r="I199" s="72">
        <f>'02_Work_Items'!Q199</f>
      </c>
      <c r="J199" s="71" t="s">
        <v>46</v>
      </c>
    </row>
    <row r="200" spans="1:10" x14ac:dyDescent="0.25">
      <c r="A200" s="73" t="s">
        <v>1091</v>
      </c>
      <c r="B200" s="74" t="s">
        <v>161</v>
      </c>
      <c r="C200" s="74" t="s">
        <v>162</v>
      </c>
      <c r="D200" s="74" t="s">
        <v>1094</v>
      </c>
      <c r="E200" s="74" t="s">
        <v>1089</v>
      </c>
      <c r="F200" s="74" t="s">
        <v>2953</v>
      </c>
      <c r="G200" s="75" t="s">
        <v>2942</v>
      </c>
      <c r="H200" s="74" t="s">
        <v>3006</v>
      </c>
      <c r="I200" s="72">
        <f>'02_Work_Items'!Q200</f>
      </c>
      <c r="J200" s="71" t="s">
        <v>46</v>
      </c>
    </row>
    <row r="201" spans="1:10" x14ac:dyDescent="0.25">
      <c r="A201" s="70" t="s">
        <v>1095</v>
      </c>
      <c r="B201" s="71" t="s">
        <v>161</v>
      </c>
      <c r="C201" s="71" t="s">
        <v>162</v>
      </c>
      <c r="D201" s="71" t="s">
        <v>1098</v>
      </c>
      <c r="E201" s="71" t="s">
        <v>1089</v>
      </c>
      <c r="F201" s="71" t="s">
        <v>2953</v>
      </c>
      <c r="G201" s="72" t="s">
        <v>2942</v>
      </c>
      <c r="H201" s="71" t="s">
        <v>3007</v>
      </c>
      <c r="I201" s="72">
        <f>'02_Work_Items'!Q201</f>
      </c>
      <c r="J201" s="71" t="s">
        <v>46</v>
      </c>
    </row>
    <row r="202" spans="1:10" x14ac:dyDescent="0.25">
      <c r="A202" s="73" t="s">
        <v>1099</v>
      </c>
      <c r="B202" s="74" t="s">
        <v>161</v>
      </c>
      <c r="C202" s="74" t="s">
        <v>162</v>
      </c>
      <c r="D202" s="74" t="s">
        <v>1102</v>
      </c>
      <c r="E202" s="74" t="s">
        <v>1089</v>
      </c>
      <c r="F202" s="74" t="s">
        <v>2953</v>
      </c>
      <c r="G202" s="75" t="s">
        <v>2942</v>
      </c>
      <c r="H202" s="74" t="s">
        <v>3008</v>
      </c>
      <c r="I202" s="72">
        <f>'02_Work_Items'!Q202</f>
      </c>
      <c r="J202" s="71" t="s">
        <v>46</v>
      </c>
    </row>
    <row r="203" spans="1:10" x14ac:dyDescent="0.25">
      <c r="A203" s="70" t="s">
        <v>1103</v>
      </c>
      <c r="B203" s="71" t="s">
        <v>161</v>
      </c>
      <c r="C203" s="71" t="s">
        <v>162</v>
      </c>
      <c r="D203" s="71" t="s">
        <v>1106</v>
      </c>
      <c r="E203" s="71" t="s">
        <v>1089</v>
      </c>
      <c r="F203" s="71" t="s">
        <v>3002</v>
      </c>
      <c r="G203" s="72" t="s">
        <v>2942</v>
      </c>
      <c r="H203" s="71" t="s">
        <v>1106</v>
      </c>
      <c r="I203" s="72">
        <f>'02_Work_Items'!Q203</f>
      </c>
      <c r="J203" s="71" t="s">
        <v>46</v>
      </c>
    </row>
    <row r="204" spans="1:10" x14ac:dyDescent="0.25">
      <c r="A204" s="73" t="s">
        <v>1107</v>
      </c>
      <c r="B204" s="74" t="s">
        <v>161</v>
      </c>
      <c r="C204" s="74" t="s">
        <v>162</v>
      </c>
      <c r="D204" s="74" t="s">
        <v>1110</v>
      </c>
      <c r="E204" s="74" t="s">
        <v>1089</v>
      </c>
      <c r="F204" s="74" t="s">
        <v>2979</v>
      </c>
      <c r="G204" s="75" t="s">
        <v>2942</v>
      </c>
      <c r="H204" s="74" t="s">
        <v>3009</v>
      </c>
      <c r="I204" s="72">
        <f>'02_Work_Items'!Q204</f>
      </c>
      <c r="J204" s="71" t="s">
        <v>46</v>
      </c>
    </row>
    <row r="205" spans="1:10" x14ac:dyDescent="0.25">
      <c r="A205" s="70" t="s">
        <v>1111</v>
      </c>
      <c r="B205" s="71" t="s">
        <v>161</v>
      </c>
      <c r="C205" s="71" t="s">
        <v>162</v>
      </c>
      <c r="D205" s="71" t="s">
        <v>1114</v>
      </c>
      <c r="E205" s="71" t="s">
        <v>1089</v>
      </c>
      <c r="F205" s="71" t="s">
        <v>2979</v>
      </c>
      <c r="G205" s="72" t="s">
        <v>2942</v>
      </c>
      <c r="H205" s="71" t="s">
        <v>1114</v>
      </c>
      <c r="I205" s="72">
        <f>'02_Work_Items'!Q205</f>
      </c>
      <c r="J205" s="71" t="s">
        <v>46</v>
      </c>
    </row>
    <row r="206" spans="1:10" x14ac:dyDescent="0.25">
      <c r="A206" s="73" t="s">
        <v>1115</v>
      </c>
      <c r="B206" s="74" t="s">
        <v>161</v>
      </c>
      <c r="C206" s="74" t="s">
        <v>162</v>
      </c>
      <c r="D206" s="74" t="s">
        <v>1118</v>
      </c>
      <c r="E206" s="74" t="s">
        <v>1089</v>
      </c>
      <c r="F206" s="74" t="s">
        <v>2979</v>
      </c>
      <c r="G206" s="75" t="s">
        <v>2942</v>
      </c>
      <c r="H206" s="74" t="s">
        <v>1118</v>
      </c>
      <c r="I206" s="72">
        <f>'02_Work_Items'!Q206</f>
      </c>
      <c r="J206" s="71" t="s">
        <v>46</v>
      </c>
    </row>
    <row r="207" spans="1:10" x14ac:dyDescent="0.25">
      <c r="A207" s="70" t="s">
        <v>1119</v>
      </c>
      <c r="B207" s="71" t="s">
        <v>161</v>
      </c>
      <c r="C207" s="71" t="s">
        <v>162</v>
      </c>
      <c r="D207" s="71" t="s">
        <v>1122</v>
      </c>
      <c r="E207" s="71" t="s">
        <v>1089</v>
      </c>
      <c r="F207" s="71" t="s">
        <v>2979</v>
      </c>
      <c r="G207" s="72" t="s">
        <v>2942</v>
      </c>
      <c r="H207" s="71" t="s">
        <v>1122</v>
      </c>
      <c r="I207" s="72">
        <f>'02_Work_Items'!Q207</f>
      </c>
      <c r="J207" s="71" t="s">
        <v>1123</v>
      </c>
    </row>
    <row r="208" spans="1:10" x14ac:dyDescent="0.25">
      <c r="A208" s="73" t="s">
        <v>1124</v>
      </c>
      <c r="B208" s="74" t="s">
        <v>161</v>
      </c>
      <c r="C208" s="74" t="s">
        <v>162</v>
      </c>
      <c r="D208" s="74" t="s">
        <v>1127</v>
      </c>
      <c r="E208" s="74" t="s">
        <v>1089</v>
      </c>
      <c r="F208" s="74" t="s">
        <v>2979</v>
      </c>
      <c r="G208" s="75" t="s">
        <v>2942</v>
      </c>
      <c r="H208" s="74" t="s">
        <v>1127</v>
      </c>
      <c r="I208" s="72">
        <f>'02_Work_Items'!Q208</f>
      </c>
      <c r="J208" s="71" t="s">
        <v>46</v>
      </c>
    </row>
    <row r="209" spans="1:10" x14ac:dyDescent="0.25">
      <c r="A209" s="70" t="s">
        <v>1128</v>
      </c>
      <c r="B209" s="71" t="s">
        <v>161</v>
      </c>
      <c r="C209" s="71" t="s">
        <v>162</v>
      </c>
      <c r="D209" s="71" t="s">
        <v>1131</v>
      </c>
      <c r="E209" s="71" t="s">
        <v>1089</v>
      </c>
      <c r="F209" s="71" t="s">
        <v>2979</v>
      </c>
      <c r="G209" s="72" t="s">
        <v>2942</v>
      </c>
      <c r="H209" s="71" t="s">
        <v>1131</v>
      </c>
      <c r="I209" s="72">
        <f>'02_Work_Items'!Q209</f>
      </c>
      <c r="J209" s="71" t="s">
        <v>46</v>
      </c>
    </row>
    <row r="210" spans="1:10" x14ac:dyDescent="0.25">
      <c r="A210" s="73" t="s">
        <v>1132</v>
      </c>
      <c r="B210" s="74" t="s">
        <v>161</v>
      </c>
      <c r="C210" s="74" t="s">
        <v>162</v>
      </c>
      <c r="D210" s="74" t="s">
        <v>1135</v>
      </c>
      <c r="E210" s="74" t="s">
        <v>1089</v>
      </c>
      <c r="F210" s="74" t="s">
        <v>2979</v>
      </c>
      <c r="G210" s="75" t="s">
        <v>2942</v>
      </c>
      <c r="H210" s="74" t="s">
        <v>1135</v>
      </c>
      <c r="I210" s="72">
        <f>'02_Work_Items'!Q210</f>
      </c>
      <c r="J210" s="71" t="s">
        <v>46</v>
      </c>
    </row>
    <row r="211" spans="1:10" x14ac:dyDescent="0.25">
      <c r="A211" s="70" t="s">
        <v>1136</v>
      </c>
      <c r="B211" s="71" t="s">
        <v>161</v>
      </c>
      <c r="C211" s="71" t="s">
        <v>162</v>
      </c>
      <c r="D211" s="71" t="s">
        <v>1139</v>
      </c>
      <c r="E211" s="71" t="s">
        <v>1089</v>
      </c>
      <c r="F211" s="71" t="s">
        <v>2953</v>
      </c>
      <c r="G211" s="72" t="s">
        <v>2942</v>
      </c>
      <c r="H211" s="71" t="s">
        <v>3010</v>
      </c>
      <c r="I211" s="72">
        <f>'02_Work_Items'!Q211</f>
      </c>
      <c r="J211" s="71" t="s">
        <v>46</v>
      </c>
    </row>
    <row r="212" spans="1:10" x14ac:dyDescent="0.25">
      <c r="A212" s="73" t="s">
        <v>1140</v>
      </c>
      <c r="B212" s="74" t="s">
        <v>161</v>
      </c>
      <c r="C212" s="74" t="s">
        <v>162</v>
      </c>
      <c r="D212" s="74" t="s">
        <v>1143</v>
      </c>
      <c r="E212" s="74" t="s">
        <v>1089</v>
      </c>
      <c r="F212" s="74" t="s">
        <v>2979</v>
      </c>
      <c r="G212" s="75" t="s">
        <v>2942</v>
      </c>
      <c r="H212" s="74" t="s">
        <v>1143</v>
      </c>
      <c r="I212" s="72">
        <f>'02_Work_Items'!Q212</f>
      </c>
      <c r="J212" s="71" t="s">
        <v>46</v>
      </c>
    </row>
    <row r="213" spans="1:10" x14ac:dyDescent="0.25">
      <c r="A213" s="70" t="s">
        <v>1144</v>
      </c>
      <c r="B213" s="71" t="s">
        <v>161</v>
      </c>
      <c r="C213" s="71" t="s">
        <v>162</v>
      </c>
      <c r="D213" s="71" t="s">
        <v>1147</v>
      </c>
      <c r="E213" s="71" t="s">
        <v>1089</v>
      </c>
      <c r="F213" s="71" t="s">
        <v>2979</v>
      </c>
      <c r="G213" s="72" t="s">
        <v>2942</v>
      </c>
      <c r="H213" s="71" t="s">
        <v>1147</v>
      </c>
      <c r="I213" s="72">
        <f>'02_Work_Items'!Q213</f>
      </c>
      <c r="J213" s="71" t="s">
        <v>46</v>
      </c>
    </row>
    <row r="214" spans="1:10" x14ac:dyDescent="0.25">
      <c r="A214" s="73" t="s">
        <v>1148</v>
      </c>
      <c r="B214" s="74" t="s">
        <v>161</v>
      </c>
      <c r="C214" s="74" t="s">
        <v>162</v>
      </c>
      <c r="D214" s="74" t="s">
        <v>1151</v>
      </c>
      <c r="E214" s="74" t="s">
        <v>1152</v>
      </c>
      <c r="F214" s="74" t="s">
        <v>2979</v>
      </c>
      <c r="G214" s="75" t="s">
        <v>2942</v>
      </c>
      <c r="H214" s="74" t="s">
        <v>1151</v>
      </c>
      <c r="I214" s="72">
        <f>'02_Work_Items'!Q214</f>
      </c>
      <c r="J214" s="71" t="s">
        <v>46</v>
      </c>
    </row>
    <row r="215" spans="1:10" x14ac:dyDescent="0.25">
      <c r="A215" s="70" t="s">
        <v>1153</v>
      </c>
      <c r="B215" s="71" t="s">
        <v>161</v>
      </c>
      <c r="C215" s="71" t="s">
        <v>162</v>
      </c>
      <c r="D215" s="71" t="s">
        <v>1156</v>
      </c>
      <c r="E215" s="71" t="s">
        <v>1089</v>
      </c>
      <c r="F215" s="71" t="s">
        <v>2979</v>
      </c>
      <c r="G215" s="72" t="s">
        <v>2942</v>
      </c>
      <c r="H215" s="71" t="s">
        <v>1156</v>
      </c>
      <c r="I215" s="72">
        <f>'02_Work_Items'!Q215</f>
      </c>
      <c r="J215" s="71" t="s">
        <v>46</v>
      </c>
    </row>
    <row r="216" spans="1:10" x14ac:dyDescent="0.25">
      <c r="A216" s="73" t="s">
        <v>1157</v>
      </c>
      <c r="B216" s="74" t="s">
        <v>161</v>
      </c>
      <c r="C216" s="74" t="s">
        <v>162</v>
      </c>
      <c r="D216" s="74" t="s">
        <v>1160</v>
      </c>
      <c r="E216" s="74" t="s">
        <v>1089</v>
      </c>
      <c r="F216" s="74" t="s">
        <v>2979</v>
      </c>
      <c r="G216" s="75" t="s">
        <v>2942</v>
      </c>
      <c r="H216" s="74" t="s">
        <v>1160</v>
      </c>
      <c r="I216" s="72">
        <f>'02_Work_Items'!Q216</f>
      </c>
      <c r="J216" s="71" t="s">
        <v>1161</v>
      </c>
    </row>
    <row r="217" spans="1:10" x14ac:dyDescent="0.25">
      <c r="A217" s="70" t="s">
        <v>1162</v>
      </c>
      <c r="B217" s="71" t="s">
        <v>161</v>
      </c>
      <c r="C217" s="71" t="s">
        <v>162</v>
      </c>
      <c r="D217" s="71" t="s">
        <v>1165</v>
      </c>
      <c r="E217" s="71" t="s">
        <v>1152</v>
      </c>
      <c r="F217" s="71" t="s">
        <v>97</v>
      </c>
      <c r="G217" s="72" t="s">
        <v>2942</v>
      </c>
      <c r="H217" s="71" t="s">
        <v>1165</v>
      </c>
      <c r="I217" s="72">
        <f>'02_Work_Items'!Q217</f>
      </c>
      <c r="J217" s="71" t="s">
        <v>46</v>
      </c>
    </row>
    <row r="218" spans="1:10" x14ac:dyDescent="0.25">
      <c r="A218" s="73" t="s">
        <v>1166</v>
      </c>
      <c r="B218" s="74" t="s">
        <v>161</v>
      </c>
      <c r="C218" s="74" t="s">
        <v>162</v>
      </c>
      <c r="D218" s="74" t="s">
        <v>1169</v>
      </c>
      <c r="E218" s="74" t="s">
        <v>1089</v>
      </c>
      <c r="F218" s="74" t="s">
        <v>2950</v>
      </c>
      <c r="G218" s="75" t="s">
        <v>2942</v>
      </c>
      <c r="H218" s="74" t="s">
        <v>1169</v>
      </c>
      <c r="I218" s="72">
        <f>'02_Work_Items'!Q218</f>
      </c>
      <c r="J218" s="71" t="s">
        <v>46</v>
      </c>
    </row>
    <row r="219" spans="1:10" x14ac:dyDescent="0.25">
      <c r="A219" s="70" t="s">
        <v>1170</v>
      </c>
      <c r="B219" s="71" t="s">
        <v>161</v>
      </c>
      <c r="C219" s="71" t="s">
        <v>162</v>
      </c>
      <c r="D219" s="71" t="s">
        <v>1173</v>
      </c>
      <c r="E219" s="71" t="s">
        <v>1089</v>
      </c>
      <c r="F219" s="71" t="s">
        <v>2984</v>
      </c>
      <c r="G219" s="72" t="s">
        <v>2942</v>
      </c>
      <c r="H219" s="71" t="s">
        <v>3011</v>
      </c>
      <c r="I219" s="72">
        <f>'02_Work_Items'!Q219</f>
      </c>
      <c r="J219" s="71" t="s">
        <v>46</v>
      </c>
    </row>
    <row r="220" spans="1:10" x14ac:dyDescent="0.25">
      <c r="A220" s="73" t="s">
        <v>1174</v>
      </c>
      <c r="B220" s="74" t="s">
        <v>161</v>
      </c>
      <c r="C220" s="74" t="s">
        <v>162</v>
      </c>
      <c r="D220" s="74" t="s">
        <v>598</v>
      </c>
      <c r="E220" s="74" t="s">
        <v>1089</v>
      </c>
      <c r="F220" s="74" t="s">
        <v>2984</v>
      </c>
      <c r="G220" s="75" t="s">
        <v>2942</v>
      </c>
      <c r="H220" s="74" t="s">
        <v>598</v>
      </c>
      <c r="I220" s="72">
        <f>'02_Work_Items'!Q220</f>
      </c>
      <c r="J220" s="71" t="s">
        <v>46</v>
      </c>
    </row>
    <row r="221" spans="1:10" x14ac:dyDescent="0.25">
      <c r="A221" s="70" t="s">
        <v>1177</v>
      </c>
      <c r="B221" s="71" t="s">
        <v>161</v>
      </c>
      <c r="C221" s="71" t="s">
        <v>163</v>
      </c>
      <c r="D221" s="71" t="s">
        <v>1182</v>
      </c>
      <c r="E221" s="71" t="s">
        <v>1183</v>
      </c>
      <c r="F221" s="71" t="s">
        <v>2979</v>
      </c>
      <c r="G221" s="72" t="s">
        <v>2942</v>
      </c>
      <c r="H221" s="71" t="s">
        <v>3012</v>
      </c>
      <c r="I221" s="72">
        <f>'02_Work_Items'!Q221</f>
      </c>
      <c r="J221" s="71" t="s">
        <v>46</v>
      </c>
    </row>
    <row r="222" spans="1:10" x14ac:dyDescent="0.25">
      <c r="A222" s="73" t="s">
        <v>1185</v>
      </c>
      <c r="B222" s="74" t="s">
        <v>161</v>
      </c>
      <c r="C222" s="74" t="s">
        <v>163</v>
      </c>
      <c r="D222" s="74" t="s">
        <v>1188</v>
      </c>
      <c r="E222" s="74" t="s">
        <v>1183</v>
      </c>
      <c r="F222" s="74" t="s">
        <v>2979</v>
      </c>
      <c r="G222" s="75" t="s">
        <v>2942</v>
      </c>
      <c r="H222" s="74" t="s">
        <v>3013</v>
      </c>
      <c r="I222" s="72">
        <f>'02_Work_Items'!Q222</f>
      </c>
      <c r="J222" s="71" t="s">
        <v>46</v>
      </c>
    </row>
    <row r="223" spans="1:10" x14ac:dyDescent="0.25">
      <c r="A223" s="70" t="s">
        <v>1189</v>
      </c>
      <c r="B223" s="71" t="s">
        <v>161</v>
      </c>
      <c r="C223" s="71" t="s">
        <v>163</v>
      </c>
      <c r="D223" s="71" t="s">
        <v>1192</v>
      </c>
      <c r="E223" s="71" t="s">
        <v>1183</v>
      </c>
      <c r="F223" s="71" t="s">
        <v>2979</v>
      </c>
      <c r="G223" s="72" t="s">
        <v>2942</v>
      </c>
      <c r="H223" s="71" t="s">
        <v>1192</v>
      </c>
      <c r="I223" s="72">
        <f>'02_Work_Items'!Q223</f>
      </c>
      <c r="J223" s="71" t="s">
        <v>46</v>
      </c>
    </row>
    <row r="224" spans="1:10" x14ac:dyDescent="0.25">
      <c r="A224" s="73" t="s">
        <v>1193</v>
      </c>
      <c r="B224" s="74" t="s">
        <v>161</v>
      </c>
      <c r="C224" s="74" t="s">
        <v>163</v>
      </c>
      <c r="D224" s="74" t="s">
        <v>1196</v>
      </c>
      <c r="E224" s="74" t="s">
        <v>1183</v>
      </c>
      <c r="F224" s="74" t="s">
        <v>2979</v>
      </c>
      <c r="G224" s="75" t="s">
        <v>2942</v>
      </c>
      <c r="H224" s="74" t="s">
        <v>1196</v>
      </c>
      <c r="I224" s="72">
        <f>'02_Work_Items'!Q224</f>
      </c>
      <c r="J224" s="71" t="s">
        <v>46</v>
      </c>
    </row>
    <row r="225" spans="1:10" x14ac:dyDescent="0.25">
      <c r="A225" s="70" t="s">
        <v>1197</v>
      </c>
      <c r="B225" s="71" t="s">
        <v>161</v>
      </c>
      <c r="C225" s="71" t="s">
        <v>163</v>
      </c>
      <c r="D225" s="71" t="s">
        <v>1200</v>
      </c>
      <c r="E225" s="71" t="s">
        <v>1183</v>
      </c>
      <c r="F225" s="71" t="s">
        <v>2979</v>
      </c>
      <c r="G225" s="72" t="s">
        <v>2942</v>
      </c>
      <c r="H225" s="71" t="s">
        <v>1200</v>
      </c>
      <c r="I225" s="72">
        <f>'02_Work_Items'!Q225</f>
      </c>
      <c r="J225" s="71" t="s">
        <v>46</v>
      </c>
    </row>
    <row r="226" spans="1:10" x14ac:dyDescent="0.25">
      <c r="A226" s="73" t="s">
        <v>1201</v>
      </c>
      <c r="B226" s="74" t="s">
        <v>161</v>
      </c>
      <c r="C226" s="74" t="s">
        <v>163</v>
      </c>
      <c r="D226" s="74" t="s">
        <v>1204</v>
      </c>
      <c r="E226" s="74" t="s">
        <v>1183</v>
      </c>
      <c r="F226" s="74" t="s">
        <v>3014</v>
      </c>
      <c r="G226" s="75" t="s">
        <v>2942</v>
      </c>
      <c r="H226" s="74" t="s">
        <v>1204</v>
      </c>
      <c r="I226" s="72">
        <f>'02_Work_Items'!Q226</f>
      </c>
      <c r="J226" s="71" t="s">
        <v>46</v>
      </c>
    </row>
    <row r="227" spans="1:10" x14ac:dyDescent="0.25">
      <c r="A227" s="70" t="s">
        <v>1205</v>
      </c>
      <c r="B227" s="71" t="s">
        <v>161</v>
      </c>
      <c r="C227" s="71" t="s">
        <v>163</v>
      </c>
      <c r="D227" s="71" t="s">
        <v>1208</v>
      </c>
      <c r="E227" s="71" t="s">
        <v>1183</v>
      </c>
      <c r="F227" s="71" t="s">
        <v>2979</v>
      </c>
      <c r="G227" s="72" t="s">
        <v>2942</v>
      </c>
      <c r="H227" s="71" t="s">
        <v>3015</v>
      </c>
      <c r="I227" s="72">
        <f>'02_Work_Items'!Q227</f>
      </c>
      <c r="J227" s="71" t="s">
        <v>46</v>
      </c>
    </row>
    <row r="228" spans="1:10" x14ac:dyDescent="0.25">
      <c r="A228" s="73" t="s">
        <v>1209</v>
      </c>
      <c r="B228" s="74" t="s">
        <v>161</v>
      </c>
      <c r="C228" s="74" t="s">
        <v>163</v>
      </c>
      <c r="D228" s="74" t="s">
        <v>1212</v>
      </c>
      <c r="E228" s="74" t="s">
        <v>1183</v>
      </c>
      <c r="F228" s="74" t="s">
        <v>2979</v>
      </c>
      <c r="G228" s="75" t="s">
        <v>2942</v>
      </c>
      <c r="H228" s="74" t="s">
        <v>1212</v>
      </c>
      <c r="I228" s="72">
        <f>'02_Work_Items'!Q228</f>
      </c>
      <c r="J228" s="71" t="s">
        <v>46</v>
      </c>
    </row>
    <row r="229" spans="1:10" x14ac:dyDescent="0.25">
      <c r="A229" s="70" t="s">
        <v>1213</v>
      </c>
      <c r="B229" s="71" t="s">
        <v>161</v>
      </c>
      <c r="C229" s="71" t="s">
        <v>163</v>
      </c>
      <c r="D229" s="71" t="s">
        <v>1216</v>
      </c>
      <c r="E229" s="71" t="s">
        <v>1183</v>
      </c>
      <c r="F229" s="71" t="s">
        <v>2979</v>
      </c>
      <c r="G229" s="72" t="s">
        <v>2942</v>
      </c>
      <c r="H229" s="71" t="s">
        <v>3016</v>
      </c>
      <c r="I229" s="72">
        <f>'02_Work_Items'!Q229</f>
      </c>
      <c r="J229" s="71" t="s">
        <v>46</v>
      </c>
    </row>
    <row r="230" spans="1:10" x14ac:dyDescent="0.25">
      <c r="A230" s="73" t="s">
        <v>1217</v>
      </c>
      <c r="B230" s="74" t="s">
        <v>161</v>
      </c>
      <c r="C230" s="74" t="s">
        <v>163</v>
      </c>
      <c r="D230" s="74" t="s">
        <v>1220</v>
      </c>
      <c r="E230" s="74" t="s">
        <v>1183</v>
      </c>
      <c r="F230" s="74" t="s">
        <v>3014</v>
      </c>
      <c r="G230" s="75" t="s">
        <v>2942</v>
      </c>
      <c r="H230" s="74" t="s">
        <v>3017</v>
      </c>
      <c r="I230" s="72">
        <f>'02_Work_Items'!Q230</f>
      </c>
      <c r="J230" s="71" t="s">
        <v>46</v>
      </c>
    </row>
    <row r="231" spans="1:10" x14ac:dyDescent="0.25">
      <c r="A231" s="70" t="s">
        <v>1221</v>
      </c>
      <c r="B231" s="71" t="s">
        <v>161</v>
      </c>
      <c r="C231" s="71" t="s">
        <v>163</v>
      </c>
      <c r="D231" s="71" t="s">
        <v>1224</v>
      </c>
      <c r="E231" s="71" t="s">
        <v>1183</v>
      </c>
      <c r="F231" s="71" t="s">
        <v>2979</v>
      </c>
      <c r="G231" s="72" t="s">
        <v>2942</v>
      </c>
      <c r="H231" s="71" t="s">
        <v>1224</v>
      </c>
      <c r="I231" s="72">
        <f>'02_Work_Items'!Q231</f>
      </c>
      <c r="J231" s="71" t="s">
        <v>46</v>
      </c>
    </row>
    <row r="232" spans="1:10" x14ac:dyDescent="0.25">
      <c r="A232" s="73" t="s">
        <v>1225</v>
      </c>
      <c r="B232" s="74" t="s">
        <v>161</v>
      </c>
      <c r="C232" s="74" t="s">
        <v>163</v>
      </c>
      <c r="D232" s="74" t="s">
        <v>1228</v>
      </c>
      <c r="E232" s="74" t="s">
        <v>1229</v>
      </c>
      <c r="F232" s="74" t="s">
        <v>97</v>
      </c>
      <c r="G232" s="75" t="s">
        <v>2942</v>
      </c>
      <c r="H232" s="74" t="s">
        <v>1228</v>
      </c>
      <c r="I232" s="72">
        <f>'02_Work_Items'!Q232</f>
      </c>
      <c r="J232" s="71" t="s">
        <v>46</v>
      </c>
    </row>
    <row r="233" spans="1:10" x14ac:dyDescent="0.25">
      <c r="A233" s="70" t="s">
        <v>1230</v>
      </c>
      <c r="B233" s="71" t="s">
        <v>161</v>
      </c>
      <c r="C233" s="71" t="s">
        <v>163</v>
      </c>
      <c r="D233" s="71" t="s">
        <v>1233</v>
      </c>
      <c r="E233" s="71" t="s">
        <v>1183</v>
      </c>
      <c r="F233" s="71" t="s">
        <v>2984</v>
      </c>
      <c r="G233" s="72" t="s">
        <v>2942</v>
      </c>
      <c r="H233" s="71" t="s">
        <v>3018</v>
      </c>
      <c r="I233" s="72">
        <f>'02_Work_Items'!Q233</f>
      </c>
      <c r="J233" s="71" t="s">
        <v>46</v>
      </c>
    </row>
    <row r="234" spans="1:10" x14ac:dyDescent="0.25">
      <c r="A234" s="73" t="s">
        <v>1234</v>
      </c>
      <c r="B234" s="74" t="s">
        <v>161</v>
      </c>
      <c r="C234" s="74" t="s">
        <v>164</v>
      </c>
      <c r="D234" s="74" t="s">
        <v>1238</v>
      </c>
      <c r="E234" s="74" t="s">
        <v>1239</v>
      </c>
      <c r="F234" s="74" t="s">
        <v>2967</v>
      </c>
      <c r="G234" s="75" t="s">
        <v>2942</v>
      </c>
      <c r="H234" s="74" t="s">
        <v>3019</v>
      </c>
      <c r="I234" s="72">
        <f>'02_Work_Items'!Q234</f>
      </c>
      <c r="J234" s="71" t="s">
        <v>46</v>
      </c>
    </row>
    <row r="235" spans="1:10" x14ac:dyDescent="0.25">
      <c r="A235" s="70" t="s">
        <v>1241</v>
      </c>
      <c r="B235" s="71" t="s">
        <v>161</v>
      </c>
      <c r="C235" s="71" t="s">
        <v>164</v>
      </c>
      <c r="D235" s="71" t="s">
        <v>1244</v>
      </c>
      <c r="E235" s="71" t="s">
        <v>1239</v>
      </c>
      <c r="F235" s="71" t="s">
        <v>2953</v>
      </c>
      <c r="G235" s="72" t="s">
        <v>2942</v>
      </c>
      <c r="H235" s="71" t="s">
        <v>3020</v>
      </c>
      <c r="I235" s="72">
        <f>'02_Work_Items'!Q235</f>
      </c>
      <c r="J235" s="71" t="s">
        <v>46</v>
      </c>
    </row>
    <row r="236" spans="1:10" x14ac:dyDescent="0.25">
      <c r="A236" s="73" t="s">
        <v>1245</v>
      </c>
      <c r="B236" s="74" t="s">
        <v>161</v>
      </c>
      <c r="C236" s="74" t="s">
        <v>164</v>
      </c>
      <c r="D236" s="74" t="s">
        <v>1248</v>
      </c>
      <c r="E236" s="74" t="s">
        <v>1239</v>
      </c>
      <c r="F236" s="74" t="s">
        <v>2979</v>
      </c>
      <c r="G236" s="75" t="s">
        <v>2942</v>
      </c>
      <c r="H236" s="74" t="s">
        <v>1248</v>
      </c>
      <c r="I236" s="72">
        <f>'02_Work_Items'!Q236</f>
      </c>
      <c r="J236" s="71" t="s">
        <v>46</v>
      </c>
    </row>
    <row r="237" spans="1:10" x14ac:dyDescent="0.25">
      <c r="A237" s="70" t="s">
        <v>1249</v>
      </c>
      <c r="B237" s="71" t="s">
        <v>161</v>
      </c>
      <c r="C237" s="71" t="s">
        <v>164</v>
      </c>
      <c r="D237" s="71" t="s">
        <v>1252</v>
      </c>
      <c r="E237" s="71" t="s">
        <v>1239</v>
      </c>
      <c r="F237" s="71" t="s">
        <v>2953</v>
      </c>
      <c r="G237" s="72" t="s">
        <v>2942</v>
      </c>
      <c r="H237" s="71" t="s">
        <v>3021</v>
      </c>
      <c r="I237" s="72">
        <f>'02_Work_Items'!Q237</f>
      </c>
      <c r="J237" s="71" t="s">
        <v>46</v>
      </c>
    </row>
    <row r="238" spans="1:10" x14ac:dyDescent="0.25">
      <c r="A238" s="73" t="s">
        <v>1253</v>
      </c>
      <c r="B238" s="74" t="s">
        <v>161</v>
      </c>
      <c r="C238" s="74" t="s">
        <v>164</v>
      </c>
      <c r="D238" s="74" t="s">
        <v>1256</v>
      </c>
      <c r="E238" s="74" t="s">
        <v>1239</v>
      </c>
      <c r="F238" s="74" t="s">
        <v>2979</v>
      </c>
      <c r="G238" s="75" t="s">
        <v>2942</v>
      </c>
      <c r="H238" s="74" t="s">
        <v>1256</v>
      </c>
      <c r="I238" s="72">
        <f>'02_Work_Items'!Q238</f>
      </c>
      <c r="J238" s="71" t="s">
        <v>46</v>
      </c>
    </row>
    <row r="239" spans="1:10" x14ac:dyDescent="0.25">
      <c r="A239" s="70" t="s">
        <v>1257</v>
      </c>
      <c r="B239" s="71" t="s">
        <v>161</v>
      </c>
      <c r="C239" s="71" t="s">
        <v>164</v>
      </c>
      <c r="D239" s="71" t="s">
        <v>1260</v>
      </c>
      <c r="E239" s="71" t="s">
        <v>1239</v>
      </c>
      <c r="F239" s="71" t="s">
        <v>2979</v>
      </c>
      <c r="G239" s="72" t="s">
        <v>2942</v>
      </c>
      <c r="H239" s="71" t="s">
        <v>1260</v>
      </c>
      <c r="I239" s="72">
        <f>'02_Work_Items'!Q239</f>
      </c>
      <c r="J239" s="71" t="s">
        <v>46</v>
      </c>
    </row>
    <row r="240" spans="1:10" x14ac:dyDescent="0.25">
      <c r="A240" s="73" t="s">
        <v>1261</v>
      </c>
      <c r="B240" s="74" t="s">
        <v>161</v>
      </c>
      <c r="C240" s="74" t="s">
        <v>164</v>
      </c>
      <c r="D240" s="74" t="s">
        <v>1264</v>
      </c>
      <c r="E240" s="74" t="s">
        <v>1239</v>
      </c>
      <c r="F240" s="74" t="s">
        <v>2979</v>
      </c>
      <c r="G240" s="75" t="s">
        <v>2942</v>
      </c>
      <c r="H240" s="74" t="s">
        <v>3022</v>
      </c>
      <c r="I240" s="72">
        <f>'02_Work_Items'!Q240</f>
      </c>
      <c r="J240" s="71" t="s">
        <v>46</v>
      </c>
    </row>
    <row r="241" spans="1:10" x14ac:dyDescent="0.25">
      <c r="A241" s="70" t="s">
        <v>1265</v>
      </c>
      <c r="B241" s="71" t="s">
        <v>161</v>
      </c>
      <c r="C241" s="71" t="s">
        <v>164</v>
      </c>
      <c r="D241" s="71" t="s">
        <v>1268</v>
      </c>
      <c r="E241" s="71" t="s">
        <v>1239</v>
      </c>
      <c r="F241" s="71" t="s">
        <v>2979</v>
      </c>
      <c r="G241" s="72" t="s">
        <v>2942</v>
      </c>
      <c r="H241" s="71" t="s">
        <v>1268</v>
      </c>
      <c r="I241" s="72">
        <f>'02_Work_Items'!Q241</f>
      </c>
      <c r="J241" s="71" t="s">
        <v>46</v>
      </c>
    </row>
    <row r="242" spans="1:10" x14ac:dyDescent="0.25">
      <c r="A242" s="73" t="s">
        <v>1269</v>
      </c>
      <c r="B242" s="74" t="s">
        <v>161</v>
      </c>
      <c r="C242" s="74" t="s">
        <v>164</v>
      </c>
      <c r="D242" s="74" t="s">
        <v>1272</v>
      </c>
      <c r="E242" s="74" t="s">
        <v>1239</v>
      </c>
      <c r="F242" s="74" t="s">
        <v>2979</v>
      </c>
      <c r="G242" s="75" t="s">
        <v>2942</v>
      </c>
      <c r="H242" s="74" t="s">
        <v>1272</v>
      </c>
      <c r="I242" s="72">
        <f>'02_Work_Items'!Q242</f>
      </c>
      <c r="J242" s="71" t="s">
        <v>46</v>
      </c>
    </row>
    <row r="243" spans="1:10" x14ac:dyDescent="0.25">
      <c r="A243" s="70" t="s">
        <v>1273</v>
      </c>
      <c r="B243" s="71" t="s">
        <v>161</v>
      </c>
      <c r="C243" s="71" t="s">
        <v>164</v>
      </c>
      <c r="D243" s="71" t="s">
        <v>1276</v>
      </c>
      <c r="E243" s="71" t="s">
        <v>1239</v>
      </c>
      <c r="F243" s="71" t="s">
        <v>2979</v>
      </c>
      <c r="G243" s="72" t="s">
        <v>2942</v>
      </c>
      <c r="H243" s="71" t="s">
        <v>1276</v>
      </c>
      <c r="I243" s="72">
        <f>'02_Work_Items'!Q243</f>
      </c>
      <c r="J243" s="71" t="s">
        <v>46</v>
      </c>
    </row>
    <row r="244" spans="1:10" x14ac:dyDescent="0.25">
      <c r="A244" s="73" t="s">
        <v>1277</v>
      </c>
      <c r="B244" s="74" t="s">
        <v>161</v>
      </c>
      <c r="C244" s="74" t="s">
        <v>164</v>
      </c>
      <c r="D244" s="74" t="s">
        <v>1280</v>
      </c>
      <c r="E244" s="74" t="s">
        <v>1239</v>
      </c>
      <c r="F244" s="74" t="s">
        <v>2979</v>
      </c>
      <c r="G244" s="75" t="s">
        <v>2942</v>
      </c>
      <c r="H244" s="74" t="s">
        <v>1280</v>
      </c>
      <c r="I244" s="72">
        <f>'02_Work_Items'!Q244</f>
      </c>
      <c r="J244" s="71" t="s">
        <v>46</v>
      </c>
    </row>
    <row r="245" spans="1:10" x14ac:dyDescent="0.25">
      <c r="A245" s="70" t="s">
        <v>1281</v>
      </c>
      <c r="B245" s="71" t="s">
        <v>161</v>
      </c>
      <c r="C245" s="71" t="s">
        <v>164</v>
      </c>
      <c r="D245" s="71" t="s">
        <v>1284</v>
      </c>
      <c r="E245" s="71" t="s">
        <v>1239</v>
      </c>
      <c r="F245" s="71" t="s">
        <v>3014</v>
      </c>
      <c r="G245" s="72" t="s">
        <v>2942</v>
      </c>
      <c r="H245" s="71" t="s">
        <v>3023</v>
      </c>
      <c r="I245" s="72">
        <f>'02_Work_Items'!Q245</f>
      </c>
      <c r="J245" s="71" t="s">
        <v>1286</v>
      </c>
    </row>
    <row r="246" spans="1:10" x14ac:dyDescent="0.25">
      <c r="A246" s="73" t="s">
        <v>1287</v>
      </c>
      <c r="B246" s="74" t="s">
        <v>161</v>
      </c>
      <c r="C246" s="74" t="s">
        <v>164</v>
      </c>
      <c r="D246" s="74" t="s">
        <v>1290</v>
      </c>
      <c r="E246" s="74" t="s">
        <v>1239</v>
      </c>
      <c r="F246" s="74" t="s">
        <v>3014</v>
      </c>
      <c r="G246" s="75" t="s">
        <v>2942</v>
      </c>
      <c r="H246" s="74" t="s">
        <v>1290</v>
      </c>
      <c r="I246" s="72">
        <f>'02_Work_Items'!Q246</f>
      </c>
      <c r="J246" s="71" t="s">
        <v>46</v>
      </c>
    </row>
    <row r="247" spans="1:10" x14ac:dyDescent="0.25">
      <c r="A247" s="70" t="s">
        <v>1291</v>
      </c>
      <c r="B247" s="71" t="s">
        <v>161</v>
      </c>
      <c r="C247" s="71" t="s">
        <v>164</v>
      </c>
      <c r="D247" s="71" t="s">
        <v>1294</v>
      </c>
      <c r="E247" s="71" t="s">
        <v>1239</v>
      </c>
      <c r="F247" s="71" t="s">
        <v>3002</v>
      </c>
      <c r="G247" s="72" t="s">
        <v>2942</v>
      </c>
      <c r="H247" s="71" t="s">
        <v>3024</v>
      </c>
      <c r="I247" s="72">
        <f>'02_Work_Items'!Q247</f>
      </c>
      <c r="J247" s="71" t="s">
        <v>46</v>
      </c>
    </row>
    <row r="248" spans="1:10" x14ac:dyDescent="0.25">
      <c r="A248" s="73" t="s">
        <v>1295</v>
      </c>
      <c r="B248" s="74" t="s">
        <v>161</v>
      </c>
      <c r="C248" s="74" t="s">
        <v>164</v>
      </c>
      <c r="D248" s="74" t="s">
        <v>1298</v>
      </c>
      <c r="E248" s="74" t="s">
        <v>1239</v>
      </c>
      <c r="F248" s="74" t="s">
        <v>3002</v>
      </c>
      <c r="G248" s="75" t="s">
        <v>2942</v>
      </c>
      <c r="H248" s="74" t="s">
        <v>1298</v>
      </c>
      <c r="I248" s="72">
        <f>'02_Work_Items'!Q248</f>
      </c>
      <c r="J248" s="71" t="s">
        <v>46</v>
      </c>
    </row>
    <row r="249" spans="1:10" x14ac:dyDescent="0.25">
      <c r="A249" s="70" t="s">
        <v>1299</v>
      </c>
      <c r="B249" s="71" t="s">
        <v>161</v>
      </c>
      <c r="C249" s="71" t="s">
        <v>164</v>
      </c>
      <c r="D249" s="71" t="s">
        <v>1302</v>
      </c>
      <c r="E249" s="71" t="s">
        <v>1303</v>
      </c>
      <c r="F249" s="71" t="s">
        <v>97</v>
      </c>
      <c r="G249" s="72" t="s">
        <v>2942</v>
      </c>
      <c r="H249" s="71" t="s">
        <v>1302</v>
      </c>
      <c r="I249" s="72">
        <f>'02_Work_Items'!Q249</f>
      </c>
      <c r="J249" s="71" t="s">
        <v>46</v>
      </c>
    </row>
    <row r="250" spans="1:10" x14ac:dyDescent="0.25">
      <c r="A250" s="73" t="s">
        <v>1304</v>
      </c>
      <c r="B250" s="74" t="s">
        <v>161</v>
      </c>
      <c r="C250" s="74" t="s">
        <v>164</v>
      </c>
      <c r="D250" s="74" t="s">
        <v>1307</v>
      </c>
      <c r="E250" s="74" t="s">
        <v>1239</v>
      </c>
      <c r="F250" s="74" t="s">
        <v>2984</v>
      </c>
      <c r="G250" s="75" t="s">
        <v>2942</v>
      </c>
      <c r="H250" s="74" t="s">
        <v>3025</v>
      </c>
      <c r="I250" s="72">
        <f>'02_Work_Items'!Q250</f>
      </c>
      <c r="J250" s="71" t="s">
        <v>46</v>
      </c>
    </row>
    <row r="251" spans="1:10" x14ac:dyDescent="0.25">
      <c r="A251" s="70" t="s">
        <v>1308</v>
      </c>
      <c r="B251" s="71" t="s">
        <v>161</v>
      </c>
      <c r="C251" s="71" t="s">
        <v>165</v>
      </c>
      <c r="D251" s="71" t="s">
        <v>1312</v>
      </c>
      <c r="E251" s="71" t="s">
        <v>1303</v>
      </c>
      <c r="F251" s="71" t="s">
        <v>2967</v>
      </c>
      <c r="G251" s="72" t="s">
        <v>2942</v>
      </c>
      <c r="H251" s="71" t="s">
        <v>3026</v>
      </c>
      <c r="I251" s="72">
        <f>'02_Work_Items'!Q251</f>
      </c>
      <c r="J251" s="71" t="s">
        <v>46</v>
      </c>
    </row>
    <row r="252" spans="1:10" x14ac:dyDescent="0.25">
      <c r="A252" s="73" t="s">
        <v>1314</v>
      </c>
      <c r="B252" s="74" t="s">
        <v>161</v>
      </c>
      <c r="C252" s="74" t="s">
        <v>165</v>
      </c>
      <c r="D252" s="74" t="s">
        <v>1317</v>
      </c>
      <c r="E252" s="74" t="s">
        <v>1303</v>
      </c>
      <c r="F252" s="74" t="s">
        <v>2979</v>
      </c>
      <c r="G252" s="75" t="s">
        <v>2942</v>
      </c>
      <c r="H252" s="74" t="s">
        <v>1317</v>
      </c>
      <c r="I252" s="72">
        <f>'02_Work_Items'!Q252</f>
      </c>
      <c r="J252" s="71" t="s">
        <v>46</v>
      </c>
    </row>
    <row r="253" spans="1:10" x14ac:dyDescent="0.25">
      <c r="A253" s="70" t="s">
        <v>1318</v>
      </c>
      <c r="B253" s="71" t="s">
        <v>161</v>
      </c>
      <c r="C253" s="71" t="s">
        <v>165</v>
      </c>
      <c r="D253" s="71" t="s">
        <v>1321</v>
      </c>
      <c r="E253" s="71" t="s">
        <v>1303</v>
      </c>
      <c r="F253" s="71" t="s">
        <v>3014</v>
      </c>
      <c r="G253" s="72" t="s">
        <v>2942</v>
      </c>
      <c r="H253" s="71" t="s">
        <v>1321</v>
      </c>
      <c r="I253" s="72">
        <f>'02_Work_Items'!Q253</f>
      </c>
      <c r="J253" s="71" t="s">
        <v>46</v>
      </c>
    </row>
    <row r="254" spans="1:10" x14ac:dyDescent="0.25">
      <c r="A254" s="73" t="s">
        <v>1322</v>
      </c>
      <c r="B254" s="74" t="s">
        <v>161</v>
      </c>
      <c r="C254" s="74" t="s">
        <v>165</v>
      </c>
      <c r="D254" s="74" t="s">
        <v>1325</v>
      </c>
      <c r="E254" s="74" t="s">
        <v>1303</v>
      </c>
      <c r="F254" s="74" t="s">
        <v>2967</v>
      </c>
      <c r="G254" s="75" t="s">
        <v>2942</v>
      </c>
      <c r="H254" s="74" t="s">
        <v>1325</v>
      </c>
      <c r="I254" s="72">
        <f>'02_Work_Items'!Q254</f>
      </c>
      <c r="J254" s="71" t="s">
        <v>46</v>
      </c>
    </row>
    <row r="255" spans="1:10" x14ac:dyDescent="0.25">
      <c r="A255" s="70" t="s">
        <v>1326</v>
      </c>
      <c r="B255" s="71" t="s">
        <v>161</v>
      </c>
      <c r="C255" s="71" t="s">
        <v>165</v>
      </c>
      <c r="D255" s="71" t="s">
        <v>1329</v>
      </c>
      <c r="E255" s="71" t="s">
        <v>1303</v>
      </c>
      <c r="F255" s="71" t="s">
        <v>2979</v>
      </c>
      <c r="G255" s="72" t="s">
        <v>2942</v>
      </c>
      <c r="H255" s="71" t="s">
        <v>1329</v>
      </c>
      <c r="I255" s="72">
        <f>'02_Work_Items'!Q255</f>
      </c>
      <c r="J255" s="71" t="s">
        <v>46</v>
      </c>
    </row>
    <row r="256" spans="1:10" x14ac:dyDescent="0.25">
      <c r="A256" s="73" t="s">
        <v>1330</v>
      </c>
      <c r="B256" s="74" t="s">
        <v>161</v>
      </c>
      <c r="C256" s="74" t="s">
        <v>165</v>
      </c>
      <c r="D256" s="74" t="s">
        <v>598</v>
      </c>
      <c r="E256" s="74" t="s">
        <v>1303</v>
      </c>
      <c r="F256" s="74" t="s">
        <v>2984</v>
      </c>
      <c r="G256" s="75" t="s">
        <v>2942</v>
      </c>
      <c r="H256" s="74" t="s">
        <v>598</v>
      </c>
      <c r="I256" s="72">
        <f>'02_Work_Items'!Q256</f>
      </c>
      <c r="J256" s="71" t="s">
        <v>46</v>
      </c>
    </row>
    <row r="257" spans="1:10" x14ac:dyDescent="0.25">
      <c r="A257" s="70" t="s">
        <v>1333</v>
      </c>
      <c r="B257" s="71" t="s">
        <v>167</v>
      </c>
      <c r="C257" s="71" t="s">
        <v>166</v>
      </c>
      <c r="D257" s="71" t="s">
        <v>1337</v>
      </c>
      <c r="E257" s="71" t="s">
        <v>1338</v>
      </c>
      <c r="F257" s="71" t="s">
        <v>2967</v>
      </c>
      <c r="G257" s="72" t="s">
        <v>2942</v>
      </c>
      <c r="H257" s="71" t="s">
        <v>3027</v>
      </c>
      <c r="I257" s="72">
        <f>'02_Work_Items'!Q257</f>
      </c>
      <c r="J257" s="71" t="s">
        <v>46</v>
      </c>
    </row>
    <row r="258" spans="1:10" x14ac:dyDescent="0.25">
      <c r="A258" s="73" t="s">
        <v>1339</v>
      </c>
      <c r="B258" s="74" t="s">
        <v>167</v>
      </c>
      <c r="C258" s="74" t="s">
        <v>166</v>
      </c>
      <c r="D258" s="74" t="s">
        <v>1341</v>
      </c>
      <c r="E258" s="74" t="s">
        <v>1338</v>
      </c>
      <c r="F258" s="74" t="s">
        <v>2953</v>
      </c>
      <c r="G258" s="75" t="s">
        <v>2942</v>
      </c>
      <c r="H258" s="74" t="s">
        <v>3028</v>
      </c>
      <c r="I258" s="72">
        <f>'02_Work_Items'!Q258</f>
      </c>
      <c r="J258" s="71" t="s">
        <v>46</v>
      </c>
    </row>
    <row r="259" spans="1:10" x14ac:dyDescent="0.25">
      <c r="A259" s="70" t="s">
        <v>1342</v>
      </c>
      <c r="B259" s="71" t="s">
        <v>167</v>
      </c>
      <c r="C259" s="71" t="s">
        <v>166</v>
      </c>
      <c r="D259" s="71" t="s">
        <v>1345</v>
      </c>
      <c r="E259" s="71" t="s">
        <v>1338</v>
      </c>
      <c r="F259" s="71" t="s">
        <v>2979</v>
      </c>
      <c r="G259" s="72" t="s">
        <v>2942</v>
      </c>
      <c r="H259" s="71" t="s">
        <v>3029</v>
      </c>
      <c r="I259" s="72">
        <f>'02_Work_Items'!Q259</f>
      </c>
      <c r="J259" s="71" t="s">
        <v>46</v>
      </c>
    </row>
    <row r="260" spans="1:10" x14ac:dyDescent="0.25">
      <c r="A260" s="73" t="s">
        <v>1346</v>
      </c>
      <c r="B260" s="74" t="s">
        <v>167</v>
      </c>
      <c r="C260" s="74" t="s">
        <v>166</v>
      </c>
      <c r="D260" s="74" t="s">
        <v>1349</v>
      </c>
      <c r="E260" s="74" t="s">
        <v>1338</v>
      </c>
      <c r="F260" s="74" t="s">
        <v>2979</v>
      </c>
      <c r="G260" s="75" t="s">
        <v>2942</v>
      </c>
      <c r="H260" s="74" t="s">
        <v>1349</v>
      </c>
      <c r="I260" s="72">
        <f>'02_Work_Items'!Q260</f>
      </c>
      <c r="J260" s="71" t="s">
        <v>46</v>
      </c>
    </row>
    <row r="261" spans="1:10" x14ac:dyDescent="0.25">
      <c r="A261" s="70" t="s">
        <v>1350</v>
      </c>
      <c r="B261" s="71" t="s">
        <v>167</v>
      </c>
      <c r="C261" s="71" t="s">
        <v>166</v>
      </c>
      <c r="D261" s="71" t="s">
        <v>1353</v>
      </c>
      <c r="E261" s="71" t="s">
        <v>1338</v>
      </c>
      <c r="F261" s="71" t="s">
        <v>2979</v>
      </c>
      <c r="G261" s="72" t="s">
        <v>2942</v>
      </c>
      <c r="H261" s="71" t="s">
        <v>1353</v>
      </c>
      <c r="I261" s="72">
        <f>'02_Work_Items'!Q261</f>
      </c>
      <c r="J261" s="71" t="s">
        <v>46</v>
      </c>
    </row>
    <row r="262" spans="1:10" x14ac:dyDescent="0.25">
      <c r="A262" s="73" t="s">
        <v>1354</v>
      </c>
      <c r="B262" s="74" t="s">
        <v>167</v>
      </c>
      <c r="C262" s="74" t="s">
        <v>166</v>
      </c>
      <c r="D262" s="74" t="s">
        <v>1357</v>
      </c>
      <c r="E262" s="74" t="s">
        <v>1338</v>
      </c>
      <c r="F262" s="74" t="s">
        <v>2979</v>
      </c>
      <c r="G262" s="75" t="s">
        <v>2942</v>
      </c>
      <c r="H262" s="74" t="s">
        <v>1357</v>
      </c>
      <c r="I262" s="72">
        <f>'02_Work_Items'!Q262</f>
      </c>
      <c r="J262" s="71" t="s">
        <v>46</v>
      </c>
    </row>
    <row r="263" spans="1:10" x14ac:dyDescent="0.25">
      <c r="A263" s="70" t="s">
        <v>1358</v>
      </c>
      <c r="B263" s="71" t="s">
        <v>167</v>
      </c>
      <c r="C263" s="71" t="s">
        <v>166</v>
      </c>
      <c r="D263" s="71" t="s">
        <v>1361</v>
      </c>
      <c r="E263" s="71" t="s">
        <v>1338</v>
      </c>
      <c r="F263" s="71" t="s">
        <v>2979</v>
      </c>
      <c r="G263" s="72" t="s">
        <v>2942</v>
      </c>
      <c r="H263" s="71" t="s">
        <v>1361</v>
      </c>
      <c r="I263" s="72">
        <f>'02_Work_Items'!Q263</f>
      </c>
      <c r="J263" s="71" t="s">
        <v>46</v>
      </c>
    </row>
    <row r="264" spans="1:10" x14ac:dyDescent="0.25">
      <c r="A264" s="73" t="s">
        <v>1362</v>
      </c>
      <c r="B264" s="74" t="s">
        <v>167</v>
      </c>
      <c r="C264" s="74" t="s">
        <v>166</v>
      </c>
      <c r="D264" s="74" t="s">
        <v>1365</v>
      </c>
      <c r="E264" s="74" t="s">
        <v>1338</v>
      </c>
      <c r="F264" s="74" t="s">
        <v>2979</v>
      </c>
      <c r="G264" s="75" t="s">
        <v>2942</v>
      </c>
      <c r="H264" s="74" t="s">
        <v>1365</v>
      </c>
      <c r="I264" s="72">
        <f>'02_Work_Items'!Q264</f>
      </c>
      <c r="J264" s="71" t="s">
        <v>46</v>
      </c>
    </row>
    <row r="265" spans="1:10" x14ac:dyDescent="0.25">
      <c r="A265" s="70" t="s">
        <v>1366</v>
      </c>
      <c r="B265" s="71" t="s">
        <v>167</v>
      </c>
      <c r="C265" s="71" t="s">
        <v>166</v>
      </c>
      <c r="D265" s="71" t="s">
        <v>1369</v>
      </c>
      <c r="E265" s="71" t="s">
        <v>1338</v>
      </c>
      <c r="F265" s="71" t="s">
        <v>2979</v>
      </c>
      <c r="G265" s="72" t="s">
        <v>2942</v>
      </c>
      <c r="H265" s="71" t="s">
        <v>1369</v>
      </c>
      <c r="I265" s="72">
        <f>'02_Work_Items'!Q265</f>
      </c>
      <c r="J265" s="71" t="s">
        <v>46</v>
      </c>
    </row>
    <row r="266" spans="1:10" x14ac:dyDescent="0.25">
      <c r="A266" s="73" t="s">
        <v>1370</v>
      </c>
      <c r="B266" s="74" t="s">
        <v>167</v>
      </c>
      <c r="C266" s="74" t="s">
        <v>166</v>
      </c>
      <c r="D266" s="74" t="s">
        <v>1373</v>
      </c>
      <c r="E266" s="74" t="s">
        <v>1338</v>
      </c>
      <c r="F266" s="74" t="s">
        <v>2979</v>
      </c>
      <c r="G266" s="75" t="s">
        <v>2942</v>
      </c>
      <c r="H266" s="74" t="s">
        <v>1373</v>
      </c>
      <c r="I266" s="72">
        <f>'02_Work_Items'!Q266</f>
      </c>
      <c r="J266" s="71" t="s">
        <v>46</v>
      </c>
    </row>
    <row r="267" spans="1:10" x14ac:dyDescent="0.25">
      <c r="A267" s="70" t="s">
        <v>1374</v>
      </c>
      <c r="B267" s="71" t="s">
        <v>167</v>
      </c>
      <c r="C267" s="71" t="s">
        <v>166</v>
      </c>
      <c r="D267" s="71" t="s">
        <v>1377</v>
      </c>
      <c r="E267" s="71" t="s">
        <v>1378</v>
      </c>
      <c r="F267" s="71" t="s">
        <v>97</v>
      </c>
      <c r="G267" s="72" t="s">
        <v>2942</v>
      </c>
      <c r="H267" s="71" t="s">
        <v>1377</v>
      </c>
      <c r="I267" s="72">
        <f>'02_Work_Items'!Q267</f>
      </c>
      <c r="J267" s="71" t="s">
        <v>46</v>
      </c>
    </row>
    <row r="268" spans="1:10" x14ac:dyDescent="0.25">
      <c r="A268" s="73" t="s">
        <v>1379</v>
      </c>
      <c r="B268" s="74" t="s">
        <v>167</v>
      </c>
      <c r="C268" s="74" t="s">
        <v>166</v>
      </c>
      <c r="D268" s="74" t="s">
        <v>598</v>
      </c>
      <c r="E268" s="74" t="s">
        <v>1338</v>
      </c>
      <c r="F268" s="74" t="s">
        <v>2984</v>
      </c>
      <c r="G268" s="75" t="s">
        <v>2942</v>
      </c>
      <c r="H268" s="74" t="s">
        <v>598</v>
      </c>
      <c r="I268" s="72">
        <f>'02_Work_Items'!Q268</f>
      </c>
      <c r="J268" s="71" t="s">
        <v>46</v>
      </c>
    </row>
    <row r="269" spans="1:10" x14ac:dyDescent="0.25">
      <c r="A269" s="70" t="s">
        <v>1382</v>
      </c>
      <c r="B269" s="71" t="s">
        <v>167</v>
      </c>
      <c r="C269" s="71" t="s">
        <v>168</v>
      </c>
      <c r="D269" s="71" t="s">
        <v>1386</v>
      </c>
      <c r="E269" s="71" t="s">
        <v>1387</v>
      </c>
      <c r="F269" s="71" t="s">
        <v>2967</v>
      </c>
      <c r="G269" s="72" t="s">
        <v>2942</v>
      </c>
      <c r="H269" s="71" t="s">
        <v>1386</v>
      </c>
      <c r="I269" s="72">
        <f>'02_Work_Items'!Q269</f>
      </c>
      <c r="J269" s="71" t="s">
        <v>46</v>
      </c>
    </row>
    <row r="270" spans="1:10" x14ac:dyDescent="0.25">
      <c r="A270" s="73" t="s">
        <v>1389</v>
      </c>
      <c r="B270" s="74" t="s">
        <v>167</v>
      </c>
      <c r="C270" s="74" t="s">
        <v>168</v>
      </c>
      <c r="D270" s="74" t="s">
        <v>1393</v>
      </c>
      <c r="E270" s="74" t="s">
        <v>1387</v>
      </c>
      <c r="F270" s="74" t="s">
        <v>2941</v>
      </c>
      <c r="G270" s="75" t="s">
        <v>2942</v>
      </c>
      <c r="H270" s="74" t="s">
        <v>3030</v>
      </c>
      <c r="I270" s="72">
        <f>'02_Work_Items'!Q270</f>
      </c>
      <c r="J270" s="71" t="s">
        <v>46</v>
      </c>
    </row>
    <row r="271" spans="1:10" x14ac:dyDescent="0.25">
      <c r="A271" s="70" t="s">
        <v>1394</v>
      </c>
      <c r="B271" s="71" t="s">
        <v>167</v>
      </c>
      <c r="C271" s="71" t="s">
        <v>168</v>
      </c>
      <c r="D271" s="71" t="s">
        <v>1397</v>
      </c>
      <c r="E271" s="71" t="s">
        <v>1387</v>
      </c>
      <c r="F271" s="71" t="s">
        <v>97</v>
      </c>
      <c r="G271" s="72" t="s">
        <v>2942</v>
      </c>
      <c r="H271" s="71" t="s">
        <v>1397</v>
      </c>
      <c r="I271" s="72">
        <f>'02_Work_Items'!Q271</f>
      </c>
      <c r="J271" s="71" t="s">
        <v>46</v>
      </c>
    </row>
    <row r="272" spans="1:10" x14ac:dyDescent="0.25">
      <c r="A272" s="73" t="s">
        <v>1398</v>
      </c>
      <c r="B272" s="74" t="s">
        <v>167</v>
      </c>
      <c r="C272" s="74" t="s">
        <v>168</v>
      </c>
      <c r="D272" s="74" t="s">
        <v>1401</v>
      </c>
      <c r="E272" s="74" t="s">
        <v>1387</v>
      </c>
      <c r="F272" s="74" t="s">
        <v>2979</v>
      </c>
      <c r="G272" s="75" t="s">
        <v>2942</v>
      </c>
      <c r="H272" s="74" t="s">
        <v>1401</v>
      </c>
      <c r="I272" s="72">
        <f>'02_Work_Items'!Q272</f>
      </c>
      <c r="J272" s="71" t="s">
        <v>46</v>
      </c>
    </row>
    <row r="273" spans="1:10" x14ac:dyDescent="0.25">
      <c r="A273" s="70" t="s">
        <v>1402</v>
      </c>
      <c r="B273" s="71" t="s">
        <v>167</v>
      </c>
      <c r="C273" s="71" t="s">
        <v>168</v>
      </c>
      <c r="D273" s="71" t="s">
        <v>1405</v>
      </c>
      <c r="E273" s="71" t="s">
        <v>1387</v>
      </c>
      <c r="F273" s="71" t="s">
        <v>3031</v>
      </c>
      <c r="G273" s="72" t="s">
        <v>2942</v>
      </c>
      <c r="H273" s="71" t="s">
        <v>3032</v>
      </c>
      <c r="I273" s="72">
        <f>'02_Work_Items'!Q273</f>
      </c>
      <c r="J273" s="71" t="s">
        <v>46</v>
      </c>
    </row>
    <row r="274" spans="1:10" x14ac:dyDescent="0.25">
      <c r="A274" s="73" t="s">
        <v>1406</v>
      </c>
      <c r="B274" s="74" t="s">
        <v>167</v>
      </c>
      <c r="C274" s="74" t="s">
        <v>168</v>
      </c>
      <c r="D274" s="74" t="s">
        <v>1409</v>
      </c>
      <c r="E274" s="74" t="s">
        <v>1387</v>
      </c>
      <c r="F274" s="74" t="s">
        <v>97</v>
      </c>
      <c r="G274" s="75" t="s">
        <v>2942</v>
      </c>
      <c r="H274" s="74" t="s">
        <v>1409</v>
      </c>
      <c r="I274" s="72">
        <f>'02_Work_Items'!Q274</f>
      </c>
      <c r="J274" s="71" t="s">
        <v>46</v>
      </c>
    </row>
    <row r="275" spans="1:10" x14ac:dyDescent="0.25">
      <c r="A275" s="70" t="s">
        <v>1410</v>
      </c>
      <c r="B275" s="71" t="s">
        <v>167</v>
      </c>
      <c r="C275" s="71" t="s">
        <v>168</v>
      </c>
      <c r="D275" s="71" t="s">
        <v>1413</v>
      </c>
      <c r="E275" s="71" t="s">
        <v>1387</v>
      </c>
      <c r="F275" s="71" t="s">
        <v>2979</v>
      </c>
      <c r="G275" s="72" t="s">
        <v>2942</v>
      </c>
      <c r="H275" s="71" t="s">
        <v>1413</v>
      </c>
      <c r="I275" s="72">
        <f>'02_Work_Items'!Q275</f>
      </c>
      <c r="J275" s="71" t="s">
        <v>46</v>
      </c>
    </row>
    <row r="276" spans="1:10" x14ac:dyDescent="0.25">
      <c r="A276" s="73" t="s">
        <v>1414</v>
      </c>
      <c r="B276" s="74" t="s">
        <v>167</v>
      </c>
      <c r="C276" s="74" t="s">
        <v>168</v>
      </c>
      <c r="D276" s="74" t="s">
        <v>1417</v>
      </c>
      <c r="E276" s="74" t="s">
        <v>1387</v>
      </c>
      <c r="F276" s="74" t="s">
        <v>2979</v>
      </c>
      <c r="G276" s="75" t="s">
        <v>2942</v>
      </c>
      <c r="H276" s="74" t="s">
        <v>1417</v>
      </c>
      <c r="I276" s="72">
        <f>'02_Work_Items'!Q276</f>
      </c>
      <c r="J276" s="71" t="s">
        <v>46</v>
      </c>
    </row>
    <row r="277" spans="1:10" x14ac:dyDescent="0.25">
      <c r="A277" s="70" t="s">
        <v>1418</v>
      </c>
      <c r="B277" s="71" t="s">
        <v>167</v>
      </c>
      <c r="C277" s="71" t="s">
        <v>168</v>
      </c>
      <c r="D277" s="71" t="s">
        <v>1421</v>
      </c>
      <c r="E277" s="71" t="s">
        <v>1387</v>
      </c>
      <c r="F277" s="71" t="s">
        <v>2979</v>
      </c>
      <c r="G277" s="72" t="s">
        <v>2942</v>
      </c>
      <c r="H277" s="71" t="s">
        <v>1421</v>
      </c>
      <c r="I277" s="72">
        <f>'02_Work_Items'!Q277</f>
      </c>
      <c r="J277" s="71" t="s">
        <v>1422</v>
      </c>
    </row>
    <row r="278" spans="1:10" x14ac:dyDescent="0.25">
      <c r="A278" s="73" t="s">
        <v>1423</v>
      </c>
      <c r="B278" s="74" t="s">
        <v>167</v>
      </c>
      <c r="C278" s="74" t="s">
        <v>168</v>
      </c>
      <c r="D278" s="74" t="s">
        <v>1426</v>
      </c>
      <c r="E278" s="74" t="s">
        <v>1387</v>
      </c>
      <c r="F278" s="74" t="s">
        <v>2979</v>
      </c>
      <c r="G278" s="75" t="s">
        <v>2942</v>
      </c>
      <c r="H278" s="74" t="s">
        <v>1426</v>
      </c>
      <c r="I278" s="72">
        <f>'02_Work_Items'!Q278</f>
      </c>
      <c r="J278" s="71" t="s">
        <v>46</v>
      </c>
    </row>
    <row r="279" spans="1:10" x14ac:dyDescent="0.25">
      <c r="A279" s="70" t="s">
        <v>1427</v>
      </c>
      <c r="B279" s="71" t="s">
        <v>167</v>
      </c>
      <c r="C279" s="71" t="s">
        <v>168</v>
      </c>
      <c r="D279" s="71" t="s">
        <v>1430</v>
      </c>
      <c r="E279" s="71" t="s">
        <v>1387</v>
      </c>
      <c r="F279" s="71" t="s">
        <v>2979</v>
      </c>
      <c r="G279" s="72" t="s">
        <v>2942</v>
      </c>
      <c r="H279" s="71" t="s">
        <v>1430</v>
      </c>
      <c r="I279" s="72">
        <f>'02_Work_Items'!Q279</f>
      </c>
      <c r="J279" s="71" t="s">
        <v>46</v>
      </c>
    </row>
    <row r="280" spans="1:10" x14ac:dyDescent="0.25">
      <c r="A280" s="73" t="s">
        <v>1431</v>
      </c>
      <c r="B280" s="74" t="s">
        <v>167</v>
      </c>
      <c r="C280" s="74" t="s">
        <v>168</v>
      </c>
      <c r="D280" s="74" t="s">
        <v>1434</v>
      </c>
      <c r="E280" s="74" t="s">
        <v>1387</v>
      </c>
      <c r="F280" s="74" t="s">
        <v>2979</v>
      </c>
      <c r="G280" s="75" t="s">
        <v>2942</v>
      </c>
      <c r="H280" s="74" t="s">
        <v>1434</v>
      </c>
      <c r="I280" s="72">
        <f>'02_Work_Items'!Q280</f>
      </c>
      <c r="J280" s="71" t="s">
        <v>46</v>
      </c>
    </row>
    <row r="281" spans="1:10" x14ac:dyDescent="0.25">
      <c r="A281" s="70" t="s">
        <v>1435</v>
      </c>
      <c r="B281" s="71" t="s">
        <v>167</v>
      </c>
      <c r="C281" s="71" t="s">
        <v>168</v>
      </c>
      <c r="D281" s="71" t="s">
        <v>1438</v>
      </c>
      <c r="E281" s="71" t="s">
        <v>1439</v>
      </c>
      <c r="F281" s="71" t="s">
        <v>97</v>
      </c>
      <c r="G281" s="72" t="s">
        <v>2942</v>
      </c>
      <c r="H281" s="71" t="s">
        <v>3033</v>
      </c>
      <c r="I281" s="72">
        <f>'02_Work_Items'!Q281</f>
      </c>
      <c r="J281" s="71" t="s">
        <v>46</v>
      </c>
    </row>
    <row r="282" spans="1:10" x14ac:dyDescent="0.25">
      <c r="A282" s="73" t="s">
        <v>1440</v>
      </c>
      <c r="B282" s="74" t="s">
        <v>167</v>
      </c>
      <c r="C282" s="74" t="s">
        <v>168</v>
      </c>
      <c r="D282" s="74" t="s">
        <v>1443</v>
      </c>
      <c r="E282" s="74" t="s">
        <v>1387</v>
      </c>
      <c r="F282" s="74" t="s">
        <v>97</v>
      </c>
      <c r="G282" s="75" t="s">
        <v>2942</v>
      </c>
      <c r="H282" s="74" t="s">
        <v>1443</v>
      </c>
      <c r="I282" s="72">
        <f>'02_Work_Items'!Q282</f>
      </c>
      <c r="J282" s="71" t="s">
        <v>1445</v>
      </c>
    </row>
    <row r="283" spans="1:10" x14ac:dyDescent="0.25">
      <c r="A283" s="70" t="s">
        <v>1446</v>
      </c>
      <c r="B283" s="71" t="s">
        <v>167</v>
      </c>
      <c r="C283" s="71" t="s">
        <v>168</v>
      </c>
      <c r="D283" s="71" t="s">
        <v>1449</v>
      </c>
      <c r="E283" s="71" t="s">
        <v>1387</v>
      </c>
      <c r="F283" s="71" t="s">
        <v>2984</v>
      </c>
      <c r="G283" s="72" t="s">
        <v>2942</v>
      </c>
      <c r="H283" s="71" t="s">
        <v>598</v>
      </c>
      <c r="I283" s="72">
        <f>'02_Work_Items'!Q283</f>
      </c>
      <c r="J283" s="71" t="s">
        <v>46</v>
      </c>
    </row>
    <row r="284" spans="1:10" x14ac:dyDescent="0.25">
      <c r="A284" s="73" t="s">
        <v>1450</v>
      </c>
      <c r="B284" s="74" t="s">
        <v>167</v>
      </c>
      <c r="C284" s="74" t="s">
        <v>169</v>
      </c>
      <c r="D284" s="74" t="s">
        <v>1454</v>
      </c>
      <c r="E284" s="74" t="s">
        <v>1455</v>
      </c>
      <c r="F284" s="74" t="s">
        <v>2979</v>
      </c>
      <c r="G284" s="75" t="s">
        <v>2942</v>
      </c>
      <c r="H284" s="74" t="s">
        <v>1454</v>
      </c>
      <c r="I284" s="72">
        <f>'02_Work_Items'!Q284</f>
      </c>
      <c r="J284" s="71" t="s">
        <v>46</v>
      </c>
    </row>
    <row r="285" spans="1:10" x14ac:dyDescent="0.25">
      <c r="A285" s="70" t="s">
        <v>1457</v>
      </c>
      <c r="B285" s="71" t="s">
        <v>167</v>
      </c>
      <c r="C285" s="71" t="s">
        <v>169</v>
      </c>
      <c r="D285" s="71" t="s">
        <v>1460</v>
      </c>
      <c r="E285" s="71" t="s">
        <v>1455</v>
      </c>
      <c r="F285" s="71" t="s">
        <v>2979</v>
      </c>
      <c r="G285" s="72" t="s">
        <v>2942</v>
      </c>
      <c r="H285" s="71" t="s">
        <v>1460</v>
      </c>
      <c r="I285" s="72">
        <f>'02_Work_Items'!Q285</f>
      </c>
      <c r="J285" s="71" t="s">
        <v>46</v>
      </c>
    </row>
    <row r="286" spans="1:10" x14ac:dyDescent="0.25">
      <c r="A286" s="73" t="s">
        <v>1461</v>
      </c>
      <c r="B286" s="74" t="s">
        <v>167</v>
      </c>
      <c r="C286" s="74" t="s">
        <v>169</v>
      </c>
      <c r="D286" s="74" t="s">
        <v>1464</v>
      </c>
      <c r="E286" s="74" t="s">
        <v>1455</v>
      </c>
      <c r="F286" s="74" t="s">
        <v>2979</v>
      </c>
      <c r="G286" s="75" t="s">
        <v>2942</v>
      </c>
      <c r="H286" s="74" t="s">
        <v>1464</v>
      </c>
      <c r="I286" s="72">
        <f>'02_Work_Items'!Q286</f>
      </c>
      <c r="J286" s="71" t="s">
        <v>46</v>
      </c>
    </row>
    <row r="287" spans="1:10" x14ac:dyDescent="0.25">
      <c r="A287" s="70" t="s">
        <v>1465</v>
      </c>
      <c r="B287" s="71" t="s">
        <v>167</v>
      </c>
      <c r="C287" s="71" t="s">
        <v>169</v>
      </c>
      <c r="D287" s="71" t="s">
        <v>1468</v>
      </c>
      <c r="E287" s="71" t="s">
        <v>1455</v>
      </c>
      <c r="F287" s="71" t="s">
        <v>2979</v>
      </c>
      <c r="G287" s="72" t="s">
        <v>2942</v>
      </c>
      <c r="H287" s="71" t="s">
        <v>1468</v>
      </c>
      <c r="I287" s="72">
        <f>'02_Work_Items'!Q287</f>
      </c>
      <c r="J287" s="71" t="s">
        <v>1469</v>
      </c>
    </row>
    <row r="288" spans="1:10" x14ac:dyDescent="0.25">
      <c r="A288" s="73" t="s">
        <v>1470</v>
      </c>
      <c r="B288" s="74" t="s">
        <v>167</v>
      </c>
      <c r="C288" s="74" t="s">
        <v>169</v>
      </c>
      <c r="D288" s="74" t="s">
        <v>1473</v>
      </c>
      <c r="E288" s="74" t="s">
        <v>1455</v>
      </c>
      <c r="F288" s="74" t="s">
        <v>2979</v>
      </c>
      <c r="G288" s="75" t="s">
        <v>2942</v>
      </c>
      <c r="H288" s="74" t="s">
        <v>1473</v>
      </c>
      <c r="I288" s="72">
        <f>'02_Work_Items'!Q288</f>
      </c>
      <c r="J288" s="71" t="s">
        <v>46</v>
      </c>
    </row>
    <row r="289" spans="1:10" x14ac:dyDescent="0.25">
      <c r="A289" s="70" t="s">
        <v>1474</v>
      </c>
      <c r="B289" s="71" t="s">
        <v>167</v>
      </c>
      <c r="C289" s="71" t="s">
        <v>169</v>
      </c>
      <c r="D289" s="71" t="s">
        <v>1477</v>
      </c>
      <c r="E289" s="71" t="s">
        <v>1455</v>
      </c>
      <c r="F289" s="71" t="s">
        <v>2979</v>
      </c>
      <c r="G289" s="72" t="s">
        <v>2942</v>
      </c>
      <c r="H289" s="71" t="s">
        <v>1477</v>
      </c>
      <c r="I289" s="72">
        <f>'02_Work_Items'!Q289</f>
      </c>
      <c r="J289" s="71" t="s">
        <v>46</v>
      </c>
    </row>
    <row r="290" spans="1:10" x14ac:dyDescent="0.25">
      <c r="A290" s="73" t="s">
        <v>1478</v>
      </c>
      <c r="B290" s="74" t="s">
        <v>167</v>
      </c>
      <c r="C290" s="74" t="s">
        <v>169</v>
      </c>
      <c r="D290" s="74" t="s">
        <v>1481</v>
      </c>
      <c r="E290" s="74" t="s">
        <v>1455</v>
      </c>
      <c r="F290" s="74" t="s">
        <v>2979</v>
      </c>
      <c r="G290" s="75" t="s">
        <v>2942</v>
      </c>
      <c r="H290" s="74" t="s">
        <v>1481</v>
      </c>
      <c r="I290" s="72">
        <f>'02_Work_Items'!Q290</f>
      </c>
      <c r="J290" s="71" t="s">
        <v>46</v>
      </c>
    </row>
    <row r="291" spans="1:10" x14ac:dyDescent="0.25">
      <c r="A291" s="70" t="s">
        <v>1482</v>
      </c>
      <c r="B291" s="71" t="s">
        <v>167</v>
      </c>
      <c r="C291" s="71" t="s">
        <v>169</v>
      </c>
      <c r="D291" s="71" t="s">
        <v>1485</v>
      </c>
      <c r="E291" s="71" t="s">
        <v>1455</v>
      </c>
      <c r="F291" s="71" t="s">
        <v>2979</v>
      </c>
      <c r="G291" s="72" t="s">
        <v>2942</v>
      </c>
      <c r="H291" s="71" t="s">
        <v>1485</v>
      </c>
      <c r="I291" s="72">
        <f>'02_Work_Items'!Q291</f>
      </c>
      <c r="J291" s="71" t="s">
        <v>46</v>
      </c>
    </row>
    <row r="292" spans="1:10" x14ac:dyDescent="0.25">
      <c r="A292" s="73" t="s">
        <v>1486</v>
      </c>
      <c r="B292" s="74" t="s">
        <v>167</v>
      </c>
      <c r="C292" s="74" t="s">
        <v>169</v>
      </c>
      <c r="D292" s="74" t="s">
        <v>1489</v>
      </c>
      <c r="E292" s="74" t="s">
        <v>1490</v>
      </c>
      <c r="F292" s="74" t="s">
        <v>97</v>
      </c>
      <c r="G292" s="75" t="s">
        <v>2942</v>
      </c>
      <c r="H292" s="74" t="s">
        <v>1489</v>
      </c>
      <c r="I292" s="72">
        <f>'02_Work_Items'!Q292</f>
      </c>
      <c r="J292" s="71" t="s">
        <v>46</v>
      </c>
    </row>
    <row r="293" spans="1:10" x14ac:dyDescent="0.25">
      <c r="A293" s="70" t="s">
        <v>1491</v>
      </c>
      <c r="B293" s="71" t="s">
        <v>167</v>
      </c>
      <c r="C293" s="71" t="s">
        <v>169</v>
      </c>
      <c r="D293" s="71" t="s">
        <v>1494</v>
      </c>
      <c r="E293" s="71" t="s">
        <v>1455</v>
      </c>
      <c r="F293" s="71" t="s">
        <v>2979</v>
      </c>
      <c r="G293" s="72" t="s">
        <v>2942</v>
      </c>
      <c r="H293" s="71" t="s">
        <v>1494</v>
      </c>
      <c r="I293" s="72">
        <f>'02_Work_Items'!Q293</f>
      </c>
      <c r="J293" s="71" t="s">
        <v>1495</v>
      </c>
    </row>
    <row r="294" spans="1:10" x14ac:dyDescent="0.25">
      <c r="A294" s="73" t="s">
        <v>1496</v>
      </c>
      <c r="B294" s="74" t="s">
        <v>167</v>
      </c>
      <c r="C294" s="74" t="s">
        <v>169</v>
      </c>
      <c r="D294" s="74" t="s">
        <v>598</v>
      </c>
      <c r="E294" s="74" t="s">
        <v>1455</v>
      </c>
      <c r="F294" s="74" t="s">
        <v>2984</v>
      </c>
      <c r="G294" s="75" t="s">
        <v>2942</v>
      </c>
      <c r="H294" s="74" t="s">
        <v>598</v>
      </c>
      <c r="I294" s="72">
        <f>'02_Work_Items'!Q294</f>
      </c>
      <c r="J294" s="71" t="s">
        <v>46</v>
      </c>
    </row>
    <row r="295" spans="1:10" x14ac:dyDescent="0.25">
      <c r="A295" s="70" t="s">
        <v>1499</v>
      </c>
      <c r="B295" s="71" t="s">
        <v>167</v>
      </c>
      <c r="C295" s="71" t="s">
        <v>170</v>
      </c>
      <c r="D295" s="71" t="s">
        <v>1503</v>
      </c>
      <c r="E295" s="71" t="s">
        <v>1504</v>
      </c>
      <c r="F295" s="71" t="s">
        <v>2979</v>
      </c>
      <c r="G295" s="72" t="s">
        <v>2942</v>
      </c>
      <c r="H295" s="71" t="s">
        <v>1503</v>
      </c>
      <c r="I295" s="72">
        <f>'02_Work_Items'!Q295</f>
      </c>
      <c r="J295" s="71" t="s">
        <v>46</v>
      </c>
    </row>
    <row r="296" spans="1:10" x14ac:dyDescent="0.25">
      <c r="A296" s="73" t="s">
        <v>1505</v>
      </c>
      <c r="B296" s="74" t="s">
        <v>167</v>
      </c>
      <c r="C296" s="74" t="s">
        <v>170</v>
      </c>
      <c r="D296" s="74" t="s">
        <v>1508</v>
      </c>
      <c r="E296" s="74" t="s">
        <v>1504</v>
      </c>
      <c r="F296" s="74" t="s">
        <v>2979</v>
      </c>
      <c r="G296" s="75" t="s">
        <v>2942</v>
      </c>
      <c r="H296" s="74" t="s">
        <v>1508</v>
      </c>
      <c r="I296" s="72">
        <f>'02_Work_Items'!Q296</f>
      </c>
      <c r="J296" s="71" t="s">
        <v>46</v>
      </c>
    </row>
    <row r="297" spans="1:10" x14ac:dyDescent="0.25">
      <c r="A297" s="70" t="s">
        <v>1509</v>
      </c>
      <c r="B297" s="71" t="s">
        <v>167</v>
      </c>
      <c r="C297" s="71" t="s">
        <v>170</v>
      </c>
      <c r="D297" s="71" t="s">
        <v>1512</v>
      </c>
      <c r="E297" s="71" t="s">
        <v>1504</v>
      </c>
      <c r="F297" s="71" t="s">
        <v>2979</v>
      </c>
      <c r="G297" s="72" t="s">
        <v>2942</v>
      </c>
      <c r="H297" s="71" t="s">
        <v>1512</v>
      </c>
      <c r="I297" s="72">
        <f>'02_Work_Items'!Q297</f>
      </c>
      <c r="J297" s="71" t="s">
        <v>46</v>
      </c>
    </row>
    <row r="298" spans="1:10" x14ac:dyDescent="0.25">
      <c r="A298" s="73" t="s">
        <v>1513</v>
      </c>
      <c r="B298" s="74" t="s">
        <v>167</v>
      </c>
      <c r="C298" s="74" t="s">
        <v>170</v>
      </c>
      <c r="D298" s="74" t="s">
        <v>1516</v>
      </c>
      <c r="E298" s="74" t="s">
        <v>1504</v>
      </c>
      <c r="F298" s="74" t="s">
        <v>97</v>
      </c>
      <c r="G298" s="75" t="s">
        <v>2942</v>
      </c>
      <c r="H298" s="74" t="s">
        <v>1516</v>
      </c>
      <c r="I298" s="72">
        <f>'02_Work_Items'!Q298</f>
      </c>
      <c r="J298" s="71" t="s">
        <v>46</v>
      </c>
    </row>
    <row r="299" spans="1:10" x14ac:dyDescent="0.25">
      <c r="A299" s="70" t="s">
        <v>1517</v>
      </c>
      <c r="B299" s="71" t="s">
        <v>167</v>
      </c>
      <c r="C299" s="71" t="s">
        <v>170</v>
      </c>
      <c r="D299" s="71" t="s">
        <v>879</v>
      </c>
      <c r="E299" s="71" t="s">
        <v>1504</v>
      </c>
      <c r="F299" s="71" t="s">
        <v>2984</v>
      </c>
      <c r="G299" s="72" t="s">
        <v>2942</v>
      </c>
      <c r="H299" s="71" t="s">
        <v>879</v>
      </c>
      <c r="I299" s="72">
        <f>'02_Work_Items'!Q299</f>
      </c>
      <c r="J299" s="71" t="s">
        <v>46</v>
      </c>
    </row>
    <row r="300" spans="1:10" x14ac:dyDescent="0.25">
      <c r="A300" s="73" t="s">
        <v>1520</v>
      </c>
      <c r="B300" s="74" t="s">
        <v>172</v>
      </c>
      <c r="C300" s="74" t="s">
        <v>171</v>
      </c>
      <c r="D300" s="74" t="s">
        <v>1524</v>
      </c>
      <c r="E300" s="74" t="s">
        <v>1525</v>
      </c>
      <c r="F300" s="74" t="s">
        <v>3034</v>
      </c>
      <c r="G300" s="75" t="s">
        <v>2942</v>
      </c>
      <c r="H300" s="74" t="s">
        <v>3035</v>
      </c>
      <c r="I300" s="72">
        <f>'02_Work_Items'!Q300</f>
      </c>
      <c r="J300" s="71" t="s">
        <v>46</v>
      </c>
    </row>
    <row r="301" spans="1:10" x14ac:dyDescent="0.25">
      <c r="A301" s="70" t="s">
        <v>1526</v>
      </c>
      <c r="B301" s="71" t="s">
        <v>172</v>
      </c>
      <c r="C301" s="71" t="s">
        <v>171</v>
      </c>
      <c r="D301" s="71" t="s">
        <v>1529</v>
      </c>
      <c r="E301" s="71" t="s">
        <v>1525</v>
      </c>
      <c r="F301" s="71" t="s">
        <v>2979</v>
      </c>
      <c r="G301" s="72" t="s">
        <v>2942</v>
      </c>
      <c r="H301" s="71" t="s">
        <v>1529</v>
      </c>
      <c r="I301" s="72">
        <f>'02_Work_Items'!Q301</f>
      </c>
      <c r="J301" s="71" t="s">
        <v>46</v>
      </c>
    </row>
    <row r="302" spans="1:10" x14ac:dyDescent="0.25">
      <c r="A302" s="73" t="s">
        <v>1530</v>
      </c>
      <c r="B302" s="74" t="s">
        <v>172</v>
      </c>
      <c r="C302" s="74" t="s">
        <v>171</v>
      </c>
      <c r="D302" s="74" t="s">
        <v>1534</v>
      </c>
      <c r="E302" s="74" t="s">
        <v>1525</v>
      </c>
      <c r="F302" s="74" t="s">
        <v>2979</v>
      </c>
      <c r="G302" s="75" t="s">
        <v>2942</v>
      </c>
      <c r="H302" s="74" t="s">
        <v>1534</v>
      </c>
      <c r="I302" s="72">
        <f>'02_Work_Items'!Q302</f>
      </c>
      <c r="J302" s="71" t="s">
        <v>46</v>
      </c>
    </row>
    <row r="303" spans="1:10" x14ac:dyDescent="0.25">
      <c r="A303" s="70" t="s">
        <v>1535</v>
      </c>
      <c r="B303" s="71" t="s">
        <v>172</v>
      </c>
      <c r="C303" s="71" t="s">
        <v>171</v>
      </c>
      <c r="D303" s="71" t="s">
        <v>1538</v>
      </c>
      <c r="E303" s="71" t="s">
        <v>1525</v>
      </c>
      <c r="F303" s="71" t="s">
        <v>2979</v>
      </c>
      <c r="G303" s="72" t="s">
        <v>2942</v>
      </c>
      <c r="H303" s="71" t="s">
        <v>1538</v>
      </c>
      <c r="I303" s="72">
        <f>'02_Work_Items'!Q303</f>
      </c>
      <c r="J303" s="71" t="s">
        <v>46</v>
      </c>
    </row>
    <row r="304" spans="1:10" x14ac:dyDescent="0.25">
      <c r="A304" s="73" t="s">
        <v>1539</v>
      </c>
      <c r="B304" s="74" t="s">
        <v>172</v>
      </c>
      <c r="C304" s="74" t="s">
        <v>171</v>
      </c>
      <c r="D304" s="74" t="s">
        <v>1542</v>
      </c>
      <c r="E304" s="74" t="s">
        <v>1525</v>
      </c>
      <c r="F304" s="74" t="s">
        <v>2979</v>
      </c>
      <c r="G304" s="75" t="s">
        <v>2942</v>
      </c>
      <c r="H304" s="74" t="s">
        <v>1542</v>
      </c>
      <c r="I304" s="72">
        <f>'02_Work_Items'!Q304</f>
      </c>
      <c r="J304" s="71" t="s">
        <v>46</v>
      </c>
    </row>
    <row r="305" spans="1:10" x14ac:dyDescent="0.25">
      <c r="A305" s="70" t="s">
        <v>1543</v>
      </c>
      <c r="B305" s="71" t="s">
        <v>172</v>
      </c>
      <c r="C305" s="71" t="s">
        <v>171</v>
      </c>
      <c r="D305" s="71" t="s">
        <v>1546</v>
      </c>
      <c r="E305" s="71" t="s">
        <v>1525</v>
      </c>
      <c r="F305" s="71" t="s">
        <v>2979</v>
      </c>
      <c r="G305" s="72" t="s">
        <v>2942</v>
      </c>
      <c r="H305" s="71" t="s">
        <v>1546</v>
      </c>
      <c r="I305" s="72">
        <f>'02_Work_Items'!Q305</f>
      </c>
      <c r="J305" s="71" t="s">
        <v>46</v>
      </c>
    </row>
    <row r="306" spans="1:10" x14ac:dyDescent="0.25">
      <c r="A306" s="73" t="s">
        <v>1547</v>
      </c>
      <c r="B306" s="74" t="s">
        <v>172</v>
      </c>
      <c r="C306" s="74" t="s">
        <v>171</v>
      </c>
      <c r="D306" s="74" t="s">
        <v>1550</v>
      </c>
      <c r="E306" s="74" t="s">
        <v>1525</v>
      </c>
      <c r="F306" s="74" t="s">
        <v>2979</v>
      </c>
      <c r="G306" s="75" t="s">
        <v>2942</v>
      </c>
      <c r="H306" s="74" t="s">
        <v>1550</v>
      </c>
      <c r="I306" s="72">
        <f>'02_Work_Items'!Q306</f>
      </c>
      <c r="J306" s="71" t="s">
        <v>46</v>
      </c>
    </row>
    <row r="307" spans="1:10" x14ac:dyDescent="0.25">
      <c r="A307" s="70" t="s">
        <v>1551</v>
      </c>
      <c r="B307" s="71" t="s">
        <v>172</v>
      </c>
      <c r="C307" s="71" t="s">
        <v>171</v>
      </c>
      <c r="D307" s="71" t="s">
        <v>1554</v>
      </c>
      <c r="E307" s="71" t="s">
        <v>1525</v>
      </c>
      <c r="F307" s="71" t="s">
        <v>2979</v>
      </c>
      <c r="G307" s="72" t="s">
        <v>2942</v>
      </c>
      <c r="H307" s="71" t="s">
        <v>1554</v>
      </c>
      <c r="I307" s="72">
        <f>'02_Work_Items'!Q307</f>
      </c>
      <c r="J307" s="71" t="s">
        <v>46</v>
      </c>
    </row>
    <row r="308" spans="1:10" x14ac:dyDescent="0.25">
      <c r="A308" s="73" t="s">
        <v>1555</v>
      </c>
      <c r="B308" s="74" t="s">
        <v>172</v>
      </c>
      <c r="C308" s="74" t="s">
        <v>171</v>
      </c>
      <c r="D308" s="74" t="s">
        <v>1558</v>
      </c>
      <c r="E308" s="74" t="s">
        <v>1525</v>
      </c>
      <c r="F308" s="74" t="s">
        <v>97</v>
      </c>
      <c r="G308" s="75" t="s">
        <v>2942</v>
      </c>
      <c r="H308" s="74" t="s">
        <v>1558</v>
      </c>
      <c r="I308" s="72">
        <f>'02_Work_Items'!Q308</f>
      </c>
      <c r="J308" s="71" t="s">
        <v>46</v>
      </c>
    </row>
    <row r="309" spans="1:10" x14ac:dyDescent="0.25">
      <c r="A309" s="70" t="s">
        <v>1559</v>
      </c>
      <c r="B309" s="71" t="s">
        <v>172</v>
      </c>
      <c r="C309" s="71" t="s">
        <v>171</v>
      </c>
      <c r="D309" s="71" t="s">
        <v>1562</v>
      </c>
      <c r="E309" s="71" t="s">
        <v>1525</v>
      </c>
      <c r="F309" s="71" t="s">
        <v>2979</v>
      </c>
      <c r="G309" s="72" t="s">
        <v>2942</v>
      </c>
      <c r="H309" s="71" t="s">
        <v>1562</v>
      </c>
      <c r="I309" s="72">
        <f>'02_Work_Items'!Q309</f>
      </c>
      <c r="J309" s="71" t="s">
        <v>46</v>
      </c>
    </row>
    <row r="310" spans="1:10" x14ac:dyDescent="0.25">
      <c r="A310" s="73" t="s">
        <v>1563</v>
      </c>
      <c r="B310" s="74" t="s">
        <v>172</v>
      </c>
      <c r="C310" s="74" t="s">
        <v>171</v>
      </c>
      <c r="D310" s="74" t="s">
        <v>1566</v>
      </c>
      <c r="E310" s="74" t="s">
        <v>1525</v>
      </c>
      <c r="F310" s="74" t="s">
        <v>2979</v>
      </c>
      <c r="G310" s="75" t="s">
        <v>2942</v>
      </c>
      <c r="H310" s="74" t="s">
        <v>1566</v>
      </c>
      <c r="I310" s="72">
        <f>'02_Work_Items'!Q310</f>
      </c>
      <c r="J310" s="71" t="s">
        <v>46</v>
      </c>
    </row>
    <row r="311" spans="1:10" x14ac:dyDescent="0.25">
      <c r="A311" s="70" t="s">
        <v>1567</v>
      </c>
      <c r="B311" s="71" t="s">
        <v>172</v>
      </c>
      <c r="C311" s="71" t="s">
        <v>171</v>
      </c>
      <c r="D311" s="71" t="s">
        <v>1570</v>
      </c>
      <c r="E311" s="71" t="s">
        <v>1525</v>
      </c>
      <c r="F311" s="71" t="s">
        <v>2979</v>
      </c>
      <c r="G311" s="72" t="s">
        <v>2942</v>
      </c>
      <c r="H311" s="71" t="s">
        <v>3036</v>
      </c>
      <c r="I311" s="72">
        <f>'02_Work_Items'!Q311</f>
      </c>
      <c r="J311" s="71" t="s">
        <v>46</v>
      </c>
    </row>
    <row r="312" spans="1:10" x14ac:dyDescent="0.25">
      <c r="A312" s="73" t="s">
        <v>1571</v>
      </c>
      <c r="B312" s="74" t="s">
        <v>172</v>
      </c>
      <c r="C312" s="74" t="s">
        <v>171</v>
      </c>
      <c r="D312" s="74" t="s">
        <v>1574</v>
      </c>
      <c r="E312" s="74" t="s">
        <v>1525</v>
      </c>
      <c r="F312" s="74" t="s">
        <v>2979</v>
      </c>
      <c r="G312" s="75" t="s">
        <v>2942</v>
      </c>
      <c r="H312" s="74" t="s">
        <v>1574</v>
      </c>
      <c r="I312" s="72">
        <f>'02_Work_Items'!Q312</f>
      </c>
      <c r="J312" s="71" t="s">
        <v>46</v>
      </c>
    </row>
    <row r="313" spans="1:10" x14ac:dyDescent="0.25">
      <c r="A313" s="70" t="s">
        <v>1575</v>
      </c>
      <c r="B313" s="71" t="s">
        <v>172</v>
      </c>
      <c r="C313" s="71" t="s">
        <v>171</v>
      </c>
      <c r="D313" s="71" t="s">
        <v>1578</v>
      </c>
      <c r="E313" s="71" t="s">
        <v>1525</v>
      </c>
      <c r="F313" s="71" t="s">
        <v>97</v>
      </c>
      <c r="G313" s="72" t="s">
        <v>2942</v>
      </c>
      <c r="H313" s="71" t="s">
        <v>1578</v>
      </c>
      <c r="I313" s="72">
        <f>'02_Work_Items'!Q313</f>
      </c>
      <c r="J313" s="71" t="s">
        <v>46</v>
      </c>
    </row>
    <row r="314" spans="1:10" x14ac:dyDescent="0.25">
      <c r="A314" s="73" t="s">
        <v>1579</v>
      </c>
      <c r="B314" s="74" t="s">
        <v>172</v>
      </c>
      <c r="C314" s="74" t="s">
        <v>171</v>
      </c>
      <c r="D314" s="74" t="s">
        <v>1582</v>
      </c>
      <c r="E314" s="74" t="s">
        <v>1525</v>
      </c>
      <c r="F314" s="74" t="s">
        <v>2984</v>
      </c>
      <c r="G314" s="75" t="s">
        <v>2942</v>
      </c>
      <c r="H314" s="74" t="s">
        <v>598</v>
      </c>
      <c r="I314" s="72">
        <f>'02_Work_Items'!Q314</f>
      </c>
      <c r="J314" s="71" t="s">
        <v>46</v>
      </c>
    </row>
    <row r="315" spans="1:10" x14ac:dyDescent="0.25">
      <c r="A315" s="70" t="s">
        <v>1583</v>
      </c>
      <c r="B315" s="71" t="s">
        <v>172</v>
      </c>
      <c r="C315" s="71" t="s">
        <v>173</v>
      </c>
      <c r="D315" s="71" t="s">
        <v>1587</v>
      </c>
      <c r="E315" s="71" t="s">
        <v>1588</v>
      </c>
      <c r="F315" s="71" t="s">
        <v>2979</v>
      </c>
      <c r="G315" s="72" t="s">
        <v>2942</v>
      </c>
      <c r="H315" s="71" t="s">
        <v>1587</v>
      </c>
      <c r="I315" s="72">
        <f>'02_Work_Items'!Q315</f>
      </c>
      <c r="J315" s="71" t="s">
        <v>46</v>
      </c>
    </row>
    <row r="316" spans="1:10" x14ac:dyDescent="0.25">
      <c r="A316" s="73" t="s">
        <v>1590</v>
      </c>
      <c r="B316" s="74" t="s">
        <v>172</v>
      </c>
      <c r="C316" s="74" t="s">
        <v>173</v>
      </c>
      <c r="D316" s="74" t="s">
        <v>1593</v>
      </c>
      <c r="E316" s="74" t="s">
        <v>1588</v>
      </c>
      <c r="F316" s="74" t="s">
        <v>2979</v>
      </c>
      <c r="G316" s="75" t="s">
        <v>2942</v>
      </c>
      <c r="H316" s="74" t="s">
        <v>1593</v>
      </c>
      <c r="I316" s="72">
        <f>'02_Work_Items'!Q316</f>
      </c>
      <c r="J316" s="71" t="s">
        <v>46</v>
      </c>
    </row>
    <row r="317" spans="1:10" x14ac:dyDescent="0.25">
      <c r="A317" s="70" t="s">
        <v>1594</v>
      </c>
      <c r="B317" s="71" t="s">
        <v>172</v>
      </c>
      <c r="C317" s="71" t="s">
        <v>173</v>
      </c>
      <c r="D317" s="71" t="s">
        <v>1597</v>
      </c>
      <c r="E317" s="71" t="s">
        <v>1588</v>
      </c>
      <c r="F317" s="71" t="s">
        <v>2979</v>
      </c>
      <c r="G317" s="72" t="s">
        <v>2942</v>
      </c>
      <c r="H317" s="71" t="s">
        <v>1597</v>
      </c>
      <c r="I317" s="72">
        <f>'02_Work_Items'!Q317</f>
      </c>
      <c r="J317" s="71" t="s">
        <v>46</v>
      </c>
    </row>
    <row r="318" spans="1:10" x14ac:dyDescent="0.25">
      <c r="A318" s="73" t="s">
        <v>1598</v>
      </c>
      <c r="B318" s="74" t="s">
        <v>172</v>
      </c>
      <c r="C318" s="74" t="s">
        <v>173</v>
      </c>
      <c r="D318" s="74" t="s">
        <v>1601</v>
      </c>
      <c r="E318" s="74" t="s">
        <v>1588</v>
      </c>
      <c r="F318" s="74" t="s">
        <v>2979</v>
      </c>
      <c r="G318" s="75" t="s">
        <v>2942</v>
      </c>
      <c r="H318" s="74" t="s">
        <v>1601</v>
      </c>
      <c r="I318" s="72">
        <f>'02_Work_Items'!Q318</f>
      </c>
      <c r="J318" s="71" t="s">
        <v>46</v>
      </c>
    </row>
    <row r="319" spans="1:10" x14ac:dyDescent="0.25">
      <c r="A319" s="70" t="s">
        <v>1602</v>
      </c>
      <c r="B319" s="71" t="s">
        <v>172</v>
      </c>
      <c r="C319" s="71" t="s">
        <v>173</v>
      </c>
      <c r="D319" s="71" t="s">
        <v>1605</v>
      </c>
      <c r="E319" s="71" t="s">
        <v>1588</v>
      </c>
      <c r="F319" s="71" t="s">
        <v>2979</v>
      </c>
      <c r="G319" s="72" t="s">
        <v>2942</v>
      </c>
      <c r="H319" s="71" t="s">
        <v>1605</v>
      </c>
      <c r="I319" s="72">
        <f>'02_Work_Items'!Q319</f>
      </c>
      <c r="J319" s="71" t="s">
        <v>46</v>
      </c>
    </row>
    <row r="320" spans="1:10" x14ac:dyDescent="0.25">
      <c r="A320" s="73" t="s">
        <v>1606</v>
      </c>
      <c r="B320" s="74" t="s">
        <v>172</v>
      </c>
      <c r="C320" s="74" t="s">
        <v>173</v>
      </c>
      <c r="D320" s="74" t="s">
        <v>1609</v>
      </c>
      <c r="E320" s="74" t="s">
        <v>1588</v>
      </c>
      <c r="F320" s="74" t="s">
        <v>2979</v>
      </c>
      <c r="G320" s="75" t="s">
        <v>2942</v>
      </c>
      <c r="H320" s="74" t="s">
        <v>3037</v>
      </c>
      <c r="I320" s="72">
        <f>'02_Work_Items'!Q320</f>
      </c>
      <c r="J320" s="71" t="s">
        <v>46</v>
      </c>
    </row>
    <row r="321" spans="1:10" x14ac:dyDescent="0.25">
      <c r="A321" s="70" t="s">
        <v>1610</v>
      </c>
      <c r="B321" s="71" t="s">
        <v>172</v>
      </c>
      <c r="C321" s="71" t="s">
        <v>173</v>
      </c>
      <c r="D321" s="71" t="s">
        <v>1613</v>
      </c>
      <c r="E321" s="71" t="s">
        <v>1588</v>
      </c>
      <c r="F321" s="71" t="s">
        <v>2979</v>
      </c>
      <c r="G321" s="72" t="s">
        <v>2942</v>
      </c>
      <c r="H321" s="71" t="s">
        <v>3038</v>
      </c>
      <c r="I321" s="72">
        <f>'02_Work_Items'!Q321</f>
      </c>
      <c r="J321" s="71" t="s">
        <v>46</v>
      </c>
    </row>
    <row r="322" spans="1:10" x14ac:dyDescent="0.25">
      <c r="A322" s="73" t="s">
        <v>1614</v>
      </c>
      <c r="B322" s="74" t="s">
        <v>172</v>
      </c>
      <c r="C322" s="74" t="s">
        <v>173</v>
      </c>
      <c r="D322" s="74" t="s">
        <v>1617</v>
      </c>
      <c r="E322" s="74" t="s">
        <v>1588</v>
      </c>
      <c r="F322" s="74" t="s">
        <v>2979</v>
      </c>
      <c r="G322" s="75" t="s">
        <v>2942</v>
      </c>
      <c r="H322" s="74" t="s">
        <v>1617</v>
      </c>
      <c r="I322" s="72">
        <f>'02_Work_Items'!Q322</f>
      </c>
      <c r="J322" s="71" t="s">
        <v>46</v>
      </c>
    </row>
    <row r="323" spans="1:10" x14ac:dyDescent="0.25">
      <c r="A323" s="70" t="s">
        <v>1618</v>
      </c>
      <c r="B323" s="71" t="s">
        <v>172</v>
      </c>
      <c r="C323" s="71" t="s">
        <v>173</v>
      </c>
      <c r="D323" s="71" t="s">
        <v>1621</v>
      </c>
      <c r="E323" s="71" t="s">
        <v>1588</v>
      </c>
      <c r="F323" s="71" t="s">
        <v>2979</v>
      </c>
      <c r="G323" s="72" t="s">
        <v>2942</v>
      </c>
      <c r="H323" s="71" t="s">
        <v>1621</v>
      </c>
      <c r="I323" s="72">
        <f>'02_Work_Items'!Q323</f>
      </c>
      <c r="J323" s="71" t="s">
        <v>46</v>
      </c>
    </row>
    <row r="324" spans="1:10" x14ac:dyDescent="0.25">
      <c r="A324" s="73" t="s">
        <v>1622</v>
      </c>
      <c r="B324" s="74" t="s">
        <v>172</v>
      </c>
      <c r="C324" s="74" t="s">
        <v>173</v>
      </c>
      <c r="D324" s="74" t="s">
        <v>1625</v>
      </c>
      <c r="E324" s="74" t="s">
        <v>1588</v>
      </c>
      <c r="F324" s="74" t="s">
        <v>2979</v>
      </c>
      <c r="G324" s="75" t="s">
        <v>2942</v>
      </c>
      <c r="H324" s="74" t="s">
        <v>1625</v>
      </c>
      <c r="I324" s="72">
        <f>'02_Work_Items'!Q324</f>
      </c>
      <c r="J324" s="71" t="s">
        <v>46</v>
      </c>
    </row>
    <row r="325" spans="1:10" x14ac:dyDescent="0.25">
      <c r="A325" s="70" t="s">
        <v>1626</v>
      </c>
      <c r="B325" s="71" t="s">
        <v>172</v>
      </c>
      <c r="C325" s="71" t="s">
        <v>173</v>
      </c>
      <c r="D325" s="71" t="s">
        <v>1629</v>
      </c>
      <c r="E325" s="71" t="s">
        <v>1588</v>
      </c>
      <c r="F325" s="71" t="s">
        <v>2979</v>
      </c>
      <c r="G325" s="72" t="s">
        <v>2942</v>
      </c>
      <c r="H325" s="71" t="s">
        <v>1629</v>
      </c>
      <c r="I325" s="72">
        <f>'02_Work_Items'!Q325</f>
      </c>
      <c r="J325" s="71" t="s">
        <v>46</v>
      </c>
    </row>
    <row r="326" spans="1:10" x14ac:dyDescent="0.25">
      <c r="A326" s="73" t="s">
        <v>1630</v>
      </c>
      <c r="B326" s="74" t="s">
        <v>172</v>
      </c>
      <c r="C326" s="74" t="s">
        <v>173</v>
      </c>
      <c r="D326" s="74" t="s">
        <v>1633</v>
      </c>
      <c r="E326" s="74" t="s">
        <v>1588</v>
      </c>
      <c r="F326" s="74" t="s">
        <v>2979</v>
      </c>
      <c r="G326" s="75" t="s">
        <v>2942</v>
      </c>
      <c r="H326" s="74" t="s">
        <v>1633</v>
      </c>
      <c r="I326" s="72">
        <f>'02_Work_Items'!Q326</f>
      </c>
      <c r="J326" s="71" t="s">
        <v>46</v>
      </c>
    </row>
    <row r="327" spans="1:10" x14ac:dyDescent="0.25">
      <c r="A327" s="70" t="s">
        <v>1634</v>
      </c>
      <c r="B327" s="71" t="s">
        <v>172</v>
      </c>
      <c r="C327" s="71" t="s">
        <v>173</v>
      </c>
      <c r="D327" s="71" t="s">
        <v>1637</v>
      </c>
      <c r="E327" s="71" t="s">
        <v>1588</v>
      </c>
      <c r="F327" s="71" t="s">
        <v>2979</v>
      </c>
      <c r="G327" s="72" t="s">
        <v>2942</v>
      </c>
      <c r="H327" s="71" t="s">
        <v>1637</v>
      </c>
      <c r="I327" s="72">
        <f>'02_Work_Items'!Q327</f>
      </c>
      <c r="J327" s="71" t="s">
        <v>46</v>
      </c>
    </row>
    <row r="328" spans="1:10" x14ac:dyDescent="0.25">
      <c r="A328" s="73" t="s">
        <v>1638</v>
      </c>
      <c r="B328" s="74" t="s">
        <v>172</v>
      </c>
      <c r="C328" s="74" t="s">
        <v>173</v>
      </c>
      <c r="D328" s="74" t="s">
        <v>1641</v>
      </c>
      <c r="E328" s="74" t="s">
        <v>1588</v>
      </c>
      <c r="F328" s="74" t="s">
        <v>3034</v>
      </c>
      <c r="G328" s="75" t="s">
        <v>2942</v>
      </c>
      <c r="H328" s="74" t="s">
        <v>1641</v>
      </c>
      <c r="I328" s="72">
        <f>'02_Work_Items'!Q328</f>
      </c>
      <c r="J328" s="71" t="s">
        <v>46</v>
      </c>
    </row>
    <row r="329" spans="1:10" x14ac:dyDescent="0.25">
      <c r="A329" s="70" t="s">
        <v>1642</v>
      </c>
      <c r="B329" s="71" t="s">
        <v>172</v>
      </c>
      <c r="C329" s="71" t="s">
        <v>173</v>
      </c>
      <c r="D329" s="71" t="s">
        <v>1645</v>
      </c>
      <c r="E329" s="71" t="s">
        <v>1588</v>
      </c>
      <c r="F329" s="71" t="s">
        <v>97</v>
      </c>
      <c r="G329" s="72" t="s">
        <v>2942</v>
      </c>
      <c r="H329" s="71" t="s">
        <v>1645</v>
      </c>
      <c r="I329" s="72">
        <f>'02_Work_Items'!Q329</f>
      </c>
      <c r="J329" s="71" t="s">
        <v>46</v>
      </c>
    </row>
    <row r="330" spans="1:10" x14ac:dyDescent="0.25">
      <c r="A330" s="73" t="s">
        <v>1646</v>
      </c>
      <c r="B330" s="74" t="s">
        <v>172</v>
      </c>
      <c r="C330" s="74" t="s">
        <v>173</v>
      </c>
      <c r="D330" s="74" t="s">
        <v>1649</v>
      </c>
      <c r="E330" s="74" t="s">
        <v>1588</v>
      </c>
      <c r="F330" s="74" t="s">
        <v>3034</v>
      </c>
      <c r="G330" s="75" t="s">
        <v>2942</v>
      </c>
      <c r="H330" s="74" t="s">
        <v>1649</v>
      </c>
      <c r="I330" s="72">
        <f>'02_Work_Items'!Q330</f>
      </c>
      <c r="J330" s="71" t="s">
        <v>46</v>
      </c>
    </row>
    <row r="331" spans="1:10" x14ac:dyDescent="0.25">
      <c r="A331" s="70" t="s">
        <v>1650</v>
      </c>
      <c r="B331" s="71" t="s">
        <v>172</v>
      </c>
      <c r="C331" s="71" t="s">
        <v>173</v>
      </c>
      <c r="D331" s="71" t="s">
        <v>1653</v>
      </c>
      <c r="E331" s="71" t="s">
        <v>1588</v>
      </c>
      <c r="F331" s="71" t="s">
        <v>3034</v>
      </c>
      <c r="G331" s="72" t="s">
        <v>2942</v>
      </c>
      <c r="H331" s="71" t="s">
        <v>1653</v>
      </c>
      <c r="I331" s="72">
        <f>'02_Work_Items'!Q331</f>
      </c>
      <c r="J331" s="71" t="s">
        <v>46</v>
      </c>
    </row>
    <row r="332" spans="1:10" x14ac:dyDescent="0.25">
      <c r="A332" s="73" t="s">
        <v>1654</v>
      </c>
      <c r="B332" s="74" t="s">
        <v>172</v>
      </c>
      <c r="C332" s="74" t="s">
        <v>173</v>
      </c>
      <c r="D332" s="74" t="s">
        <v>1657</v>
      </c>
      <c r="E332" s="74" t="s">
        <v>1588</v>
      </c>
      <c r="F332" s="74" t="s">
        <v>97</v>
      </c>
      <c r="G332" s="75" t="s">
        <v>2942</v>
      </c>
      <c r="H332" s="74" t="s">
        <v>1657</v>
      </c>
      <c r="I332" s="72">
        <f>'02_Work_Items'!Q332</f>
      </c>
      <c r="J332" s="71" t="s">
        <v>46</v>
      </c>
    </row>
    <row r="333" spans="1:10" x14ac:dyDescent="0.25">
      <c r="A333" s="70" t="s">
        <v>1658</v>
      </c>
      <c r="B333" s="71" t="s">
        <v>172</v>
      </c>
      <c r="C333" s="71" t="s">
        <v>173</v>
      </c>
      <c r="D333" s="71" t="s">
        <v>1661</v>
      </c>
      <c r="E333" s="71" t="s">
        <v>1588</v>
      </c>
      <c r="F333" s="71" t="s">
        <v>97</v>
      </c>
      <c r="G333" s="72" t="s">
        <v>2942</v>
      </c>
      <c r="H333" s="71" t="s">
        <v>1661</v>
      </c>
      <c r="I333" s="72">
        <f>'02_Work_Items'!Q333</f>
      </c>
      <c r="J333" s="71" t="s">
        <v>46</v>
      </c>
    </row>
    <row r="334" spans="1:10" x14ac:dyDescent="0.25">
      <c r="A334" s="73" t="s">
        <v>1662</v>
      </c>
      <c r="B334" s="74" t="s">
        <v>172</v>
      </c>
      <c r="C334" s="74" t="s">
        <v>173</v>
      </c>
      <c r="D334" s="74" t="s">
        <v>1665</v>
      </c>
      <c r="E334" s="74" t="s">
        <v>1588</v>
      </c>
      <c r="F334" s="74" t="s">
        <v>3034</v>
      </c>
      <c r="G334" s="75" t="s">
        <v>2942</v>
      </c>
      <c r="H334" s="74" t="s">
        <v>1665</v>
      </c>
      <c r="I334" s="72">
        <f>'02_Work_Items'!Q334</f>
      </c>
      <c r="J334" s="71" t="s">
        <v>1666</v>
      </c>
    </row>
    <row r="335" spans="1:10" x14ac:dyDescent="0.25">
      <c r="A335" s="70" t="s">
        <v>1667</v>
      </c>
      <c r="B335" s="71" t="s">
        <v>172</v>
      </c>
      <c r="C335" s="71" t="s">
        <v>173</v>
      </c>
      <c r="D335" s="71" t="s">
        <v>1582</v>
      </c>
      <c r="E335" s="71" t="s">
        <v>1588</v>
      </c>
      <c r="F335" s="71" t="s">
        <v>2984</v>
      </c>
      <c r="G335" s="72" t="s">
        <v>2942</v>
      </c>
      <c r="H335" s="71" t="s">
        <v>598</v>
      </c>
      <c r="I335" s="72">
        <f>'02_Work_Items'!Q335</f>
      </c>
      <c r="J335" s="71" t="s">
        <v>46</v>
      </c>
    </row>
    <row r="336" spans="1:10" x14ac:dyDescent="0.25">
      <c r="A336" s="73" t="s">
        <v>1670</v>
      </c>
      <c r="B336" s="74" t="s">
        <v>175</v>
      </c>
      <c r="C336" s="74" t="s">
        <v>174</v>
      </c>
      <c r="D336" s="74" t="s">
        <v>1674</v>
      </c>
      <c r="E336" s="74" t="s">
        <v>1675</v>
      </c>
      <c r="F336" s="74" t="s">
        <v>97</v>
      </c>
      <c r="G336" s="75" t="s">
        <v>2942</v>
      </c>
      <c r="H336" s="74" t="s">
        <v>1674</v>
      </c>
      <c r="I336" s="72">
        <f>'02_Work_Items'!Q336</f>
      </c>
      <c r="J336" s="71" t="s">
        <v>46</v>
      </c>
    </row>
    <row r="337" spans="1:10" x14ac:dyDescent="0.25">
      <c r="A337" s="70" t="s">
        <v>1677</v>
      </c>
      <c r="B337" s="71" t="s">
        <v>175</v>
      </c>
      <c r="C337" s="71" t="s">
        <v>174</v>
      </c>
      <c r="D337" s="71" t="s">
        <v>1680</v>
      </c>
      <c r="E337" s="71" t="s">
        <v>1675</v>
      </c>
      <c r="F337" s="71" t="s">
        <v>2979</v>
      </c>
      <c r="G337" s="72" t="s">
        <v>2942</v>
      </c>
      <c r="H337" s="71" t="s">
        <v>1680</v>
      </c>
      <c r="I337" s="72">
        <f>'02_Work_Items'!Q337</f>
      </c>
      <c r="J337" s="71" t="s">
        <v>46</v>
      </c>
    </row>
    <row r="338" spans="1:10" x14ac:dyDescent="0.25">
      <c r="A338" s="73" t="s">
        <v>1681</v>
      </c>
      <c r="B338" s="74" t="s">
        <v>175</v>
      </c>
      <c r="C338" s="74" t="s">
        <v>174</v>
      </c>
      <c r="D338" s="74" t="s">
        <v>1684</v>
      </c>
      <c r="E338" s="74" t="s">
        <v>1675</v>
      </c>
      <c r="F338" s="74" t="s">
        <v>2979</v>
      </c>
      <c r="G338" s="75" t="s">
        <v>2942</v>
      </c>
      <c r="H338" s="74" t="s">
        <v>1684</v>
      </c>
      <c r="I338" s="72">
        <f>'02_Work_Items'!Q338</f>
      </c>
      <c r="J338" s="71" t="s">
        <v>46</v>
      </c>
    </row>
    <row r="339" spans="1:10" x14ac:dyDescent="0.25">
      <c r="A339" s="70" t="s">
        <v>1685</v>
      </c>
      <c r="B339" s="71" t="s">
        <v>175</v>
      </c>
      <c r="C339" s="71" t="s">
        <v>174</v>
      </c>
      <c r="D339" s="71" t="s">
        <v>1688</v>
      </c>
      <c r="E339" s="71" t="s">
        <v>1675</v>
      </c>
      <c r="F339" s="71" t="s">
        <v>2979</v>
      </c>
      <c r="G339" s="72" t="s">
        <v>2942</v>
      </c>
      <c r="H339" s="71" t="s">
        <v>1688</v>
      </c>
      <c r="I339" s="72">
        <f>'02_Work_Items'!Q339</f>
      </c>
      <c r="J339" s="71" t="s">
        <v>46</v>
      </c>
    </row>
    <row r="340" spans="1:10" x14ac:dyDescent="0.25">
      <c r="A340" s="73" t="s">
        <v>1689</v>
      </c>
      <c r="B340" s="74" t="s">
        <v>175</v>
      </c>
      <c r="C340" s="74" t="s">
        <v>174</v>
      </c>
      <c r="D340" s="74" t="s">
        <v>1692</v>
      </c>
      <c r="E340" s="74" t="s">
        <v>1675</v>
      </c>
      <c r="F340" s="74" t="s">
        <v>97</v>
      </c>
      <c r="G340" s="75" t="s">
        <v>2942</v>
      </c>
      <c r="H340" s="74" t="s">
        <v>1692</v>
      </c>
      <c r="I340" s="72">
        <f>'02_Work_Items'!Q340</f>
      </c>
      <c r="J340" s="71" t="s">
        <v>46</v>
      </c>
    </row>
    <row r="341" spans="1:10" x14ac:dyDescent="0.25">
      <c r="A341" s="70" t="s">
        <v>1693</v>
      </c>
      <c r="B341" s="71" t="s">
        <v>175</v>
      </c>
      <c r="C341" s="71" t="s">
        <v>174</v>
      </c>
      <c r="D341" s="71" t="s">
        <v>879</v>
      </c>
      <c r="E341" s="71" t="s">
        <v>1675</v>
      </c>
      <c r="F341" s="71" t="s">
        <v>2984</v>
      </c>
      <c r="G341" s="72" t="s">
        <v>2942</v>
      </c>
      <c r="H341" s="71" t="s">
        <v>879</v>
      </c>
      <c r="I341" s="72">
        <f>'02_Work_Items'!Q341</f>
      </c>
      <c r="J341" s="71" t="s">
        <v>46</v>
      </c>
    </row>
    <row r="342" spans="1:10" x14ac:dyDescent="0.25">
      <c r="A342" s="73" t="s">
        <v>1696</v>
      </c>
      <c r="B342" s="74" t="s">
        <v>175</v>
      </c>
      <c r="C342" s="74" t="s">
        <v>176</v>
      </c>
      <c r="D342" s="74" t="s">
        <v>1700</v>
      </c>
      <c r="E342" s="74" t="s">
        <v>1701</v>
      </c>
      <c r="F342" s="74" t="s">
        <v>2967</v>
      </c>
      <c r="G342" s="75" t="s">
        <v>2942</v>
      </c>
      <c r="H342" s="74" t="s">
        <v>1700</v>
      </c>
      <c r="I342" s="72">
        <f>'02_Work_Items'!Q342</f>
      </c>
      <c r="J342" s="71" t="s">
        <v>46</v>
      </c>
    </row>
    <row r="343" spans="1:10" x14ac:dyDescent="0.25">
      <c r="A343" s="70" t="s">
        <v>1703</v>
      </c>
      <c r="B343" s="71" t="s">
        <v>175</v>
      </c>
      <c r="C343" s="71" t="s">
        <v>176</v>
      </c>
      <c r="D343" s="71" t="s">
        <v>1706</v>
      </c>
      <c r="E343" s="71" t="s">
        <v>1701</v>
      </c>
      <c r="F343" s="71" t="s">
        <v>2953</v>
      </c>
      <c r="G343" s="72" t="s">
        <v>2942</v>
      </c>
      <c r="H343" s="71" t="s">
        <v>3039</v>
      </c>
      <c r="I343" s="72">
        <f>'02_Work_Items'!Q343</f>
      </c>
      <c r="J343" s="71" t="s">
        <v>46</v>
      </c>
    </row>
    <row r="344" spans="1:10" x14ac:dyDescent="0.25">
      <c r="A344" s="73" t="s">
        <v>1707</v>
      </c>
      <c r="B344" s="74" t="s">
        <v>175</v>
      </c>
      <c r="C344" s="74" t="s">
        <v>176</v>
      </c>
      <c r="D344" s="74" t="s">
        <v>1710</v>
      </c>
      <c r="E344" s="74" t="s">
        <v>1701</v>
      </c>
      <c r="F344" s="74" t="s">
        <v>2979</v>
      </c>
      <c r="G344" s="75" t="s">
        <v>2942</v>
      </c>
      <c r="H344" s="74" t="s">
        <v>1710</v>
      </c>
      <c r="I344" s="72">
        <f>'02_Work_Items'!Q344</f>
      </c>
      <c r="J344" s="71" t="s">
        <v>46</v>
      </c>
    </row>
    <row r="345" spans="1:10" x14ac:dyDescent="0.25">
      <c r="A345" s="70" t="s">
        <v>1711</v>
      </c>
      <c r="B345" s="71" t="s">
        <v>175</v>
      </c>
      <c r="C345" s="71" t="s">
        <v>176</v>
      </c>
      <c r="D345" s="71" t="s">
        <v>1714</v>
      </c>
      <c r="E345" s="71" t="s">
        <v>1701</v>
      </c>
      <c r="F345" s="71" t="s">
        <v>2979</v>
      </c>
      <c r="G345" s="72" t="s">
        <v>2942</v>
      </c>
      <c r="H345" s="71" t="s">
        <v>1714</v>
      </c>
      <c r="I345" s="72">
        <f>'02_Work_Items'!Q345</f>
      </c>
      <c r="J345" s="71" t="s">
        <v>46</v>
      </c>
    </row>
    <row r="346" spans="1:10" x14ac:dyDescent="0.25">
      <c r="A346" s="73" t="s">
        <v>1715</v>
      </c>
      <c r="B346" s="74" t="s">
        <v>175</v>
      </c>
      <c r="C346" s="74" t="s">
        <v>176</v>
      </c>
      <c r="D346" s="74" t="s">
        <v>1718</v>
      </c>
      <c r="E346" s="74" t="s">
        <v>1701</v>
      </c>
      <c r="F346" s="74" t="s">
        <v>2979</v>
      </c>
      <c r="G346" s="75" t="s">
        <v>2942</v>
      </c>
      <c r="H346" s="74" t="s">
        <v>1718</v>
      </c>
      <c r="I346" s="72">
        <f>'02_Work_Items'!Q346</f>
      </c>
      <c r="J346" s="71" t="s">
        <v>46</v>
      </c>
    </row>
    <row r="347" spans="1:10" x14ac:dyDescent="0.25">
      <c r="A347" s="70" t="s">
        <v>1719</v>
      </c>
      <c r="B347" s="71" t="s">
        <v>175</v>
      </c>
      <c r="C347" s="71" t="s">
        <v>176</v>
      </c>
      <c r="D347" s="71" t="s">
        <v>1722</v>
      </c>
      <c r="E347" s="71" t="s">
        <v>1701</v>
      </c>
      <c r="F347" s="71" t="s">
        <v>2979</v>
      </c>
      <c r="G347" s="72" t="s">
        <v>2942</v>
      </c>
      <c r="H347" s="71" t="s">
        <v>1722</v>
      </c>
      <c r="I347" s="72">
        <f>'02_Work_Items'!Q347</f>
      </c>
      <c r="J347" s="71" t="s">
        <v>46</v>
      </c>
    </row>
    <row r="348" spans="1:10" x14ac:dyDescent="0.25">
      <c r="A348" s="73" t="s">
        <v>1723</v>
      </c>
      <c r="B348" s="74" t="s">
        <v>175</v>
      </c>
      <c r="C348" s="74" t="s">
        <v>176</v>
      </c>
      <c r="D348" s="74" t="s">
        <v>1726</v>
      </c>
      <c r="E348" s="74" t="s">
        <v>1701</v>
      </c>
      <c r="F348" s="74" t="s">
        <v>2979</v>
      </c>
      <c r="G348" s="75" t="s">
        <v>2942</v>
      </c>
      <c r="H348" s="74" t="s">
        <v>1726</v>
      </c>
      <c r="I348" s="72">
        <f>'02_Work_Items'!Q348</f>
      </c>
      <c r="J348" s="71" t="s">
        <v>46</v>
      </c>
    </row>
    <row r="349" spans="1:10" x14ac:dyDescent="0.25">
      <c r="A349" s="70" t="s">
        <v>1727</v>
      </c>
      <c r="B349" s="71" t="s">
        <v>175</v>
      </c>
      <c r="C349" s="71" t="s">
        <v>176</v>
      </c>
      <c r="D349" s="71" t="s">
        <v>1730</v>
      </c>
      <c r="E349" s="71" t="s">
        <v>1701</v>
      </c>
      <c r="F349" s="71" t="s">
        <v>2979</v>
      </c>
      <c r="G349" s="72" t="s">
        <v>2942</v>
      </c>
      <c r="H349" s="71" t="s">
        <v>1730</v>
      </c>
      <c r="I349" s="72">
        <f>'02_Work_Items'!Q349</f>
      </c>
      <c r="J349" s="71" t="s">
        <v>46</v>
      </c>
    </row>
    <row r="350" spans="1:10" x14ac:dyDescent="0.25">
      <c r="A350" s="73" t="s">
        <v>1731</v>
      </c>
      <c r="B350" s="74" t="s">
        <v>175</v>
      </c>
      <c r="C350" s="74" t="s">
        <v>176</v>
      </c>
      <c r="D350" s="74" t="s">
        <v>1734</v>
      </c>
      <c r="E350" s="74" t="s">
        <v>1701</v>
      </c>
      <c r="F350" s="74" t="s">
        <v>2979</v>
      </c>
      <c r="G350" s="75" t="s">
        <v>2942</v>
      </c>
      <c r="H350" s="74" t="s">
        <v>1734</v>
      </c>
      <c r="I350" s="72">
        <f>'02_Work_Items'!Q350</f>
      </c>
      <c r="J350" s="71" t="s">
        <v>46</v>
      </c>
    </row>
    <row r="351" spans="1:10" x14ac:dyDescent="0.25">
      <c r="A351" s="70" t="s">
        <v>1735</v>
      </c>
      <c r="B351" s="71" t="s">
        <v>175</v>
      </c>
      <c r="C351" s="71" t="s">
        <v>176</v>
      </c>
      <c r="D351" s="71" t="s">
        <v>1738</v>
      </c>
      <c r="E351" s="71" t="s">
        <v>1701</v>
      </c>
      <c r="F351" s="71" t="s">
        <v>2953</v>
      </c>
      <c r="G351" s="72" t="s">
        <v>2942</v>
      </c>
      <c r="H351" s="71" t="s">
        <v>1738</v>
      </c>
      <c r="I351" s="72">
        <f>'02_Work_Items'!Q351</f>
      </c>
      <c r="J351" s="71" t="s">
        <v>46</v>
      </c>
    </row>
    <row r="352" spans="1:10" x14ac:dyDescent="0.25">
      <c r="A352" s="73" t="s">
        <v>1739</v>
      </c>
      <c r="B352" s="74" t="s">
        <v>175</v>
      </c>
      <c r="C352" s="74" t="s">
        <v>176</v>
      </c>
      <c r="D352" s="74" t="s">
        <v>1742</v>
      </c>
      <c r="E352" s="74" t="s">
        <v>1701</v>
      </c>
      <c r="F352" s="74" t="s">
        <v>2984</v>
      </c>
      <c r="G352" s="75" t="s">
        <v>2942</v>
      </c>
      <c r="H352" s="74" t="s">
        <v>598</v>
      </c>
      <c r="I352" s="72">
        <f>'02_Work_Items'!Q352</f>
      </c>
      <c r="J352" s="71" t="s">
        <v>46</v>
      </c>
    </row>
    <row r="353" spans="1:10" x14ac:dyDescent="0.25">
      <c r="A353" s="70" t="s">
        <v>1743</v>
      </c>
      <c r="B353" s="71" t="s">
        <v>175</v>
      </c>
      <c r="C353" s="71" t="s">
        <v>177</v>
      </c>
      <c r="D353" s="71" t="s">
        <v>1747</v>
      </c>
      <c r="E353" s="71" t="s">
        <v>1748</v>
      </c>
      <c r="F353" s="71" t="s">
        <v>3002</v>
      </c>
      <c r="G353" s="72" t="s">
        <v>2942</v>
      </c>
      <c r="H353" s="71" t="s">
        <v>1747</v>
      </c>
      <c r="I353" s="72">
        <f>'02_Work_Items'!Q353</f>
      </c>
      <c r="J353" s="71" t="s">
        <v>46</v>
      </c>
    </row>
    <row r="354" spans="1:10" x14ac:dyDescent="0.25">
      <c r="A354" s="73" t="s">
        <v>1750</v>
      </c>
      <c r="B354" s="74" t="s">
        <v>175</v>
      </c>
      <c r="C354" s="74" t="s">
        <v>177</v>
      </c>
      <c r="D354" s="74" t="s">
        <v>1753</v>
      </c>
      <c r="E354" s="74" t="s">
        <v>1748</v>
      </c>
      <c r="F354" s="74" t="s">
        <v>3040</v>
      </c>
      <c r="G354" s="75" t="s">
        <v>2942</v>
      </c>
      <c r="H354" s="74" t="s">
        <v>3041</v>
      </c>
      <c r="I354" s="72">
        <f>'02_Work_Items'!Q354</f>
      </c>
      <c r="J354" s="71" t="s">
        <v>46</v>
      </c>
    </row>
    <row r="355" spans="1:10" x14ac:dyDescent="0.25">
      <c r="A355" s="70" t="s">
        <v>1754</v>
      </c>
      <c r="B355" s="71" t="s">
        <v>175</v>
      </c>
      <c r="C355" s="71" t="s">
        <v>177</v>
      </c>
      <c r="D355" s="71" t="s">
        <v>1757</v>
      </c>
      <c r="E355" s="71" t="s">
        <v>1748</v>
      </c>
      <c r="F355" s="71" t="s">
        <v>3040</v>
      </c>
      <c r="G355" s="72" t="s">
        <v>2942</v>
      </c>
      <c r="H355" s="71" t="s">
        <v>1757</v>
      </c>
      <c r="I355" s="72">
        <f>'02_Work_Items'!Q355</f>
      </c>
      <c r="J355" s="71" t="s">
        <v>46</v>
      </c>
    </row>
    <row r="356" spans="1:10" x14ac:dyDescent="0.25">
      <c r="A356" s="73" t="s">
        <v>1758</v>
      </c>
      <c r="B356" s="74" t="s">
        <v>175</v>
      </c>
      <c r="C356" s="74" t="s">
        <v>177</v>
      </c>
      <c r="D356" s="74" t="s">
        <v>1761</v>
      </c>
      <c r="E356" s="74" t="s">
        <v>1748</v>
      </c>
      <c r="F356" s="74" t="s">
        <v>2979</v>
      </c>
      <c r="G356" s="75" t="s">
        <v>2942</v>
      </c>
      <c r="H356" s="74" t="s">
        <v>1761</v>
      </c>
      <c r="I356" s="72">
        <f>'02_Work_Items'!Q356</f>
      </c>
      <c r="J356" s="71" t="s">
        <v>46</v>
      </c>
    </row>
    <row r="357" spans="1:10" x14ac:dyDescent="0.25">
      <c r="A357" s="70" t="s">
        <v>1762</v>
      </c>
      <c r="B357" s="71" t="s">
        <v>175</v>
      </c>
      <c r="C357" s="71" t="s">
        <v>177</v>
      </c>
      <c r="D357" s="71" t="s">
        <v>1765</v>
      </c>
      <c r="E357" s="71" t="s">
        <v>1748</v>
      </c>
      <c r="F357" s="71" t="s">
        <v>2979</v>
      </c>
      <c r="G357" s="72" t="s">
        <v>2942</v>
      </c>
      <c r="H357" s="71" t="s">
        <v>3042</v>
      </c>
      <c r="I357" s="72">
        <f>'02_Work_Items'!Q357</f>
      </c>
      <c r="J357" s="71" t="s">
        <v>46</v>
      </c>
    </row>
    <row r="358" spans="1:10" x14ac:dyDescent="0.25">
      <c r="A358" s="73" t="s">
        <v>1766</v>
      </c>
      <c r="B358" s="74" t="s">
        <v>175</v>
      </c>
      <c r="C358" s="74" t="s">
        <v>177</v>
      </c>
      <c r="D358" s="74" t="s">
        <v>1769</v>
      </c>
      <c r="E358" s="74" t="s">
        <v>1748</v>
      </c>
      <c r="F358" s="74" t="s">
        <v>2950</v>
      </c>
      <c r="G358" s="75" t="s">
        <v>2942</v>
      </c>
      <c r="H358" s="74" t="s">
        <v>1769</v>
      </c>
      <c r="I358" s="72">
        <f>'02_Work_Items'!Q358</f>
      </c>
      <c r="J358" s="71" t="s">
        <v>46</v>
      </c>
    </row>
    <row r="359" spans="1:10" x14ac:dyDescent="0.25">
      <c r="A359" s="70" t="s">
        <v>1770</v>
      </c>
      <c r="B359" s="71" t="s">
        <v>175</v>
      </c>
      <c r="C359" s="71" t="s">
        <v>177</v>
      </c>
      <c r="D359" s="71" t="s">
        <v>1773</v>
      </c>
      <c r="E359" s="71" t="s">
        <v>1748</v>
      </c>
      <c r="F359" s="71" t="s">
        <v>97</v>
      </c>
      <c r="G359" s="72" t="s">
        <v>2942</v>
      </c>
      <c r="H359" s="71" t="s">
        <v>1773</v>
      </c>
      <c r="I359" s="72">
        <f>'02_Work_Items'!Q359</f>
      </c>
      <c r="J359" s="71" t="s">
        <v>46</v>
      </c>
    </row>
    <row r="360" spans="1:10" x14ac:dyDescent="0.25">
      <c r="A360" s="73" t="s">
        <v>1774</v>
      </c>
      <c r="B360" s="74" t="s">
        <v>175</v>
      </c>
      <c r="C360" s="74" t="s">
        <v>177</v>
      </c>
      <c r="D360" s="74" t="s">
        <v>1777</v>
      </c>
      <c r="E360" s="74" t="s">
        <v>1778</v>
      </c>
      <c r="F360" s="74" t="s">
        <v>97</v>
      </c>
      <c r="G360" s="75" t="s">
        <v>2942</v>
      </c>
      <c r="H360" s="74" t="s">
        <v>1777</v>
      </c>
      <c r="I360" s="72">
        <f>'02_Work_Items'!Q360</f>
      </c>
      <c r="J360" s="71" t="s">
        <v>46</v>
      </c>
    </row>
    <row r="361" spans="1:10" x14ac:dyDescent="0.25">
      <c r="A361" s="70" t="s">
        <v>1779</v>
      </c>
      <c r="B361" s="71" t="s">
        <v>175</v>
      </c>
      <c r="C361" s="71" t="s">
        <v>177</v>
      </c>
      <c r="D361" s="71" t="s">
        <v>1782</v>
      </c>
      <c r="E361" s="71" t="s">
        <v>1748</v>
      </c>
      <c r="F361" s="71" t="s">
        <v>97</v>
      </c>
      <c r="G361" s="72" t="s">
        <v>2942</v>
      </c>
      <c r="H361" s="71" t="s">
        <v>3043</v>
      </c>
      <c r="I361" s="72">
        <f>'02_Work_Items'!Q361</f>
      </c>
      <c r="J361" s="71" t="s">
        <v>46</v>
      </c>
    </row>
    <row r="362" spans="1:10" x14ac:dyDescent="0.25">
      <c r="A362" s="73" t="s">
        <v>1783</v>
      </c>
      <c r="B362" s="74" t="s">
        <v>175</v>
      </c>
      <c r="C362" s="74" t="s">
        <v>177</v>
      </c>
      <c r="D362" s="74" t="s">
        <v>1786</v>
      </c>
      <c r="E362" s="74" t="s">
        <v>1748</v>
      </c>
      <c r="F362" s="74" t="s">
        <v>2984</v>
      </c>
      <c r="G362" s="75" t="s">
        <v>2942</v>
      </c>
      <c r="H362" s="74" t="s">
        <v>1786</v>
      </c>
      <c r="I362" s="72">
        <f>'02_Work_Items'!Q362</f>
      </c>
      <c r="J362" s="71" t="s">
        <v>46</v>
      </c>
    </row>
    <row r="363" spans="1:10" x14ac:dyDescent="0.25">
      <c r="A363" s="70" t="s">
        <v>1787</v>
      </c>
      <c r="B363" s="71" t="s">
        <v>179</v>
      </c>
      <c r="C363" s="71" t="s">
        <v>178</v>
      </c>
      <c r="D363" s="71" t="s">
        <v>1792</v>
      </c>
      <c r="E363" s="71" t="s">
        <v>1793</v>
      </c>
      <c r="F363" s="71" t="s">
        <v>2953</v>
      </c>
      <c r="G363" s="72" t="s">
        <v>2942</v>
      </c>
      <c r="H363" s="71" t="s">
        <v>1792</v>
      </c>
      <c r="I363" s="72">
        <f>'02_Work_Items'!Q363</f>
      </c>
      <c r="J363" s="71" t="s">
        <v>46</v>
      </c>
    </row>
    <row r="364" spans="1:10" x14ac:dyDescent="0.25">
      <c r="A364" s="73" t="s">
        <v>1794</v>
      </c>
      <c r="B364" s="74" t="s">
        <v>179</v>
      </c>
      <c r="C364" s="74" t="s">
        <v>178</v>
      </c>
      <c r="D364" s="74" t="s">
        <v>1797</v>
      </c>
      <c r="E364" s="74" t="s">
        <v>1793</v>
      </c>
      <c r="F364" s="74" t="s">
        <v>3044</v>
      </c>
      <c r="G364" s="75" t="s">
        <v>2942</v>
      </c>
      <c r="H364" s="74" t="s">
        <v>3045</v>
      </c>
      <c r="I364" s="72">
        <f>'02_Work_Items'!Q364</f>
      </c>
      <c r="J364" s="71" t="s">
        <v>46</v>
      </c>
    </row>
    <row r="365" spans="1:10" x14ac:dyDescent="0.25">
      <c r="A365" s="70" t="s">
        <v>1798</v>
      </c>
      <c r="B365" s="71" t="s">
        <v>179</v>
      </c>
      <c r="C365" s="71" t="s">
        <v>178</v>
      </c>
      <c r="D365" s="71" t="s">
        <v>1801</v>
      </c>
      <c r="E365" s="71" t="s">
        <v>1793</v>
      </c>
      <c r="F365" s="71" t="s">
        <v>3044</v>
      </c>
      <c r="G365" s="72" t="s">
        <v>2942</v>
      </c>
      <c r="H365" s="71" t="s">
        <v>1801</v>
      </c>
      <c r="I365" s="72">
        <f>'02_Work_Items'!Q365</f>
      </c>
      <c r="J365" s="71" t="s">
        <v>46</v>
      </c>
    </row>
    <row r="366" spans="1:10" x14ac:dyDescent="0.25">
      <c r="A366" s="73" t="s">
        <v>1802</v>
      </c>
      <c r="B366" s="74" t="s">
        <v>179</v>
      </c>
      <c r="C366" s="74" t="s">
        <v>178</v>
      </c>
      <c r="D366" s="74" t="s">
        <v>1805</v>
      </c>
      <c r="E366" s="74" t="s">
        <v>1793</v>
      </c>
      <c r="F366" s="74" t="s">
        <v>3044</v>
      </c>
      <c r="G366" s="75" t="s">
        <v>2942</v>
      </c>
      <c r="H366" s="74" t="s">
        <v>3046</v>
      </c>
      <c r="I366" s="72">
        <f>'02_Work_Items'!Q366</f>
      </c>
      <c r="J366" s="71" t="s">
        <v>46</v>
      </c>
    </row>
    <row r="367" spans="1:10" x14ac:dyDescent="0.25">
      <c r="A367" s="70" t="s">
        <v>1806</v>
      </c>
      <c r="B367" s="71" t="s">
        <v>179</v>
      </c>
      <c r="C367" s="71" t="s">
        <v>178</v>
      </c>
      <c r="D367" s="71" t="s">
        <v>1809</v>
      </c>
      <c r="E367" s="71" t="s">
        <v>1793</v>
      </c>
      <c r="F367" s="71" t="s">
        <v>3044</v>
      </c>
      <c r="G367" s="72" t="s">
        <v>2942</v>
      </c>
      <c r="H367" s="71" t="s">
        <v>3047</v>
      </c>
      <c r="I367" s="72">
        <f>'02_Work_Items'!Q367</f>
      </c>
      <c r="J367" s="71" t="s">
        <v>46</v>
      </c>
    </row>
    <row r="368" spans="1:10" x14ac:dyDescent="0.25">
      <c r="A368" s="73" t="s">
        <v>1810</v>
      </c>
      <c r="B368" s="74" t="s">
        <v>179</v>
      </c>
      <c r="C368" s="74" t="s">
        <v>178</v>
      </c>
      <c r="D368" s="74" t="s">
        <v>1813</v>
      </c>
      <c r="E368" s="74" t="s">
        <v>1793</v>
      </c>
      <c r="F368" s="74" t="s">
        <v>3044</v>
      </c>
      <c r="G368" s="75" t="s">
        <v>2942</v>
      </c>
      <c r="H368" s="74" t="s">
        <v>1813</v>
      </c>
      <c r="I368" s="72">
        <f>'02_Work_Items'!Q368</f>
      </c>
      <c r="J368" s="71" t="s">
        <v>46</v>
      </c>
    </row>
    <row r="369" spans="1:10" x14ac:dyDescent="0.25">
      <c r="A369" s="70" t="s">
        <v>1814</v>
      </c>
      <c r="B369" s="71" t="s">
        <v>179</v>
      </c>
      <c r="C369" s="71" t="s">
        <v>178</v>
      </c>
      <c r="D369" s="71" t="s">
        <v>1817</v>
      </c>
      <c r="E369" s="71" t="s">
        <v>1793</v>
      </c>
      <c r="F369" s="71" t="s">
        <v>3044</v>
      </c>
      <c r="G369" s="72" t="s">
        <v>2942</v>
      </c>
      <c r="H369" s="71" t="s">
        <v>1817</v>
      </c>
      <c r="I369" s="72">
        <f>'02_Work_Items'!Q369</f>
      </c>
      <c r="J369" s="71" t="s">
        <v>46</v>
      </c>
    </row>
    <row r="370" spans="1:10" x14ac:dyDescent="0.25">
      <c r="A370" s="73" t="s">
        <v>1818</v>
      </c>
      <c r="B370" s="74" t="s">
        <v>179</v>
      </c>
      <c r="C370" s="74" t="s">
        <v>178</v>
      </c>
      <c r="D370" s="74" t="s">
        <v>1821</v>
      </c>
      <c r="E370" s="74" t="s">
        <v>1793</v>
      </c>
      <c r="F370" s="74" t="s">
        <v>3044</v>
      </c>
      <c r="G370" s="75" t="s">
        <v>2942</v>
      </c>
      <c r="H370" s="74" t="s">
        <v>3048</v>
      </c>
      <c r="I370" s="72">
        <f>'02_Work_Items'!Q370</f>
      </c>
      <c r="J370" s="71" t="s">
        <v>1822</v>
      </c>
    </row>
    <row r="371" spans="1:10" x14ac:dyDescent="0.25">
      <c r="A371" s="70" t="s">
        <v>1823</v>
      </c>
      <c r="B371" s="71" t="s">
        <v>179</v>
      </c>
      <c r="C371" s="71" t="s">
        <v>178</v>
      </c>
      <c r="D371" s="71" t="s">
        <v>1826</v>
      </c>
      <c r="E371" s="71" t="s">
        <v>1793</v>
      </c>
      <c r="F371" s="71" t="s">
        <v>3044</v>
      </c>
      <c r="G371" s="72" t="s">
        <v>2942</v>
      </c>
      <c r="H371" s="71" t="s">
        <v>1826</v>
      </c>
      <c r="I371" s="72">
        <f>'02_Work_Items'!Q371</f>
      </c>
      <c r="J371" s="71" t="s">
        <v>46</v>
      </c>
    </row>
    <row r="372" spans="1:10" x14ac:dyDescent="0.25">
      <c r="A372" s="73" t="s">
        <v>1827</v>
      </c>
      <c r="B372" s="74" t="s">
        <v>179</v>
      </c>
      <c r="C372" s="74" t="s">
        <v>178</v>
      </c>
      <c r="D372" s="74" t="s">
        <v>1830</v>
      </c>
      <c r="E372" s="74" t="s">
        <v>1793</v>
      </c>
      <c r="F372" s="74" t="s">
        <v>3044</v>
      </c>
      <c r="G372" s="75" t="s">
        <v>2942</v>
      </c>
      <c r="H372" s="74" t="s">
        <v>3049</v>
      </c>
      <c r="I372" s="72">
        <f>'02_Work_Items'!Q372</f>
      </c>
      <c r="J372" s="71" t="s">
        <v>46</v>
      </c>
    </row>
    <row r="373" spans="1:10" x14ac:dyDescent="0.25">
      <c r="A373" s="70" t="s">
        <v>1831</v>
      </c>
      <c r="B373" s="71" t="s">
        <v>179</v>
      </c>
      <c r="C373" s="71" t="s">
        <v>178</v>
      </c>
      <c r="D373" s="71" t="s">
        <v>1834</v>
      </c>
      <c r="E373" s="71" t="s">
        <v>1793</v>
      </c>
      <c r="F373" s="71" t="s">
        <v>3044</v>
      </c>
      <c r="G373" s="72" t="s">
        <v>2942</v>
      </c>
      <c r="H373" s="71" t="s">
        <v>3050</v>
      </c>
      <c r="I373" s="72">
        <f>'02_Work_Items'!Q373</f>
      </c>
      <c r="J373" s="71" t="s">
        <v>46</v>
      </c>
    </row>
    <row r="374" spans="1:10" x14ac:dyDescent="0.25">
      <c r="A374" s="73" t="s">
        <v>1835</v>
      </c>
      <c r="B374" s="74" t="s">
        <v>179</v>
      </c>
      <c r="C374" s="74" t="s">
        <v>178</v>
      </c>
      <c r="D374" s="74" t="s">
        <v>1838</v>
      </c>
      <c r="E374" s="74" t="s">
        <v>1793</v>
      </c>
      <c r="F374" s="74" t="s">
        <v>3044</v>
      </c>
      <c r="G374" s="75" t="s">
        <v>2942</v>
      </c>
      <c r="H374" s="74" t="s">
        <v>1838</v>
      </c>
      <c r="I374" s="72">
        <f>'02_Work_Items'!Q374</f>
      </c>
      <c r="J374" s="71" t="s">
        <v>46</v>
      </c>
    </row>
    <row r="375" spans="1:10" x14ac:dyDescent="0.25">
      <c r="A375" s="70" t="s">
        <v>1839</v>
      </c>
      <c r="B375" s="71" t="s">
        <v>179</v>
      </c>
      <c r="C375" s="71" t="s">
        <v>178</v>
      </c>
      <c r="D375" s="71" t="s">
        <v>1842</v>
      </c>
      <c r="E375" s="71" t="s">
        <v>1793</v>
      </c>
      <c r="F375" s="71" t="s">
        <v>3044</v>
      </c>
      <c r="G375" s="72" t="s">
        <v>2942</v>
      </c>
      <c r="H375" s="71" t="s">
        <v>1842</v>
      </c>
      <c r="I375" s="72">
        <f>'02_Work_Items'!Q375</f>
      </c>
      <c r="J375" s="71" t="s">
        <v>46</v>
      </c>
    </row>
    <row r="376" spans="1:10" x14ac:dyDescent="0.25">
      <c r="A376" s="73" t="s">
        <v>1843</v>
      </c>
      <c r="B376" s="74" t="s">
        <v>179</v>
      </c>
      <c r="C376" s="74" t="s">
        <v>178</v>
      </c>
      <c r="D376" s="74" t="s">
        <v>1846</v>
      </c>
      <c r="E376" s="74" t="s">
        <v>1793</v>
      </c>
      <c r="F376" s="74" t="s">
        <v>3044</v>
      </c>
      <c r="G376" s="75" t="s">
        <v>2942</v>
      </c>
      <c r="H376" s="74" t="s">
        <v>1846</v>
      </c>
      <c r="I376" s="72">
        <f>'02_Work_Items'!Q376</f>
      </c>
      <c r="J376" s="71" t="s">
        <v>46</v>
      </c>
    </row>
    <row r="377" spans="1:10" x14ac:dyDescent="0.25">
      <c r="A377" s="70" t="s">
        <v>1847</v>
      </c>
      <c r="B377" s="71" t="s">
        <v>179</v>
      </c>
      <c r="C377" s="71" t="s">
        <v>178</v>
      </c>
      <c r="D377" s="71" t="s">
        <v>1850</v>
      </c>
      <c r="E377" s="71" t="s">
        <v>1793</v>
      </c>
      <c r="F377" s="71" t="s">
        <v>3044</v>
      </c>
      <c r="G377" s="72" t="s">
        <v>2942</v>
      </c>
      <c r="H377" s="71" t="s">
        <v>3051</v>
      </c>
      <c r="I377" s="72">
        <f>'02_Work_Items'!Q377</f>
      </c>
      <c r="J377" s="71" t="s">
        <v>1851</v>
      </c>
    </row>
    <row r="378" spans="1:10" x14ac:dyDescent="0.25">
      <c r="A378" s="73" t="s">
        <v>1852</v>
      </c>
      <c r="B378" s="74" t="s">
        <v>179</v>
      </c>
      <c r="C378" s="74" t="s">
        <v>178</v>
      </c>
      <c r="D378" s="74" t="s">
        <v>1855</v>
      </c>
      <c r="E378" s="74" t="s">
        <v>1793</v>
      </c>
      <c r="F378" s="74" t="s">
        <v>3044</v>
      </c>
      <c r="G378" s="75" t="s">
        <v>2942</v>
      </c>
      <c r="H378" s="74" t="s">
        <v>1855</v>
      </c>
      <c r="I378" s="72">
        <f>'02_Work_Items'!Q378</f>
      </c>
      <c r="J378" s="71" t="s">
        <v>46</v>
      </c>
    </row>
    <row r="379" spans="1:10" x14ac:dyDescent="0.25">
      <c r="A379" s="70" t="s">
        <v>1856</v>
      </c>
      <c r="B379" s="71" t="s">
        <v>179</v>
      </c>
      <c r="C379" s="71" t="s">
        <v>178</v>
      </c>
      <c r="D379" s="71" t="s">
        <v>1859</v>
      </c>
      <c r="E379" s="71" t="s">
        <v>1793</v>
      </c>
      <c r="F379" s="71" t="s">
        <v>2984</v>
      </c>
      <c r="G379" s="72" t="s">
        <v>2942</v>
      </c>
      <c r="H379" s="71" t="s">
        <v>1859</v>
      </c>
      <c r="I379" s="72">
        <f>'02_Work_Items'!Q379</f>
      </c>
      <c r="J379" s="71" t="s">
        <v>46</v>
      </c>
    </row>
    <row r="380" spans="1:10" x14ac:dyDescent="0.25">
      <c r="A380" s="73" t="s">
        <v>1860</v>
      </c>
      <c r="B380" s="74" t="s">
        <v>179</v>
      </c>
      <c r="C380" s="74" t="s">
        <v>180</v>
      </c>
      <c r="D380" s="74" t="s">
        <v>1864</v>
      </c>
      <c r="E380" s="74" t="s">
        <v>1865</v>
      </c>
      <c r="F380" s="74" t="s">
        <v>2979</v>
      </c>
      <c r="G380" s="75" t="s">
        <v>2942</v>
      </c>
      <c r="H380" s="74" t="s">
        <v>1864</v>
      </c>
      <c r="I380" s="72">
        <f>'02_Work_Items'!Q380</f>
      </c>
      <c r="J380" s="71" t="s">
        <v>46</v>
      </c>
    </row>
    <row r="381" spans="1:10" x14ac:dyDescent="0.25">
      <c r="A381" s="70" t="s">
        <v>1867</v>
      </c>
      <c r="B381" s="71" t="s">
        <v>179</v>
      </c>
      <c r="C381" s="71" t="s">
        <v>180</v>
      </c>
      <c r="D381" s="71" t="s">
        <v>1871</v>
      </c>
      <c r="E381" s="71" t="s">
        <v>1865</v>
      </c>
      <c r="F381" s="71" t="s">
        <v>2979</v>
      </c>
      <c r="G381" s="72" t="s">
        <v>2942</v>
      </c>
      <c r="H381" s="71" t="s">
        <v>1871</v>
      </c>
      <c r="I381" s="72">
        <f>'02_Work_Items'!Q381</f>
      </c>
      <c r="J381" s="71" t="s">
        <v>46</v>
      </c>
    </row>
    <row r="382" spans="1:10" x14ac:dyDescent="0.25">
      <c r="A382" s="73" t="s">
        <v>1872</v>
      </c>
      <c r="B382" s="74" t="s">
        <v>179</v>
      </c>
      <c r="C382" s="74" t="s">
        <v>180</v>
      </c>
      <c r="D382" s="74" t="s">
        <v>1875</v>
      </c>
      <c r="E382" s="74" t="s">
        <v>1865</v>
      </c>
      <c r="F382" s="74" t="s">
        <v>2979</v>
      </c>
      <c r="G382" s="75" t="s">
        <v>2942</v>
      </c>
      <c r="H382" s="74" t="s">
        <v>1875</v>
      </c>
      <c r="I382" s="72">
        <f>'02_Work_Items'!Q382</f>
      </c>
      <c r="J382" s="71" t="s">
        <v>46</v>
      </c>
    </row>
    <row r="383" spans="1:10" x14ac:dyDescent="0.25">
      <c r="A383" s="70" t="s">
        <v>1876</v>
      </c>
      <c r="B383" s="71" t="s">
        <v>179</v>
      </c>
      <c r="C383" s="71" t="s">
        <v>180</v>
      </c>
      <c r="D383" s="71" t="s">
        <v>1879</v>
      </c>
      <c r="E383" s="71" t="s">
        <v>1865</v>
      </c>
      <c r="F383" s="71" t="s">
        <v>2979</v>
      </c>
      <c r="G383" s="72" t="s">
        <v>2942</v>
      </c>
      <c r="H383" s="71" t="s">
        <v>1879</v>
      </c>
      <c r="I383" s="72">
        <f>'02_Work_Items'!Q383</f>
      </c>
      <c r="J383" s="71" t="s">
        <v>1880</v>
      </c>
    </row>
    <row r="384" spans="1:10" x14ac:dyDescent="0.25">
      <c r="A384" s="73" t="s">
        <v>1881</v>
      </c>
      <c r="B384" s="74" t="s">
        <v>179</v>
      </c>
      <c r="C384" s="74" t="s">
        <v>180</v>
      </c>
      <c r="D384" s="74" t="s">
        <v>1884</v>
      </c>
      <c r="E384" s="74" t="s">
        <v>1865</v>
      </c>
      <c r="F384" s="74" t="s">
        <v>2979</v>
      </c>
      <c r="G384" s="75" t="s">
        <v>2942</v>
      </c>
      <c r="H384" s="74" t="s">
        <v>1884</v>
      </c>
      <c r="I384" s="72">
        <f>'02_Work_Items'!Q384</f>
      </c>
      <c r="J384" s="71" t="s">
        <v>46</v>
      </c>
    </row>
    <row r="385" spans="1:10" x14ac:dyDescent="0.25">
      <c r="A385" s="70" t="s">
        <v>1885</v>
      </c>
      <c r="B385" s="71" t="s">
        <v>179</v>
      </c>
      <c r="C385" s="71" t="s">
        <v>180</v>
      </c>
      <c r="D385" s="71" t="s">
        <v>1888</v>
      </c>
      <c r="E385" s="71" t="s">
        <v>1865</v>
      </c>
      <c r="F385" s="71" t="s">
        <v>3044</v>
      </c>
      <c r="G385" s="72" t="s">
        <v>2942</v>
      </c>
      <c r="H385" s="71" t="s">
        <v>1888</v>
      </c>
      <c r="I385" s="72">
        <f>'02_Work_Items'!Q385</f>
      </c>
      <c r="J385" s="71" t="s">
        <v>46</v>
      </c>
    </row>
    <row r="386" spans="1:10" x14ac:dyDescent="0.25">
      <c r="A386" s="73" t="s">
        <v>1889</v>
      </c>
      <c r="B386" s="74" t="s">
        <v>179</v>
      </c>
      <c r="C386" s="74" t="s">
        <v>180</v>
      </c>
      <c r="D386" s="74" t="s">
        <v>1892</v>
      </c>
      <c r="E386" s="74" t="s">
        <v>1865</v>
      </c>
      <c r="F386" s="74" t="s">
        <v>2979</v>
      </c>
      <c r="G386" s="75" t="s">
        <v>2942</v>
      </c>
      <c r="H386" s="74" t="s">
        <v>3052</v>
      </c>
      <c r="I386" s="72">
        <f>'02_Work_Items'!Q386</f>
      </c>
      <c r="J386" s="71" t="s">
        <v>46</v>
      </c>
    </row>
    <row r="387" spans="1:10" x14ac:dyDescent="0.25">
      <c r="A387" s="70" t="s">
        <v>1893</v>
      </c>
      <c r="B387" s="71" t="s">
        <v>179</v>
      </c>
      <c r="C387" s="71" t="s">
        <v>180</v>
      </c>
      <c r="D387" s="71" t="s">
        <v>1896</v>
      </c>
      <c r="E387" s="71" t="s">
        <v>1865</v>
      </c>
      <c r="F387" s="71" t="s">
        <v>2979</v>
      </c>
      <c r="G387" s="72" t="s">
        <v>2942</v>
      </c>
      <c r="H387" s="71" t="s">
        <v>3053</v>
      </c>
      <c r="I387" s="72">
        <f>'02_Work_Items'!Q387</f>
      </c>
      <c r="J387" s="71" t="s">
        <v>46</v>
      </c>
    </row>
    <row r="388" spans="1:10" x14ac:dyDescent="0.25">
      <c r="A388" s="73" t="s">
        <v>1897</v>
      </c>
      <c r="B388" s="74" t="s">
        <v>179</v>
      </c>
      <c r="C388" s="74" t="s">
        <v>180</v>
      </c>
      <c r="D388" s="74" t="s">
        <v>1900</v>
      </c>
      <c r="E388" s="74" t="s">
        <v>1865</v>
      </c>
      <c r="F388" s="74" t="s">
        <v>2979</v>
      </c>
      <c r="G388" s="75" t="s">
        <v>2942</v>
      </c>
      <c r="H388" s="74" t="s">
        <v>1900</v>
      </c>
      <c r="I388" s="72">
        <f>'02_Work_Items'!Q388</f>
      </c>
      <c r="J388" s="71" t="s">
        <v>46</v>
      </c>
    </row>
    <row r="389" spans="1:10" x14ac:dyDescent="0.25">
      <c r="A389" s="70" t="s">
        <v>1901</v>
      </c>
      <c r="B389" s="71" t="s">
        <v>179</v>
      </c>
      <c r="C389" s="71" t="s">
        <v>180</v>
      </c>
      <c r="D389" s="71" t="s">
        <v>1904</v>
      </c>
      <c r="E389" s="71" t="s">
        <v>1865</v>
      </c>
      <c r="F389" s="71" t="s">
        <v>2979</v>
      </c>
      <c r="G389" s="72" t="s">
        <v>2942</v>
      </c>
      <c r="H389" s="71" t="s">
        <v>1904</v>
      </c>
      <c r="I389" s="72">
        <f>'02_Work_Items'!Q389</f>
      </c>
      <c r="J389" s="71" t="s">
        <v>46</v>
      </c>
    </row>
    <row r="390" spans="1:10" x14ac:dyDescent="0.25">
      <c r="A390" s="73" t="s">
        <v>1905</v>
      </c>
      <c r="B390" s="74" t="s">
        <v>179</v>
      </c>
      <c r="C390" s="74" t="s">
        <v>180</v>
      </c>
      <c r="D390" s="74" t="s">
        <v>1908</v>
      </c>
      <c r="E390" s="74" t="s">
        <v>1865</v>
      </c>
      <c r="F390" s="74" t="s">
        <v>2979</v>
      </c>
      <c r="G390" s="75" t="s">
        <v>2942</v>
      </c>
      <c r="H390" s="74" t="s">
        <v>1908</v>
      </c>
      <c r="I390" s="72">
        <f>'02_Work_Items'!Q390</f>
      </c>
      <c r="J390" s="71" t="s">
        <v>46</v>
      </c>
    </row>
    <row r="391" spans="1:10" x14ac:dyDescent="0.25">
      <c r="A391" s="70" t="s">
        <v>1909</v>
      </c>
      <c r="B391" s="71" t="s">
        <v>179</v>
      </c>
      <c r="C391" s="71" t="s">
        <v>180</v>
      </c>
      <c r="D391" s="71" t="s">
        <v>1912</v>
      </c>
      <c r="E391" s="71" t="s">
        <v>1865</v>
      </c>
      <c r="F391" s="71" t="s">
        <v>2979</v>
      </c>
      <c r="G391" s="72" t="s">
        <v>2942</v>
      </c>
      <c r="H391" s="71" t="s">
        <v>1912</v>
      </c>
      <c r="I391" s="72">
        <f>'02_Work_Items'!Q391</f>
      </c>
      <c r="J391" s="71" t="s">
        <v>46</v>
      </c>
    </row>
    <row r="392" spans="1:10" x14ac:dyDescent="0.25">
      <c r="A392" s="73" t="s">
        <v>1913</v>
      </c>
      <c r="B392" s="74" t="s">
        <v>179</v>
      </c>
      <c r="C392" s="74" t="s">
        <v>180</v>
      </c>
      <c r="D392" s="74" t="s">
        <v>1916</v>
      </c>
      <c r="E392" s="74" t="s">
        <v>1865</v>
      </c>
      <c r="F392" s="74" t="s">
        <v>2984</v>
      </c>
      <c r="G392" s="75" t="s">
        <v>2942</v>
      </c>
      <c r="H392" s="74" t="s">
        <v>598</v>
      </c>
      <c r="I392" s="72">
        <f>'02_Work_Items'!Q392</f>
      </c>
      <c r="J392" s="71" t="s">
        <v>46</v>
      </c>
    </row>
    <row r="393" spans="1:10" x14ac:dyDescent="0.25">
      <c r="A393" s="70" t="s">
        <v>1917</v>
      </c>
      <c r="B393" s="71" t="s">
        <v>179</v>
      </c>
      <c r="C393" s="71" t="s">
        <v>181</v>
      </c>
      <c r="D393" s="71" t="s">
        <v>1921</v>
      </c>
      <c r="E393" s="71" t="s">
        <v>1922</v>
      </c>
      <c r="F393" s="71" t="s">
        <v>2979</v>
      </c>
      <c r="G393" s="72" t="s">
        <v>2942</v>
      </c>
      <c r="H393" s="71" t="s">
        <v>1921</v>
      </c>
      <c r="I393" s="72">
        <f>'02_Work_Items'!Q393</f>
      </c>
      <c r="J393" s="71" t="s">
        <v>46</v>
      </c>
    </row>
    <row r="394" spans="1:10" x14ac:dyDescent="0.25">
      <c r="A394" s="73" t="s">
        <v>1924</v>
      </c>
      <c r="B394" s="74" t="s">
        <v>179</v>
      </c>
      <c r="C394" s="74" t="s">
        <v>181</v>
      </c>
      <c r="D394" s="74" t="s">
        <v>1927</v>
      </c>
      <c r="E394" s="74" t="s">
        <v>1922</v>
      </c>
      <c r="F394" s="74" t="s">
        <v>2979</v>
      </c>
      <c r="G394" s="75" t="s">
        <v>2942</v>
      </c>
      <c r="H394" s="74" t="s">
        <v>1927</v>
      </c>
      <c r="I394" s="72">
        <f>'02_Work_Items'!Q394</f>
      </c>
      <c r="J394" s="71" t="s">
        <v>46</v>
      </c>
    </row>
    <row r="395" spans="1:10" x14ac:dyDescent="0.25">
      <c r="A395" s="70" t="s">
        <v>1928</v>
      </c>
      <c r="B395" s="71" t="s">
        <v>179</v>
      </c>
      <c r="C395" s="71" t="s">
        <v>181</v>
      </c>
      <c r="D395" s="71" t="s">
        <v>1931</v>
      </c>
      <c r="E395" s="71" t="s">
        <v>1922</v>
      </c>
      <c r="F395" s="71" t="s">
        <v>2979</v>
      </c>
      <c r="G395" s="72" t="s">
        <v>2942</v>
      </c>
      <c r="H395" s="71" t="s">
        <v>1931</v>
      </c>
      <c r="I395" s="72">
        <f>'02_Work_Items'!Q395</f>
      </c>
      <c r="J395" s="71" t="s">
        <v>46</v>
      </c>
    </row>
    <row r="396" spans="1:10" x14ac:dyDescent="0.25">
      <c r="A396" s="73" t="s">
        <v>1932</v>
      </c>
      <c r="B396" s="74" t="s">
        <v>179</v>
      </c>
      <c r="C396" s="74" t="s">
        <v>181</v>
      </c>
      <c r="D396" s="74" t="s">
        <v>1935</v>
      </c>
      <c r="E396" s="74" t="s">
        <v>1922</v>
      </c>
      <c r="F396" s="74" t="s">
        <v>2979</v>
      </c>
      <c r="G396" s="75" t="s">
        <v>2942</v>
      </c>
      <c r="H396" s="74" t="s">
        <v>1935</v>
      </c>
      <c r="I396" s="72">
        <f>'02_Work_Items'!Q396</f>
      </c>
      <c r="J396" s="71" t="s">
        <v>1936</v>
      </c>
    </row>
    <row r="397" spans="1:10" x14ac:dyDescent="0.25">
      <c r="A397" s="70" t="s">
        <v>1937</v>
      </c>
      <c r="B397" s="71" t="s">
        <v>179</v>
      </c>
      <c r="C397" s="71" t="s">
        <v>181</v>
      </c>
      <c r="D397" s="71" t="s">
        <v>1940</v>
      </c>
      <c r="E397" s="71" t="s">
        <v>1922</v>
      </c>
      <c r="F397" s="71" t="s">
        <v>2979</v>
      </c>
      <c r="G397" s="72" t="s">
        <v>2942</v>
      </c>
      <c r="H397" s="71" t="s">
        <v>1940</v>
      </c>
      <c r="I397" s="72">
        <f>'02_Work_Items'!Q397</f>
      </c>
      <c r="J397" s="71" t="s">
        <v>46</v>
      </c>
    </row>
    <row r="398" spans="1:10" x14ac:dyDescent="0.25">
      <c r="A398" s="73" t="s">
        <v>1941</v>
      </c>
      <c r="B398" s="74" t="s">
        <v>179</v>
      </c>
      <c r="C398" s="74" t="s">
        <v>181</v>
      </c>
      <c r="D398" s="74" t="s">
        <v>1329</v>
      </c>
      <c r="E398" s="74" t="s">
        <v>1922</v>
      </c>
      <c r="F398" s="74" t="s">
        <v>2979</v>
      </c>
      <c r="G398" s="75" t="s">
        <v>2942</v>
      </c>
      <c r="H398" s="74" t="s">
        <v>1329</v>
      </c>
      <c r="I398" s="72">
        <f>'02_Work_Items'!Q398</f>
      </c>
      <c r="J398" s="71" t="s">
        <v>46</v>
      </c>
    </row>
    <row r="399" spans="1:10" x14ac:dyDescent="0.25">
      <c r="A399" s="70" t="s">
        <v>1944</v>
      </c>
      <c r="B399" s="71" t="s">
        <v>179</v>
      </c>
      <c r="C399" s="71" t="s">
        <v>181</v>
      </c>
      <c r="D399" s="71" t="s">
        <v>598</v>
      </c>
      <c r="E399" s="71" t="s">
        <v>1922</v>
      </c>
      <c r="F399" s="71" t="s">
        <v>2984</v>
      </c>
      <c r="G399" s="72" t="s">
        <v>2942</v>
      </c>
      <c r="H399" s="71" t="s">
        <v>598</v>
      </c>
      <c r="I399" s="72">
        <f>'02_Work_Items'!Q399</f>
      </c>
      <c r="J399" s="71" t="s">
        <v>46</v>
      </c>
    </row>
    <row r="400" spans="1:10" x14ac:dyDescent="0.25">
      <c r="A400" s="73" t="s">
        <v>1947</v>
      </c>
      <c r="B400" s="74" t="s">
        <v>179</v>
      </c>
      <c r="C400" s="74" t="s">
        <v>182</v>
      </c>
      <c r="D400" s="74" t="s">
        <v>1951</v>
      </c>
      <c r="E400" s="74" t="s">
        <v>1952</v>
      </c>
      <c r="F400" s="74" t="s">
        <v>2979</v>
      </c>
      <c r="G400" s="75" t="s">
        <v>2942</v>
      </c>
      <c r="H400" s="74" t="s">
        <v>1951</v>
      </c>
      <c r="I400" s="72">
        <f>'02_Work_Items'!Q400</f>
      </c>
      <c r="J400" s="71" t="s">
        <v>46</v>
      </c>
    </row>
    <row r="401" spans="1:10" x14ac:dyDescent="0.25">
      <c r="A401" s="70" t="s">
        <v>1954</v>
      </c>
      <c r="B401" s="71" t="s">
        <v>179</v>
      </c>
      <c r="C401" s="71" t="s">
        <v>182</v>
      </c>
      <c r="D401" s="71" t="s">
        <v>1957</v>
      </c>
      <c r="E401" s="71" t="s">
        <v>1952</v>
      </c>
      <c r="F401" s="71" t="s">
        <v>2979</v>
      </c>
      <c r="G401" s="72" t="s">
        <v>2942</v>
      </c>
      <c r="H401" s="71" t="s">
        <v>1957</v>
      </c>
      <c r="I401" s="72">
        <f>'02_Work_Items'!Q401</f>
      </c>
      <c r="J401" s="71" t="s">
        <v>46</v>
      </c>
    </row>
    <row r="402" spans="1:10" x14ac:dyDescent="0.25">
      <c r="A402" s="73" t="s">
        <v>1958</v>
      </c>
      <c r="B402" s="74" t="s">
        <v>179</v>
      </c>
      <c r="C402" s="74" t="s">
        <v>182</v>
      </c>
      <c r="D402" s="74" t="s">
        <v>1961</v>
      </c>
      <c r="E402" s="74" t="s">
        <v>1952</v>
      </c>
      <c r="F402" s="74" t="s">
        <v>2979</v>
      </c>
      <c r="G402" s="75" t="s">
        <v>2942</v>
      </c>
      <c r="H402" s="74" t="s">
        <v>1961</v>
      </c>
      <c r="I402" s="72">
        <f>'02_Work_Items'!Q402</f>
      </c>
      <c r="J402" s="71" t="s">
        <v>46</v>
      </c>
    </row>
    <row r="403" spans="1:10" x14ac:dyDescent="0.25">
      <c r="A403" s="70" t="s">
        <v>1962</v>
      </c>
      <c r="B403" s="71" t="s">
        <v>179</v>
      </c>
      <c r="C403" s="71" t="s">
        <v>182</v>
      </c>
      <c r="D403" s="71" t="s">
        <v>1965</v>
      </c>
      <c r="E403" s="71" t="s">
        <v>1952</v>
      </c>
      <c r="F403" s="71" t="s">
        <v>2979</v>
      </c>
      <c r="G403" s="72" t="s">
        <v>2942</v>
      </c>
      <c r="H403" s="71" t="s">
        <v>1965</v>
      </c>
      <c r="I403" s="72">
        <f>'02_Work_Items'!Q403</f>
      </c>
      <c r="J403" s="71" t="s">
        <v>46</v>
      </c>
    </row>
    <row r="404" spans="1:10" x14ac:dyDescent="0.25">
      <c r="A404" s="73" t="s">
        <v>1966</v>
      </c>
      <c r="B404" s="74" t="s">
        <v>179</v>
      </c>
      <c r="C404" s="74" t="s">
        <v>182</v>
      </c>
      <c r="D404" s="74" t="s">
        <v>1969</v>
      </c>
      <c r="E404" s="74" t="s">
        <v>1952</v>
      </c>
      <c r="F404" s="74" t="s">
        <v>2979</v>
      </c>
      <c r="G404" s="75" t="s">
        <v>2942</v>
      </c>
      <c r="H404" s="74" t="s">
        <v>1969</v>
      </c>
      <c r="I404" s="72">
        <f>'02_Work_Items'!Q404</f>
      </c>
      <c r="J404" s="71" t="s">
        <v>46</v>
      </c>
    </row>
    <row r="405" spans="1:10" x14ac:dyDescent="0.25">
      <c r="A405" s="70" t="s">
        <v>1970</v>
      </c>
      <c r="B405" s="71" t="s">
        <v>179</v>
      </c>
      <c r="C405" s="71" t="s">
        <v>182</v>
      </c>
      <c r="D405" s="71" t="s">
        <v>1973</v>
      </c>
      <c r="E405" s="71" t="s">
        <v>1952</v>
      </c>
      <c r="F405" s="71" t="s">
        <v>2979</v>
      </c>
      <c r="G405" s="72" t="s">
        <v>2942</v>
      </c>
      <c r="H405" s="71" t="s">
        <v>1973</v>
      </c>
      <c r="I405" s="72">
        <f>'02_Work_Items'!Q405</f>
      </c>
      <c r="J405" s="71" t="s">
        <v>46</v>
      </c>
    </row>
    <row r="406" spans="1:10" x14ac:dyDescent="0.25">
      <c r="A406" s="73" t="s">
        <v>1974</v>
      </c>
      <c r="B406" s="74" t="s">
        <v>179</v>
      </c>
      <c r="C406" s="74" t="s">
        <v>182</v>
      </c>
      <c r="D406" s="74" t="s">
        <v>1977</v>
      </c>
      <c r="E406" s="74" t="s">
        <v>1952</v>
      </c>
      <c r="F406" s="74" t="s">
        <v>97</v>
      </c>
      <c r="G406" s="75" t="s">
        <v>2942</v>
      </c>
      <c r="H406" s="74" t="s">
        <v>1977</v>
      </c>
      <c r="I406" s="72">
        <f>'02_Work_Items'!Q406</f>
      </c>
      <c r="J406" s="71" t="s">
        <v>46</v>
      </c>
    </row>
    <row r="407" spans="1:10" x14ac:dyDescent="0.25">
      <c r="A407" s="70" t="s">
        <v>1978</v>
      </c>
      <c r="B407" s="71" t="s">
        <v>179</v>
      </c>
      <c r="C407" s="71" t="s">
        <v>182</v>
      </c>
      <c r="D407" s="71" t="s">
        <v>1981</v>
      </c>
      <c r="E407" s="71" t="s">
        <v>1952</v>
      </c>
      <c r="F407" s="71" t="s">
        <v>2953</v>
      </c>
      <c r="G407" s="72" t="s">
        <v>2942</v>
      </c>
      <c r="H407" s="71" t="s">
        <v>1981</v>
      </c>
      <c r="I407" s="72">
        <f>'02_Work_Items'!Q407</f>
      </c>
      <c r="J407" s="71" t="s">
        <v>46</v>
      </c>
    </row>
    <row r="408" spans="1:10" x14ac:dyDescent="0.25">
      <c r="A408" s="73" t="s">
        <v>1982</v>
      </c>
      <c r="B408" s="74" t="s">
        <v>179</v>
      </c>
      <c r="C408" s="74" t="s">
        <v>182</v>
      </c>
      <c r="D408" s="74" t="s">
        <v>1985</v>
      </c>
      <c r="E408" s="74" t="s">
        <v>1952</v>
      </c>
      <c r="F408" s="74" t="s">
        <v>2979</v>
      </c>
      <c r="G408" s="75" t="s">
        <v>2942</v>
      </c>
      <c r="H408" s="74" t="s">
        <v>1985</v>
      </c>
      <c r="I408" s="72">
        <f>'02_Work_Items'!Q408</f>
      </c>
      <c r="J408" s="71" t="s">
        <v>46</v>
      </c>
    </row>
    <row r="409" spans="1:10" x14ac:dyDescent="0.25">
      <c r="A409" s="70" t="s">
        <v>1986</v>
      </c>
      <c r="B409" s="71" t="s">
        <v>179</v>
      </c>
      <c r="C409" s="71" t="s">
        <v>182</v>
      </c>
      <c r="D409" s="71" t="s">
        <v>1989</v>
      </c>
      <c r="E409" s="71" t="s">
        <v>1952</v>
      </c>
      <c r="F409" s="71" t="s">
        <v>2979</v>
      </c>
      <c r="G409" s="72" t="s">
        <v>2942</v>
      </c>
      <c r="H409" s="71" t="s">
        <v>1989</v>
      </c>
      <c r="I409" s="72">
        <f>'02_Work_Items'!Q409</f>
      </c>
      <c r="J409" s="71" t="s">
        <v>1990</v>
      </c>
    </row>
    <row r="410" spans="1:10" x14ac:dyDescent="0.25">
      <c r="A410" s="73" t="s">
        <v>1991</v>
      </c>
      <c r="B410" s="74" t="s">
        <v>179</v>
      </c>
      <c r="C410" s="74" t="s">
        <v>182</v>
      </c>
      <c r="D410" s="74" t="s">
        <v>1994</v>
      </c>
      <c r="E410" s="74" t="s">
        <v>1952</v>
      </c>
      <c r="F410" s="74" t="s">
        <v>2979</v>
      </c>
      <c r="G410" s="75" t="s">
        <v>2942</v>
      </c>
      <c r="H410" s="74" t="s">
        <v>1994</v>
      </c>
      <c r="I410" s="72">
        <f>'02_Work_Items'!Q410</f>
      </c>
      <c r="J410" s="71" t="s">
        <v>46</v>
      </c>
    </row>
    <row r="411" spans="1:10" x14ac:dyDescent="0.25">
      <c r="A411" s="70" t="s">
        <v>1995</v>
      </c>
      <c r="B411" s="71" t="s">
        <v>179</v>
      </c>
      <c r="C411" s="71" t="s">
        <v>182</v>
      </c>
      <c r="D411" s="71" t="s">
        <v>1998</v>
      </c>
      <c r="E411" s="71" t="s">
        <v>1952</v>
      </c>
      <c r="F411" s="71" t="s">
        <v>2979</v>
      </c>
      <c r="G411" s="72" t="s">
        <v>2942</v>
      </c>
      <c r="H411" s="71" t="s">
        <v>1998</v>
      </c>
      <c r="I411" s="72">
        <f>'02_Work_Items'!Q411</f>
      </c>
      <c r="J411" s="71" t="s">
        <v>46</v>
      </c>
    </row>
    <row r="412" spans="1:10" x14ac:dyDescent="0.25">
      <c r="A412" s="73" t="s">
        <v>1999</v>
      </c>
      <c r="B412" s="74" t="s">
        <v>179</v>
      </c>
      <c r="C412" s="74" t="s">
        <v>182</v>
      </c>
      <c r="D412" s="74" t="s">
        <v>1742</v>
      </c>
      <c r="E412" s="74" t="s">
        <v>1952</v>
      </c>
      <c r="F412" s="74" t="s">
        <v>2984</v>
      </c>
      <c r="G412" s="75" t="s">
        <v>2942</v>
      </c>
      <c r="H412" s="74" t="s">
        <v>598</v>
      </c>
      <c r="I412" s="72">
        <f>'02_Work_Items'!Q412</f>
      </c>
      <c r="J412" s="71" t="s">
        <v>46</v>
      </c>
    </row>
    <row r="413" spans="1:10" x14ac:dyDescent="0.25">
      <c r="A413" s="70" t="s">
        <v>2002</v>
      </c>
      <c r="B413" s="71" t="s">
        <v>179</v>
      </c>
      <c r="C413" s="71" t="s">
        <v>183</v>
      </c>
      <c r="D413" s="71" t="s">
        <v>2007</v>
      </c>
      <c r="E413" s="71" t="s">
        <v>2008</v>
      </c>
      <c r="F413" s="71" t="s">
        <v>2979</v>
      </c>
      <c r="G413" s="72" t="s">
        <v>2942</v>
      </c>
      <c r="H413" s="71" t="s">
        <v>2007</v>
      </c>
      <c r="I413" s="72">
        <f>'02_Work_Items'!Q413</f>
      </c>
      <c r="J413" s="71" t="s">
        <v>46</v>
      </c>
    </row>
    <row r="414" spans="1:10" x14ac:dyDescent="0.25">
      <c r="A414" s="73" t="s">
        <v>2009</v>
      </c>
      <c r="B414" s="74" t="s">
        <v>179</v>
      </c>
      <c r="C414" s="74" t="s">
        <v>183</v>
      </c>
      <c r="D414" s="74" t="s">
        <v>2012</v>
      </c>
      <c r="E414" s="74" t="s">
        <v>2008</v>
      </c>
      <c r="F414" s="74" t="s">
        <v>2979</v>
      </c>
      <c r="G414" s="75" t="s">
        <v>2942</v>
      </c>
      <c r="H414" s="74" t="s">
        <v>2012</v>
      </c>
      <c r="I414" s="72">
        <f>'02_Work_Items'!Q414</f>
      </c>
      <c r="J414" s="71" t="s">
        <v>46</v>
      </c>
    </row>
    <row r="415" spans="1:10" x14ac:dyDescent="0.25">
      <c r="A415" s="70" t="s">
        <v>2013</v>
      </c>
      <c r="B415" s="71" t="s">
        <v>179</v>
      </c>
      <c r="C415" s="71" t="s">
        <v>183</v>
      </c>
      <c r="D415" s="71" t="s">
        <v>2016</v>
      </c>
      <c r="E415" s="71" t="s">
        <v>2008</v>
      </c>
      <c r="F415" s="71" t="s">
        <v>2979</v>
      </c>
      <c r="G415" s="72" t="s">
        <v>2942</v>
      </c>
      <c r="H415" s="71" t="s">
        <v>2016</v>
      </c>
      <c r="I415" s="72">
        <f>'02_Work_Items'!Q415</f>
      </c>
      <c r="J415" s="71" t="s">
        <v>2017</v>
      </c>
    </row>
    <row r="416" spans="1:10" x14ac:dyDescent="0.25">
      <c r="A416" s="73" t="s">
        <v>2018</v>
      </c>
      <c r="B416" s="74" t="s">
        <v>179</v>
      </c>
      <c r="C416" s="74" t="s">
        <v>183</v>
      </c>
      <c r="D416" s="74" t="s">
        <v>2021</v>
      </c>
      <c r="E416" s="74" t="s">
        <v>2008</v>
      </c>
      <c r="F416" s="74" t="s">
        <v>3044</v>
      </c>
      <c r="G416" s="75" t="s">
        <v>2942</v>
      </c>
      <c r="H416" s="74" t="s">
        <v>2021</v>
      </c>
      <c r="I416" s="72">
        <f>'02_Work_Items'!Q416</f>
      </c>
      <c r="J416" s="71" t="s">
        <v>46</v>
      </c>
    </row>
    <row r="417" spans="1:10" x14ac:dyDescent="0.25">
      <c r="A417" s="70" t="s">
        <v>2022</v>
      </c>
      <c r="B417" s="71" t="s">
        <v>179</v>
      </c>
      <c r="C417" s="71" t="s">
        <v>183</v>
      </c>
      <c r="D417" s="71" t="s">
        <v>879</v>
      </c>
      <c r="E417" s="71" t="s">
        <v>2008</v>
      </c>
      <c r="F417" s="71" t="s">
        <v>2984</v>
      </c>
      <c r="G417" s="72" t="s">
        <v>2942</v>
      </c>
      <c r="H417" s="71" t="s">
        <v>879</v>
      </c>
      <c r="I417" s="72">
        <f>'02_Work_Items'!Q417</f>
      </c>
      <c r="J417" s="71" t="s">
        <v>46</v>
      </c>
    </row>
    <row r="418" spans="1:10" x14ac:dyDescent="0.25">
      <c r="A418" s="73" t="s">
        <v>2025</v>
      </c>
      <c r="B418" s="74" t="s">
        <v>185</v>
      </c>
      <c r="C418" s="74" t="s">
        <v>184</v>
      </c>
      <c r="D418" s="74" t="s">
        <v>2029</v>
      </c>
      <c r="E418" s="74" t="s">
        <v>2030</v>
      </c>
      <c r="F418" s="74" t="s">
        <v>2979</v>
      </c>
      <c r="G418" s="75" t="s">
        <v>2942</v>
      </c>
      <c r="H418" s="74" t="s">
        <v>2029</v>
      </c>
      <c r="I418" s="72">
        <f>'02_Work_Items'!Q418</f>
      </c>
      <c r="J418" s="71" t="s">
        <v>46</v>
      </c>
    </row>
    <row r="419" spans="1:10" x14ac:dyDescent="0.25">
      <c r="A419" s="70" t="s">
        <v>2031</v>
      </c>
      <c r="B419" s="71" t="s">
        <v>185</v>
      </c>
      <c r="C419" s="71" t="s">
        <v>184</v>
      </c>
      <c r="D419" s="71" t="s">
        <v>2034</v>
      </c>
      <c r="E419" s="71" t="s">
        <v>2030</v>
      </c>
      <c r="F419" s="71" t="s">
        <v>2979</v>
      </c>
      <c r="G419" s="72" t="s">
        <v>2942</v>
      </c>
      <c r="H419" s="71" t="s">
        <v>2034</v>
      </c>
      <c r="I419" s="72">
        <f>'02_Work_Items'!Q419</f>
      </c>
      <c r="J419" s="71" t="s">
        <v>46</v>
      </c>
    </row>
    <row r="420" spans="1:10" x14ac:dyDescent="0.25">
      <c r="A420" s="73" t="s">
        <v>2035</v>
      </c>
      <c r="B420" s="74" t="s">
        <v>185</v>
      </c>
      <c r="C420" s="74" t="s">
        <v>184</v>
      </c>
      <c r="D420" s="74" t="s">
        <v>2038</v>
      </c>
      <c r="E420" s="74" t="s">
        <v>2030</v>
      </c>
      <c r="F420" s="74" t="s">
        <v>2979</v>
      </c>
      <c r="G420" s="75" t="s">
        <v>2942</v>
      </c>
      <c r="H420" s="74" t="s">
        <v>2038</v>
      </c>
      <c r="I420" s="72">
        <f>'02_Work_Items'!Q420</f>
      </c>
      <c r="J420" s="71" t="s">
        <v>46</v>
      </c>
    </row>
    <row r="421" spans="1:10" x14ac:dyDescent="0.25">
      <c r="A421" s="70" t="s">
        <v>2039</v>
      </c>
      <c r="B421" s="71" t="s">
        <v>185</v>
      </c>
      <c r="C421" s="71" t="s">
        <v>184</v>
      </c>
      <c r="D421" s="71" t="s">
        <v>2042</v>
      </c>
      <c r="E421" s="71" t="s">
        <v>2030</v>
      </c>
      <c r="F421" s="71" t="s">
        <v>2979</v>
      </c>
      <c r="G421" s="72" t="s">
        <v>2942</v>
      </c>
      <c r="H421" s="71" t="s">
        <v>2042</v>
      </c>
      <c r="I421" s="72">
        <f>'02_Work_Items'!Q421</f>
      </c>
      <c r="J421" s="71" t="s">
        <v>46</v>
      </c>
    </row>
    <row r="422" spans="1:10" x14ac:dyDescent="0.25">
      <c r="A422" s="73" t="s">
        <v>2043</v>
      </c>
      <c r="B422" s="74" t="s">
        <v>185</v>
      </c>
      <c r="C422" s="74" t="s">
        <v>184</v>
      </c>
      <c r="D422" s="74" t="s">
        <v>2046</v>
      </c>
      <c r="E422" s="74" t="s">
        <v>2030</v>
      </c>
      <c r="F422" s="74" t="s">
        <v>2979</v>
      </c>
      <c r="G422" s="75" t="s">
        <v>2942</v>
      </c>
      <c r="H422" s="74" t="s">
        <v>2046</v>
      </c>
      <c r="I422" s="72">
        <f>'02_Work_Items'!Q422</f>
      </c>
      <c r="J422" s="71" t="s">
        <v>46</v>
      </c>
    </row>
    <row r="423" spans="1:10" x14ac:dyDescent="0.25">
      <c r="A423" s="70" t="s">
        <v>2047</v>
      </c>
      <c r="B423" s="71" t="s">
        <v>185</v>
      </c>
      <c r="C423" s="71" t="s">
        <v>184</v>
      </c>
      <c r="D423" s="71" t="s">
        <v>2050</v>
      </c>
      <c r="E423" s="71" t="s">
        <v>2030</v>
      </c>
      <c r="F423" s="71" t="s">
        <v>2979</v>
      </c>
      <c r="G423" s="72" t="s">
        <v>2942</v>
      </c>
      <c r="H423" s="71" t="s">
        <v>2050</v>
      </c>
      <c r="I423" s="72">
        <f>'02_Work_Items'!Q423</f>
      </c>
      <c r="J423" s="71" t="s">
        <v>46</v>
      </c>
    </row>
    <row r="424" spans="1:10" x14ac:dyDescent="0.25">
      <c r="A424" s="73" t="s">
        <v>2051</v>
      </c>
      <c r="B424" s="74" t="s">
        <v>185</v>
      </c>
      <c r="C424" s="74" t="s">
        <v>184</v>
      </c>
      <c r="D424" s="74" t="s">
        <v>2054</v>
      </c>
      <c r="E424" s="74" t="s">
        <v>2030</v>
      </c>
      <c r="F424" s="74" t="s">
        <v>2979</v>
      </c>
      <c r="G424" s="75" t="s">
        <v>2942</v>
      </c>
      <c r="H424" s="74" t="s">
        <v>2054</v>
      </c>
      <c r="I424" s="72">
        <f>'02_Work_Items'!Q424</f>
      </c>
      <c r="J424" s="71" t="s">
        <v>2055</v>
      </c>
    </row>
    <row r="425" spans="1:10" x14ac:dyDescent="0.25">
      <c r="A425" s="70" t="s">
        <v>2056</v>
      </c>
      <c r="B425" s="71" t="s">
        <v>185</v>
      </c>
      <c r="C425" s="71" t="s">
        <v>184</v>
      </c>
      <c r="D425" s="71" t="s">
        <v>2059</v>
      </c>
      <c r="E425" s="71" t="s">
        <v>2030</v>
      </c>
      <c r="F425" s="71" t="s">
        <v>3002</v>
      </c>
      <c r="G425" s="72" t="s">
        <v>2942</v>
      </c>
      <c r="H425" s="71" t="s">
        <v>2059</v>
      </c>
      <c r="I425" s="72">
        <f>'02_Work_Items'!Q425</f>
      </c>
      <c r="J425" s="71" t="s">
        <v>46</v>
      </c>
    </row>
    <row r="426" spans="1:10" x14ac:dyDescent="0.25">
      <c r="A426" s="73" t="s">
        <v>2060</v>
      </c>
      <c r="B426" s="74" t="s">
        <v>185</v>
      </c>
      <c r="C426" s="74" t="s">
        <v>184</v>
      </c>
      <c r="D426" s="74" t="s">
        <v>1233</v>
      </c>
      <c r="E426" s="74" t="s">
        <v>2030</v>
      </c>
      <c r="F426" s="74" t="s">
        <v>2984</v>
      </c>
      <c r="G426" s="75" t="s">
        <v>2942</v>
      </c>
      <c r="H426" s="74" t="s">
        <v>3018</v>
      </c>
      <c r="I426" s="72">
        <f>'02_Work_Items'!Q426</f>
      </c>
      <c r="J426" s="71" t="s">
        <v>46</v>
      </c>
    </row>
    <row r="427" spans="1:10" x14ac:dyDescent="0.25">
      <c r="A427" s="70" t="s">
        <v>2063</v>
      </c>
      <c r="B427" s="71" t="s">
        <v>185</v>
      </c>
      <c r="C427" s="71" t="s">
        <v>186</v>
      </c>
      <c r="D427" s="71" t="s">
        <v>2067</v>
      </c>
      <c r="E427" s="71" t="s">
        <v>2068</v>
      </c>
      <c r="F427" s="71" t="s">
        <v>2967</v>
      </c>
      <c r="G427" s="72" t="s">
        <v>2942</v>
      </c>
      <c r="H427" s="71" t="s">
        <v>3054</v>
      </c>
      <c r="I427" s="72">
        <f>'02_Work_Items'!Q427</f>
      </c>
      <c r="J427" s="71" t="s">
        <v>46</v>
      </c>
    </row>
    <row r="428" spans="1:10" x14ac:dyDescent="0.25">
      <c r="A428" s="73" t="s">
        <v>2069</v>
      </c>
      <c r="B428" s="74" t="s">
        <v>185</v>
      </c>
      <c r="C428" s="74" t="s">
        <v>186</v>
      </c>
      <c r="D428" s="74" t="s">
        <v>2072</v>
      </c>
      <c r="E428" s="74" t="s">
        <v>2068</v>
      </c>
      <c r="F428" s="74" t="s">
        <v>2953</v>
      </c>
      <c r="G428" s="75" t="s">
        <v>2942</v>
      </c>
      <c r="H428" s="74" t="s">
        <v>2072</v>
      </c>
      <c r="I428" s="72">
        <f>'02_Work_Items'!Q428</f>
      </c>
      <c r="J428" s="71" t="s">
        <v>46</v>
      </c>
    </row>
    <row r="429" spans="1:10" x14ac:dyDescent="0.25">
      <c r="A429" s="70" t="s">
        <v>2073</v>
      </c>
      <c r="B429" s="71" t="s">
        <v>185</v>
      </c>
      <c r="C429" s="71" t="s">
        <v>186</v>
      </c>
      <c r="D429" s="71" t="s">
        <v>2076</v>
      </c>
      <c r="E429" s="71" t="s">
        <v>2068</v>
      </c>
      <c r="F429" s="71" t="s">
        <v>97</v>
      </c>
      <c r="G429" s="72" t="s">
        <v>2942</v>
      </c>
      <c r="H429" s="71" t="s">
        <v>2076</v>
      </c>
      <c r="I429" s="72">
        <f>'02_Work_Items'!Q429</f>
      </c>
      <c r="J429" s="71" t="s">
        <v>46</v>
      </c>
    </row>
    <row r="430" spans="1:10" x14ac:dyDescent="0.25">
      <c r="A430" s="73" t="s">
        <v>2077</v>
      </c>
      <c r="B430" s="74" t="s">
        <v>185</v>
      </c>
      <c r="C430" s="74" t="s">
        <v>186</v>
      </c>
      <c r="D430" s="74" t="s">
        <v>2080</v>
      </c>
      <c r="E430" s="74" t="s">
        <v>2068</v>
      </c>
      <c r="F430" s="74" t="s">
        <v>3055</v>
      </c>
      <c r="G430" s="75" t="s">
        <v>2942</v>
      </c>
      <c r="H430" s="74" t="s">
        <v>2080</v>
      </c>
      <c r="I430" s="72">
        <f>'02_Work_Items'!Q430</f>
      </c>
      <c r="J430" s="71" t="s">
        <v>46</v>
      </c>
    </row>
    <row r="431" spans="1:10" x14ac:dyDescent="0.25">
      <c r="A431" s="70" t="s">
        <v>2081</v>
      </c>
      <c r="B431" s="71" t="s">
        <v>185</v>
      </c>
      <c r="C431" s="71" t="s">
        <v>186</v>
      </c>
      <c r="D431" s="71" t="s">
        <v>2084</v>
      </c>
      <c r="E431" s="71" t="s">
        <v>2068</v>
      </c>
      <c r="F431" s="71" t="s">
        <v>2979</v>
      </c>
      <c r="G431" s="72" t="s">
        <v>2942</v>
      </c>
      <c r="H431" s="71" t="s">
        <v>2084</v>
      </c>
      <c r="I431" s="72">
        <f>'02_Work_Items'!Q431</f>
      </c>
      <c r="J431" s="71" t="s">
        <v>46</v>
      </c>
    </row>
    <row r="432" spans="1:10" x14ac:dyDescent="0.25">
      <c r="A432" s="73" t="s">
        <v>2085</v>
      </c>
      <c r="B432" s="74" t="s">
        <v>185</v>
      </c>
      <c r="C432" s="74" t="s">
        <v>186</v>
      </c>
      <c r="D432" s="74" t="s">
        <v>2088</v>
      </c>
      <c r="E432" s="74" t="s">
        <v>2068</v>
      </c>
      <c r="F432" s="74" t="s">
        <v>2979</v>
      </c>
      <c r="G432" s="75" t="s">
        <v>2942</v>
      </c>
      <c r="H432" s="74" t="s">
        <v>2088</v>
      </c>
      <c r="I432" s="72">
        <f>'02_Work_Items'!Q432</f>
      </c>
      <c r="J432" s="71" t="s">
        <v>46</v>
      </c>
    </row>
    <row r="433" spans="1:10" x14ac:dyDescent="0.25">
      <c r="A433" s="70" t="s">
        <v>2089</v>
      </c>
      <c r="B433" s="71" t="s">
        <v>185</v>
      </c>
      <c r="C433" s="71" t="s">
        <v>186</v>
      </c>
      <c r="D433" s="71" t="s">
        <v>2092</v>
      </c>
      <c r="E433" s="71" t="s">
        <v>2068</v>
      </c>
      <c r="F433" s="71" t="s">
        <v>2979</v>
      </c>
      <c r="G433" s="72" t="s">
        <v>2942</v>
      </c>
      <c r="H433" s="71" t="s">
        <v>2092</v>
      </c>
      <c r="I433" s="72">
        <f>'02_Work_Items'!Q433</f>
      </c>
      <c r="J433" s="71" t="s">
        <v>46</v>
      </c>
    </row>
    <row r="434" spans="1:10" x14ac:dyDescent="0.25">
      <c r="A434" s="73" t="s">
        <v>2093</v>
      </c>
      <c r="B434" s="74" t="s">
        <v>185</v>
      </c>
      <c r="C434" s="74" t="s">
        <v>186</v>
      </c>
      <c r="D434" s="74" t="s">
        <v>2096</v>
      </c>
      <c r="E434" s="74" t="s">
        <v>2068</v>
      </c>
      <c r="F434" s="74" t="s">
        <v>2979</v>
      </c>
      <c r="G434" s="75" t="s">
        <v>2942</v>
      </c>
      <c r="H434" s="74" t="s">
        <v>2096</v>
      </c>
      <c r="I434" s="72">
        <f>'02_Work_Items'!Q434</f>
      </c>
      <c r="J434" s="71" t="s">
        <v>46</v>
      </c>
    </row>
    <row r="435" spans="1:10" x14ac:dyDescent="0.25">
      <c r="A435" s="70" t="s">
        <v>2097</v>
      </c>
      <c r="B435" s="71" t="s">
        <v>185</v>
      </c>
      <c r="C435" s="71" t="s">
        <v>186</v>
      </c>
      <c r="D435" s="71" t="s">
        <v>2100</v>
      </c>
      <c r="E435" s="71" t="s">
        <v>2068</v>
      </c>
      <c r="F435" s="71" t="s">
        <v>2979</v>
      </c>
      <c r="G435" s="72" t="s">
        <v>2942</v>
      </c>
      <c r="H435" s="71" t="s">
        <v>2100</v>
      </c>
      <c r="I435" s="72">
        <f>'02_Work_Items'!Q435</f>
      </c>
      <c r="J435" s="71" t="s">
        <v>46</v>
      </c>
    </row>
    <row r="436" spans="1:10" x14ac:dyDescent="0.25">
      <c r="A436" s="73" t="s">
        <v>2101</v>
      </c>
      <c r="B436" s="74" t="s">
        <v>185</v>
      </c>
      <c r="C436" s="74" t="s">
        <v>186</v>
      </c>
      <c r="D436" s="74" t="s">
        <v>2104</v>
      </c>
      <c r="E436" s="74" t="s">
        <v>2068</v>
      </c>
      <c r="F436" s="74" t="s">
        <v>2979</v>
      </c>
      <c r="G436" s="75" t="s">
        <v>2942</v>
      </c>
      <c r="H436" s="74" t="s">
        <v>2104</v>
      </c>
      <c r="I436" s="72">
        <f>'02_Work_Items'!Q436</f>
      </c>
      <c r="J436" s="71" t="s">
        <v>46</v>
      </c>
    </row>
    <row r="437" spans="1:10" x14ac:dyDescent="0.25">
      <c r="A437" s="70" t="s">
        <v>2105</v>
      </c>
      <c r="B437" s="71" t="s">
        <v>185</v>
      </c>
      <c r="C437" s="71" t="s">
        <v>186</v>
      </c>
      <c r="D437" s="71" t="s">
        <v>2108</v>
      </c>
      <c r="E437" s="71" t="s">
        <v>2068</v>
      </c>
      <c r="F437" s="71" t="s">
        <v>2953</v>
      </c>
      <c r="G437" s="72" t="s">
        <v>2942</v>
      </c>
      <c r="H437" s="71" t="s">
        <v>2108</v>
      </c>
      <c r="I437" s="72">
        <f>'02_Work_Items'!Q437</f>
      </c>
      <c r="J437" s="71" t="s">
        <v>46</v>
      </c>
    </row>
    <row r="438" spans="1:10" x14ac:dyDescent="0.25">
      <c r="A438" s="73" t="s">
        <v>2109</v>
      </c>
      <c r="B438" s="74" t="s">
        <v>185</v>
      </c>
      <c r="C438" s="74" t="s">
        <v>186</v>
      </c>
      <c r="D438" s="74" t="s">
        <v>598</v>
      </c>
      <c r="E438" s="74" t="s">
        <v>2068</v>
      </c>
      <c r="F438" s="74" t="s">
        <v>2984</v>
      </c>
      <c r="G438" s="75" t="s">
        <v>2942</v>
      </c>
      <c r="H438" s="74" t="s">
        <v>598</v>
      </c>
      <c r="I438" s="72">
        <f>'02_Work_Items'!Q438</f>
      </c>
      <c r="J438" s="71" t="s">
        <v>46</v>
      </c>
    </row>
    <row r="439" spans="1:10" x14ac:dyDescent="0.25">
      <c r="A439" s="70" t="s">
        <v>2112</v>
      </c>
      <c r="B439" s="71" t="s">
        <v>185</v>
      </c>
      <c r="C439" s="71" t="s">
        <v>187</v>
      </c>
      <c r="D439" s="71" t="s">
        <v>2116</v>
      </c>
      <c r="E439" s="71" t="s">
        <v>2117</v>
      </c>
      <c r="F439" s="71" t="s">
        <v>2979</v>
      </c>
      <c r="G439" s="72" t="s">
        <v>2942</v>
      </c>
      <c r="H439" s="71" t="s">
        <v>2116</v>
      </c>
      <c r="I439" s="72">
        <f>'02_Work_Items'!Q439</f>
      </c>
      <c r="J439" s="71" t="s">
        <v>46</v>
      </c>
    </row>
    <row r="440" spans="1:10" x14ac:dyDescent="0.25">
      <c r="A440" s="73" t="s">
        <v>2119</v>
      </c>
      <c r="B440" s="74" t="s">
        <v>185</v>
      </c>
      <c r="C440" s="74" t="s">
        <v>187</v>
      </c>
      <c r="D440" s="74" t="s">
        <v>2122</v>
      </c>
      <c r="E440" s="74" t="s">
        <v>2117</v>
      </c>
      <c r="F440" s="74" t="s">
        <v>2979</v>
      </c>
      <c r="G440" s="75" t="s">
        <v>2942</v>
      </c>
      <c r="H440" s="74" t="s">
        <v>2122</v>
      </c>
      <c r="I440" s="72">
        <f>'02_Work_Items'!Q440</f>
      </c>
      <c r="J440" s="71" t="s">
        <v>46</v>
      </c>
    </row>
    <row r="441" spans="1:10" x14ac:dyDescent="0.25">
      <c r="A441" s="70" t="s">
        <v>2123</v>
      </c>
      <c r="B441" s="71" t="s">
        <v>185</v>
      </c>
      <c r="C441" s="71" t="s">
        <v>187</v>
      </c>
      <c r="D441" s="71" t="s">
        <v>2126</v>
      </c>
      <c r="E441" s="71" t="s">
        <v>2117</v>
      </c>
      <c r="F441" s="71" t="s">
        <v>2979</v>
      </c>
      <c r="G441" s="72" t="s">
        <v>2942</v>
      </c>
      <c r="H441" s="71" t="s">
        <v>2126</v>
      </c>
      <c r="I441" s="72">
        <f>'02_Work_Items'!Q441</f>
      </c>
      <c r="J441" s="71" t="s">
        <v>46</v>
      </c>
    </row>
    <row r="442" spans="1:10" x14ac:dyDescent="0.25">
      <c r="A442" s="73" t="s">
        <v>2127</v>
      </c>
      <c r="B442" s="74" t="s">
        <v>185</v>
      </c>
      <c r="C442" s="74" t="s">
        <v>187</v>
      </c>
      <c r="D442" s="74" t="s">
        <v>2130</v>
      </c>
      <c r="E442" s="74" t="s">
        <v>2117</v>
      </c>
      <c r="F442" s="74" t="s">
        <v>2979</v>
      </c>
      <c r="G442" s="75" t="s">
        <v>2942</v>
      </c>
      <c r="H442" s="74" t="s">
        <v>2130</v>
      </c>
      <c r="I442" s="72">
        <f>'02_Work_Items'!Q442</f>
      </c>
      <c r="J442" s="71" t="s">
        <v>46</v>
      </c>
    </row>
    <row r="443" spans="1:10" x14ac:dyDescent="0.25">
      <c r="A443" s="70" t="s">
        <v>2131</v>
      </c>
      <c r="B443" s="71" t="s">
        <v>185</v>
      </c>
      <c r="C443" s="71" t="s">
        <v>187</v>
      </c>
      <c r="D443" s="71" t="s">
        <v>2134</v>
      </c>
      <c r="E443" s="71" t="s">
        <v>2117</v>
      </c>
      <c r="F443" s="71" t="s">
        <v>2979</v>
      </c>
      <c r="G443" s="72" t="s">
        <v>2942</v>
      </c>
      <c r="H443" s="71" t="s">
        <v>2134</v>
      </c>
      <c r="I443" s="72">
        <f>'02_Work_Items'!Q443</f>
      </c>
      <c r="J443" s="71" t="s">
        <v>46</v>
      </c>
    </row>
    <row r="444" spans="1:10" x14ac:dyDescent="0.25">
      <c r="A444" s="73" t="s">
        <v>2135</v>
      </c>
      <c r="B444" s="74" t="s">
        <v>185</v>
      </c>
      <c r="C444" s="74" t="s">
        <v>187</v>
      </c>
      <c r="D444" s="74" t="s">
        <v>2138</v>
      </c>
      <c r="E444" s="74" t="s">
        <v>2117</v>
      </c>
      <c r="F444" s="74" t="s">
        <v>2979</v>
      </c>
      <c r="G444" s="75" t="s">
        <v>2942</v>
      </c>
      <c r="H444" s="74" t="s">
        <v>2138</v>
      </c>
      <c r="I444" s="72">
        <f>'02_Work_Items'!Q444</f>
      </c>
      <c r="J444" s="71" t="s">
        <v>46</v>
      </c>
    </row>
    <row r="445" spans="1:10" x14ac:dyDescent="0.25">
      <c r="A445" s="70" t="s">
        <v>2139</v>
      </c>
      <c r="B445" s="71" t="s">
        <v>185</v>
      </c>
      <c r="C445" s="71" t="s">
        <v>187</v>
      </c>
      <c r="D445" s="71" t="s">
        <v>2142</v>
      </c>
      <c r="E445" s="71" t="s">
        <v>2117</v>
      </c>
      <c r="F445" s="71" t="s">
        <v>3002</v>
      </c>
      <c r="G445" s="72" t="s">
        <v>2942</v>
      </c>
      <c r="H445" s="71" t="s">
        <v>2142</v>
      </c>
      <c r="I445" s="72">
        <f>'02_Work_Items'!Q445</f>
      </c>
      <c r="J445" s="71" t="s">
        <v>46</v>
      </c>
    </row>
    <row r="446" spans="1:10" x14ac:dyDescent="0.25">
      <c r="A446" s="73" t="s">
        <v>2143</v>
      </c>
      <c r="B446" s="74" t="s">
        <v>185</v>
      </c>
      <c r="C446" s="74" t="s">
        <v>187</v>
      </c>
      <c r="D446" s="74" t="s">
        <v>2146</v>
      </c>
      <c r="E446" s="74" t="s">
        <v>2117</v>
      </c>
      <c r="F446" s="74" t="s">
        <v>97</v>
      </c>
      <c r="G446" s="75" t="s">
        <v>2942</v>
      </c>
      <c r="H446" s="74" t="s">
        <v>3056</v>
      </c>
      <c r="I446" s="72">
        <f>'02_Work_Items'!Q446</f>
      </c>
      <c r="J446" s="71" t="s">
        <v>46</v>
      </c>
    </row>
    <row r="447" spans="1:10" x14ac:dyDescent="0.25">
      <c r="A447" s="70" t="s">
        <v>2147</v>
      </c>
      <c r="B447" s="71" t="s">
        <v>185</v>
      </c>
      <c r="C447" s="71" t="s">
        <v>187</v>
      </c>
      <c r="D447" s="71" t="s">
        <v>2150</v>
      </c>
      <c r="E447" s="71" t="s">
        <v>2117</v>
      </c>
      <c r="F447" s="71" t="s">
        <v>2953</v>
      </c>
      <c r="G447" s="72" t="s">
        <v>2942</v>
      </c>
      <c r="H447" s="71" t="s">
        <v>2150</v>
      </c>
      <c r="I447" s="72">
        <f>'02_Work_Items'!Q447</f>
      </c>
      <c r="J447" s="71" t="s">
        <v>46</v>
      </c>
    </row>
    <row r="448" spans="1:10" x14ac:dyDescent="0.25">
      <c r="A448" s="73" t="s">
        <v>2151</v>
      </c>
      <c r="B448" s="74" t="s">
        <v>185</v>
      </c>
      <c r="C448" s="74" t="s">
        <v>187</v>
      </c>
      <c r="D448" s="74" t="s">
        <v>2154</v>
      </c>
      <c r="E448" s="74" t="s">
        <v>2117</v>
      </c>
      <c r="F448" s="74" t="s">
        <v>2984</v>
      </c>
      <c r="G448" s="75" t="s">
        <v>2942</v>
      </c>
      <c r="H448" s="74" t="s">
        <v>3057</v>
      </c>
      <c r="I448" s="72">
        <f>'02_Work_Items'!Q448</f>
      </c>
      <c r="J448" s="71" t="s">
        <v>46</v>
      </c>
    </row>
    <row r="449" spans="1:10" x14ac:dyDescent="0.25">
      <c r="A449" s="70" t="s">
        <v>2155</v>
      </c>
      <c r="B449" s="71" t="s">
        <v>185</v>
      </c>
      <c r="C449" s="71" t="s">
        <v>188</v>
      </c>
      <c r="D449" s="71" t="s">
        <v>2159</v>
      </c>
      <c r="E449" s="71" t="s">
        <v>233</v>
      </c>
      <c r="F449" s="71" t="s">
        <v>3002</v>
      </c>
      <c r="G449" s="72" t="s">
        <v>2942</v>
      </c>
      <c r="H449" s="71" t="s">
        <v>2159</v>
      </c>
      <c r="I449" s="72">
        <f>'02_Work_Items'!Q449</f>
      </c>
      <c r="J449" s="71" t="s">
        <v>46</v>
      </c>
    </row>
    <row r="450" spans="1:10" x14ac:dyDescent="0.25">
      <c r="A450" s="73" t="s">
        <v>2160</v>
      </c>
      <c r="B450" s="74" t="s">
        <v>185</v>
      </c>
      <c r="C450" s="74" t="s">
        <v>188</v>
      </c>
      <c r="D450" s="74" t="s">
        <v>2163</v>
      </c>
      <c r="E450" s="74" t="s">
        <v>233</v>
      </c>
      <c r="F450" s="74" t="s">
        <v>3002</v>
      </c>
      <c r="G450" s="75" t="s">
        <v>2942</v>
      </c>
      <c r="H450" s="74" t="s">
        <v>2163</v>
      </c>
      <c r="I450" s="72">
        <f>'02_Work_Items'!Q450</f>
      </c>
      <c r="J450" s="71" t="s">
        <v>46</v>
      </c>
    </row>
    <row r="451" spans="1:10" x14ac:dyDescent="0.25">
      <c r="A451" s="70" t="s">
        <v>2164</v>
      </c>
      <c r="B451" s="71" t="s">
        <v>185</v>
      </c>
      <c r="C451" s="71" t="s">
        <v>188</v>
      </c>
      <c r="D451" s="71" t="s">
        <v>2167</v>
      </c>
      <c r="E451" s="71" t="s">
        <v>233</v>
      </c>
      <c r="F451" s="71" t="s">
        <v>3002</v>
      </c>
      <c r="G451" s="72" t="s">
        <v>2942</v>
      </c>
      <c r="H451" s="71" t="s">
        <v>2167</v>
      </c>
      <c r="I451" s="72">
        <f>'02_Work_Items'!Q451</f>
      </c>
      <c r="J451" s="71" t="s">
        <v>46</v>
      </c>
    </row>
    <row r="452" spans="1:10" x14ac:dyDescent="0.25">
      <c r="A452" s="73" t="s">
        <v>2168</v>
      </c>
      <c r="B452" s="74" t="s">
        <v>185</v>
      </c>
      <c r="C452" s="74" t="s">
        <v>188</v>
      </c>
      <c r="D452" s="74" t="s">
        <v>2171</v>
      </c>
      <c r="E452" s="74" t="s">
        <v>233</v>
      </c>
      <c r="F452" s="74" t="s">
        <v>3002</v>
      </c>
      <c r="G452" s="75" t="s">
        <v>2942</v>
      </c>
      <c r="H452" s="74" t="s">
        <v>2171</v>
      </c>
      <c r="I452" s="72">
        <f>'02_Work_Items'!Q452</f>
      </c>
      <c r="J452" s="71" t="s">
        <v>46</v>
      </c>
    </row>
    <row r="453" spans="1:10" x14ac:dyDescent="0.25">
      <c r="A453" s="70" t="s">
        <v>2172</v>
      </c>
      <c r="B453" s="71" t="s">
        <v>185</v>
      </c>
      <c r="C453" s="71" t="s">
        <v>188</v>
      </c>
      <c r="D453" s="71" t="s">
        <v>2175</v>
      </c>
      <c r="E453" s="71" t="s">
        <v>233</v>
      </c>
      <c r="F453" s="71" t="s">
        <v>3002</v>
      </c>
      <c r="G453" s="72" t="s">
        <v>2942</v>
      </c>
      <c r="H453" s="71" t="s">
        <v>2175</v>
      </c>
      <c r="I453" s="72">
        <f>'02_Work_Items'!Q453</f>
      </c>
      <c r="J453" s="71" t="s">
        <v>46</v>
      </c>
    </row>
    <row r="454" spans="1:10" x14ac:dyDescent="0.25">
      <c r="A454" s="73" t="s">
        <v>2176</v>
      </c>
      <c r="B454" s="74" t="s">
        <v>185</v>
      </c>
      <c r="C454" s="74" t="s">
        <v>188</v>
      </c>
      <c r="D454" s="74" t="s">
        <v>2179</v>
      </c>
      <c r="E454" s="74" t="s">
        <v>233</v>
      </c>
      <c r="F454" s="74" t="s">
        <v>3002</v>
      </c>
      <c r="G454" s="75" t="s">
        <v>2942</v>
      </c>
      <c r="H454" s="74" t="s">
        <v>2179</v>
      </c>
      <c r="I454" s="72">
        <f>'02_Work_Items'!Q454</f>
      </c>
      <c r="J454" s="71" t="s">
        <v>46</v>
      </c>
    </row>
    <row r="455" spans="1:10" x14ac:dyDescent="0.25">
      <c r="A455" s="70" t="s">
        <v>2180</v>
      </c>
      <c r="B455" s="71" t="s">
        <v>185</v>
      </c>
      <c r="C455" s="71" t="s">
        <v>188</v>
      </c>
      <c r="D455" s="71" t="s">
        <v>2183</v>
      </c>
      <c r="E455" s="71" t="s">
        <v>233</v>
      </c>
      <c r="F455" s="71" t="s">
        <v>3002</v>
      </c>
      <c r="G455" s="72" t="s">
        <v>2942</v>
      </c>
      <c r="H455" s="71" t="s">
        <v>2183</v>
      </c>
      <c r="I455" s="72">
        <f>'02_Work_Items'!Q455</f>
      </c>
      <c r="J455" s="71" t="s">
        <v>46</v>
      </c>
    </row>
    <row r="456" spans="1:10" x14ac:dyDescent="0.25">
      <c r="A456" s="73" t="s">
        <v>2184</v>
      </c>
      <c r="B456" s="74" t="s">
        <v>185</v>
      </c>
      <c r="C456" s="74" t="s">
        <v>188</v>
      </c>
      <c r="D456" s="74" t="s">
        <v>2187</v>
      </c>
      <c r="E456" s="74" t="s">
        <v>233</v>
      </c>
      <c r="F456" s="74" t="s">
        <v>3002</v>
      </c>
      <c r="G456" s="75" t="s">
        <v>2942</v>
      </c>
      <c r="H456" s="74" t="s">
        <v>2187</v>
      </c>
      <c r="I456" s="72">
        <f>'02_Work_Items'!Q456</f>
      </c>
      <c r="J456" s="71" t="s">
        <v>46</v>
      </c>
    </row>
    <row r="457" spans="1:10" x14ac:dyDescent="0.25">
      <c r="A457" s="70" t="s">
        <v>2188</v>
      </c>
      <c r="B457" s="71" t="s">
        <v>185</v>
      </c>
      <c r="C457" s="71" t="s">
        <v>188</v>
      </c>
      <c r="D457" s="71" t="s">
        <v>2191</v>
      </c>
      <c r="E457" s="71" t="s">
        <v>233</v>
      </c>
      <c r="F457" s="71" t="s">
        <v>3002</v>
      </c>
      <c r="G457" s="72" t="s">
        <v>2942</v>
      </c>
      <c r="H457" s="71" t="s">
        <v>2191</v>
      </c>
      <c r="I457" s="72">
        <f>'02_Work_Items'!Q457</f>
      </c>
      <c r="J457" s="71" t="s">
        <v>46</v>
      </c>
    </row>
    <row r="458" spans="1:10" x14ac:dyDescent="0.25">
      <c r="A458" s="73" t="s">
        <v>2192</v>
      </c>
      <c r="B458" s="74" t="s">
        <v>185</v>
      </c>
      <c r="C458" s="74" t="s">
        <v>188</v>
      </c>
      <c r="D458" s="74" t="s">
        <v>2195</v>
      </c>
      <c r="E458" s="74" t="s">
        <v>233</v>
      </c>
      <c r="F458" s="74" t="s">
        <v>97</v>
      </c>
      <c r="G458" s="75" t="s">
        <v>2942</v>
      </c>
      <c r="H458" s="74" t="s">
        <v>3058</v>
      </c>
      <c r="I458" s="72">
        <f>'02_Work_Items'!Q458</f>
      </c>
      <c r="J458" s="71" t="s">
        <v>2196</v>
      </c>
    </row>
    <row r="459" spans="1:10" x14ac:dyDescent="0.25">
      <c r="A459" s="70" t="s">
        <v>2197</v>
      </c>
      <c r="B459" s="71" t="s">
        <v>185</v>
      </c>
      <c r="C459" s="71" t="s">
        <v>188</v>
      </c>
      <c r="D459" s="71" t="s">
        <v>2200</v>
      </c>
      <c r="E459" s="71" t="s">
        <v>233</v>
      </c>
      <c r="F459" s="71" t="s">
        <v>2984</v>
      </c>
      <c r="G459" s="72" t="s">
        <v>2942</v>
      </c>
      <c r="H459" s="71" t="s">
        <v>2200</v>
      </c>
      <c r="I459" s="72">
        <f>'02_Work_Items'!Q459</f>
      </c>
      <c r="J459" s="71" t="s">
        <v>46</v>
      </c>
    </row>
    <row r="460" spans="1:10" x14ac:dyDescent="0.25">
      <c r="A460" s="73" t="s">
        <v>2201</v>
      </c>
      <c r="B460" s="74" t="s">
        <v>190</v>
      </c>
      <c r="C460" s="74" t="s">
        <v>189</v>
      </c>
      <c r="D460" s="74" t="s">
        <v>2204</v>
      </c>
      <c r="E460" s="74" t="s">
        <v>2205</v>
      </c>
      <c r="F460" s="74" t="s">
        <v>97</v>
      </c>
      <c r="G460" s="75" t="s">
        <v>2942</v>
      </c>
      <c r="H460" s="74" t="s">
        <v>2204</v>
      </c>
      <c r="I460" s="72">
        <f>'02_Work_Items'!Q460</f>
      </c>
      <c r="J460" s="71" t="s">
        <v>46</v>
      </c>
    </row>
    <row r="461" spans="1:10" x14ac:dyDescent="0.25">
      <c r="A461" s="70" t="s">
        <v>2206</v>
      </c>
      <c r="B461" s="71" t="s">
        <v>190</v>
      </c>
      <c r="C461" s="71" t="s">
        <v>189</v>
      </c>
      <c r="D461" s="71" t="s">
        <v>2209</v>
      </c>
      <c r="E461" s="71" t="s">
        <v>2205</v>
      </c>
      <c r="F461" s="71" t="s">
        <v>97</v>
      </c>
      <c r="G461" s="72" t="s">
        <v>2942</v>
      </c>
      <c r="H461" s="71" t="s">
        <v>3059</v>
      </c>
      <c r="I461" s="72">
        <f>'02_Work_Items'!Q461</f>
      </c>
      <c r="J461" s="71" t="s">
        <v>2210</v>
      </c>
    </row>
    <row r="462" spans="1:10" x14ac:dyDescent="0.25">
      <c r="A462" s="73" t="s">
        <v>2211</v>
      </c>
      <c r="B462" s="74" t="s">
        <v>190</v>
      </c>
      <c r="C462" s="74" t="s">
        <v>189</v>
      </c>
      <c r="D462" s="74" t="s">
        <v>2214</v>
      </c>
      <c r="E462" s="74" t="s">
        <v>2205</v>
      </c>
      <c r="F462" s="74" t="s">
        <v>97</v>
      </c>
      <c r="G462" s="75" t="s">
        <v>2942</v>
      </c>
      <c r="H462" s="74" t="s">
        <v>2214</v>
      </c>
      <c r="I462" s="72">
        <f>'02_Work_Items'!Q462</f>
      </c>
      <c r="J462" s="71" t="s">
        <v>46</v>
      </c>
    </row>
    <row r="463" spans="1:10" x14ac:dyDescent="0.25">
      <c r="A463" s="70" t="s">
        <v>2215</v>
      </c>
      <c r="B463" s="71" t="s">
        <v>190</v>
      </c>
      <c r="C463" s="71" t="s">
        <v>189</v>
      </c>
      <c r="D463" s="71" t="s">
        <v>2218</v>
      </c>
      <c r="E463" s="71" t="s">
        <v>2205</v>
      </c>
      <c r="F463" s="71" t="s">
        <v>97</v>
      </c>
      <c r="G463" s="72" t="s">
        <v>2942</v>
      </c>
      <c r="H463" s="71" t="s">
        <v>2218</v>
      </c>
      <c r="I463" s="72">
        <f>'02_Work_Items'!Q463</f>
      </c>
      <c r="J463" s="71" t="s">
        <v>2219</v>
      </c>
    </row>
    <row r="464" spans="1:10" x14ac:dyDescent="0.25">
      <c r="A464" s="73" t="s">
        <v>2220</v>
      </c>
      <c r="B464" s="74" t="s">
        <v>190</v>
      </c>
      <c r="C464" s="74" t="s">
        <v>189</v>
      </c>
      <c r="D464" s="74" t="s">
        <v>2223</v>
      </c>
      <c r="E464" s="74" t="s">
        <v>2205</v>
      </c>
      <c r="F464" s="74" t="s">
        <v>3055</v>
      </c>
      <c r="G464" s="75" t="s">
        <v>2942</v>
      </c>
      <c r="H464" s="74" t="s">
        <v>2223</v>
      </c>
      <c r="I464" s="72">
        <f>'02_Work_Items'!Q464</f>
      </c>
      <c r="J464" s="71" t="s">
        <v>46</v>
      </c>
    </row>
    <row r="465" spans="1:10" x14ac:dyDescent="0.25">
      <c r="A465" s="70" t="s">
        <v>2224</v>
      </c>
      <c r="B465" s="71" t="s">
        <v>190</v>
      </c>
      <c r="C465" s="71" t="s">
        <v>189</v>
      </c>
      <c r="D465" s="71" t="s">
        <v>2227</v>
      </c>
      <c r="E465" s="71" t="s">
        <v>2205</v>
      </c>
      <c r="F465" s="71" t="s">
        <v>97</v>
      </c>
      <c r="G465" s="72" t="s">
        <v>2942</v>
      </c>
      <c r="H465" s="71" t="s">
        <v>3060</v>
      </c>
      <c r="I465" s="72">
        <f>'02_Work_Items'!Q465</f>
      </c>
      <c r="J465" s="71" t="s">
        <v>2228</v>
      </c>
    </row>
    <row r="466" spans="1:10" x14ac:dyDescent="0.25">
      <c r="A466" s="73" t="s">
        <v>2229</v>
      </c>
      <c r="B466" s="74" t="s">
        <v>190</v>
      </c>
      <c r="C466" s="74" t="s">
        <v>189</v>
      </c>
      <c r="D466" s="74" t="s">
        <v>2232</v>
      </c>
      <c r="E466" s="74" t="s">
        <v>2205</v>
      </c>
      <c r="F466" s="74" t="s">
        <v>3055</v>
      </c>
      <c r="G466" s="75" t="s">
        <v>2942</v>
      </c>
      <c r="H466" s="74" t="s">
        <v>3061</v>
      </c>
      <c r="I466" s="72">
        <f>'02_Work_Items'!Q466</f>
      </c>
      <c r="J466" s="71" t="s">
        <v>46</v>
      </c>
    </row>
    <row r="467" spans="1:10" x14ac:dyDescent="0.25">
      <c r="A467" s="70" t="s">
        <v>2233</v>
      </c>
      <c r="B467" s="71" t="s">
        <v>190</v>
      </c>
      <c r="C467" s="71" t="s">
        <v>189</v>
      </c>
      <c r="D467" s="71" t="s">
        <v>2236</v>
      </c>
      <c r="E467" s="71" t="s">
        <v>2205</v>
      </c>
      <c r="F467" s="71" t="s">
        <v>3055</v>
      </c>
      <c r="G467" s="72" t="s">
        <v>2942</v>
      </c>
      <c r="H467" s="71" t="s">
        <v>3062</v>
      </c>
      <c r="I467" s="72">
        <f>'02_Work_Items'!Q467</f>
      </c>
      <c r="J467" s="71" t="s">
        <v>46</v>
      </c>
    </row>
    <row r="468" spans="1:10" x14ac:dyDescent="0.25">
      <c r="A468" s="73" t="s">
        <v>2237</v>
      </c>
      <c r="B468" s="74" t="s">
        <v>190</v>
      </c>
      <c r="C468" s="74" t="s">
        <v>189</v>
      </c>
      <c r="D468" s="74" t="s">
        <v>2240</v>
      </c>
      <c r="E468" s="74" t="s">
        <v>2205</v>
      </c>
      <c r="F468" s="74" t="s">
        <v>3055</v>
      </c>
      <c r="G468" s="75" t="s">
        <v>2942</v>
      </c>
      <c r="H468" s="74" t="s">
        <v>3063</v>
      </c>
      <c r="I468" s="72">
        <f>'02_Work_Items'!Q468</f>
      </c>
      <c r="J468" s="71" t="s">
        <v>46</v>
      </c>
    </row>
    <row r="469" spans="1:10" x14ac:dyDescent="0.25">
      <c r="A469" s="70" t="s">
        <v>2241</v>
      </c>
      <c r="B469" s="71" t="s">
        <v>190</v>
      </c>
      <c r="C469" s="71" t="s">
        <v>189</v>
      </c>
      <c r="D469" s="71" t="s">
        <v>2244</v>
      </c>
      <c r="E469" s="71" t="s">
        <v>2205</v>
      </c>
      <c r="F469" s="71" t="s">
        <v>3055</v>
      </c>
      <c r="G469" s="72" t="s">
        <v>2942</v>
      </c>
      <c r="H469" s="71" t="s">
        <v>3064</v>
      </c>
      <c r="I469" s="72">
        <f>'02_Work_Items'!Q469</f>
      </c>
      <c r="J469" s="71" t="s">
        <v>46</v>
      </c>
    </row>
    <row r="470" spans="1:10" x14ac:dyDescent="0.25">
      <c r="A470" s="73" t="s">
        <v>2245</v>
      </c>
      <c r="B470" s="74" t="s">
        <v>190</v>
      </c>
      <c r="C470" s="74" t="s">
        <v>189</v>
      </c>
      <c r="D470" s="74" t="s">
        <v>2248</v>
      </c>
      <c r="E470" s="74" t="s">
        <v>2205</v>
      </c>
      <c r="F470" s="74" t="s">
        <v>3055</v>
      </c>
      <c r="G470" s="75" t="s">
        <v>2942</v>
      </c>
      <c r="H470" s="74" t="s">
        <v>2248</v>
      </c>
      <c r="I470" s="72">
        <f>'02_Work_Items'!Q470</f>
      </c>
      <c r="J470" s="71" t="s">
        <v>46</v>
      </c>
    </row>
    <row r="471" spans="1:10" x14ac:dyDescent="0.25">
      <c r="A471" s="70" t="s">
        <v>2249</v>
      </c>
      <c r="B471" s="71" t="s">
        <v>190</v>
      </c>
      <c r="C471" s="71" t="s">
        <v>189</v>
      </c>
      <c r="D471" s="71" t="s">
        <v>2252</v>
      </c>
      <c r="E471" s="71" t="s">
        <v>2205</v>
      </c>
      <c r="F471" s="71" t="s">
        <v>97</v>
      </c>
      <c r="G471" s="72" t="s">
        <v>2942</v>
      </c>
      <c r="H471" s="71" t="s">
        <v>3065</v>
      </c>
      <c r="I471" s="72">
        <f>'02_Work_Items'!Q471</f>
      </c>
      <c r="J471" s="71" t="s">
        <v>2253</v>
      </c>
    </row>
    <row r="472" spans="1:10" x14ac:dyDescent="0.25">
      <c r="A472" s="73" t="s">
        <v>2254</v>
      </c>
      <c r="B472" s="74" t="s">
        <v>190</v>
      </c>
      <c r="C472" s="74" t="s">
        <v>189</v>
      </c>
      <c r="D472" s="74" t="s">
        <v>2257</v>
      </c>
      <c r="E472" s="74" t="s">
        <v>2205</v>
      </c>
      <c r="F472" s="74" t="s">
        <v>3055</v>
      </c>
      <c r="G472" s="75" t="s">
        <v>2942</v>
      </c>
      <c r="H472" s="74" t="s">
        <v>3066</v>
      </c>
      <c r="I472" s="72">
        <f>'02_Work_Items'!Q472</f>
      </c>
      <c r="J472" s="71" t="s">
        <v>46</v>
      </c>
    </row>
    <row r="473" spans="1:10" x14ac:dyDescent="0.25">
      <c r="A473" s="70" t="s">
        <v>2258</v>
      </c>
      <c r="B473" s="71" t="s">
        <v>190</v>
      </c>
      <c r="C473" s="71" t="s">
        <v>189</v>
      </c>
      <c r="D473" s="71" t="s">
        <v>2261</v>
      </c>
      <c r="E473" s="71" t="s">
        <v>2205</v>
      </c>
      <c r="F473" s="71" t="s">
        <v>97</v>
      </c>
      <c r="G473" s="72" t="s">
        <v>2942</v>
      </c>
      <c r="H473" s="71" t="s">
        <v>2261</v>
      </c>
      <c r="I473" s="72">
        <f>'02_Work_Items'!Q473</f>
      </c>
      <c r="J473" s="71" t="s">
        <v>46</v>
      </c>
    </row>
    <row r="474" spans="1:10" x14ac:dyDescent="0.25">
      <c r="A474" s="73" t="s">
        <v>2262</v>
      </c>
      <c r="B474" s="74" t="s">
        <v>192</v>
      </c>
      <c r="C474" s="74" t="s">
        <v>191</v>
      </c>
      <c r="D474" s="74" t="s">
        <v>2265</v>
      </c>
      <c r="E474" s="74" t="s">
        <v>233</v>
      </c>
      <c r="F474" s="74" t="s">
        <v>2984</v>
      </c>
      <c r="G474" s="75" t="s">
        <v>2942</v>
      </c>
      <c r="H474" s="74" t="s">
        <v>2265</v>
      </c>
      <c r="I474" s="72">
        <f>'02_Work_Items'!Q474</f>
      </c>
      <c r="J474" s="71" t="s">
        <v>46</v>
      </c>
    </row>
    <row r="475" spans="1:10" x14ac:dyDescent="0.25">
      <c r="A475" s="70" t="s">
        <v>2267</v>
      </c>
      <c r="B475" s="71" t="s">
        <v>192</v>
      </c>
      <c r="C475" s="71" t="s">
        <v>191</v>
      </c>
      <c r="D475" s="71" t="s">
        <v>2270</v>
      </c>
      <c r="E475" s="71" t="s">
        <v>233</v>
      </c>
      <c r="F475" s="71" t="s">
        <v>97</v>
      </c>
      <c r="G475" s="72" t="s">
        <v>2942</v>
      </c>
      <c r="H475" s="71" t="s">
        <v>3067</v>
      </c>
      <c r="I475" s="72">
        <f>'02_Work_Items'!Q475</f>
      </c>
      <c r="J475" s="71" t="s">
        <v>46</v>
      </c>
    </row>
    <row r="476" spans="1:10" x14ac:dyDescent="0.25">
      <c r="A476" s="73" t="s">
        <v>2271</v>
      </c>
      <c r="B476" s="74" t="s">
        <v>192</v>
      </c>
      <c r="C476" s="74" t="s">
        <v>191</v>
      </c>
      <c r="D476" s="74" t="s">
        <v>2274</v>
      </c>
      <c r="E476" s="74" t="s">
        <v>233</v>
      </c>
      <c r="F476" s="74" t="s">
        <v>2984</v>
      </c>
      <c r="G476" s="75" t="s">
        <v>2942</v>
      </c>
      <c r="H476" s="74" t="s">
        <v>2274</v>
      </c>
      <c r="I476" s="72">
        <f>'02_Work_Items'!Q476</f>
      </c>
      <c r="J476" s="71" t="s">
        <v>2275</v>
      </c>
    </row>
    <row r="477" spans="1:10" x14ac:dyDescent="0.25">
      <c r="A477" s="70" t="s">
        <v>2276</v>
      </c>
      <c r="B477" s="71" t="s">
        <v>192</v>
      </c>
      <c r="C477" s="71" t="s">
        <v>191</v>
      </c>
      <c r="D477" s="71" t="s">
        <v>2279</v>
      </c>
      <c r="E477" s="71" t="s">
        <v>233</v>
      </c>
      <c r="F477" s="71" t="s">
        <v>2984</v>
      </c>
      <c r="G477" s="72" t="s">
        <v>2942</v>
      </c>
      <c r="H477" s="71" t="s">
        <v>3068</v>
      </c>
      <c r="I477" s="72">
        <f>'02_Work_Items'!Q477</f>
      </c>
      <c r="J477" s="71" t="s">
        <v>46</v>
      </c>
    </row>
    <row r="478" spans="1:10" x14ac:dyDescent="0.25">
      <c r="A478" s="73" t="s">
        <v>2280</v>
      </c>
      <c r="B478" s="74" t="s">
        <v>192</v>
      </c>
      <c r="C478" s="74" t="s">
        <v>191</v>
      </c>
      <c r="D478" s="74" t="s">
        <v>2283</v>
      </c>
      <c r="E478" s="74" t="s">
        <v>233</v>
      </c>
      <c r="F478" s="74" t="s">
        <v>2984</v>
      </c>
      <c r="G478" s="75" t="s">
        <v>2942</v>
      </c>
      <c r="H478" s="74" t="s">
        <v>2283</v>
      </c>
      <c r="I478" s="72">
        <f>'02_Work_Items'!Q478</f>
      </c>
      <c r="J478" s="71" t="s">
        <v>46</v>
      </c>
    </row>
    <row r="479" spans="1:10" x14ac:dyDescent="0.25">
      <c r="A479" s="70" t="s">
        <v>2284</v>
      </c>
      <c r="B479" s="71" t="s">
        <v>192</v>
      </c>
      <c r="C479" s="71" t="s">
        <v>191</v>
      </c>
      <c r="D479" s="71" t="s">
        <v>2287</v>
      </c>
      <c r="E479" s="71" t="s">
        <v>233</v>
      </c>
      <c r="F479" s="71" t="s">
        <v>2984</v>
      </c>
      <c r="G479" s="72" t="s">
        <v>2942</v>
      </c>
      <c r="H479" s="71" t="s">
        <v>3069</v>
      </c>
      <c r="I479" s="72">
        <f>'02_Work_Items'!Q479</f>
      </c>
      <c r="J479" s="71" t="s">
        <v>46</v>
      </c>
    </row>
    <row r="480" spans="1:10" x14ac:dyDescent="0.25">
      <c r="A480" s="73" t="s">
        <v>2288</v>
      </c>
      <c r="B480" s="74" t="s">
        <v>192</v>
      </c>
      <c r="C480" s="74" t="s">
        <v>191</v>
      </c>
      <c r="D480" s="74" t="s">
        <v>2291</v>
      </c>
      <c r="E480" s="74" t="s">
        <v>233</v>
      </c>
      <c r="F480" s="74" t="s">
        <v>2984</v>
      </c>
      <c r="G480" s="75" t="s">
        <v>2942</v>
      </c>
      <c r="H480" s="74" t="s">
        <v>2291</v>
      </c>
      <c r="I480" s="72">
        <f>'02_Work_Items'!Q480</f>
      </c>
      <c r="J480" s="71" t="s">
        <v>46</v>
      </c>
    </row>
    <row r="481" spans="1:10" x14ac:dyDescent="0.25">
      <c r="A481" s="70" t="s">
        <v>2292</v>
      </c>
      <c r="B481" s="71" t="s">
        <v>192</v>
      </c>
      <c r="C481" s="71" t="s">
        <v>191</v>
      </c>
      <c r="D481" s="71" t="s">
        <v>2295</v>
      </c>
      <c r="E481" s="71" t="s">
        <v>233</v>
      </c>
      <c r="F481" s="71" t="s">
        <v>97</v>
      </c>
      <c r="G481" s="72" t="s">
        <v>2942</v>
      </c>
      <c r="H481" s="71" t="s">
        <v>2295</v>
      </c>
      <c r="I481" s="72">
        <f>'02_Work_Items'!Q481</f>
      </c>
      <c r="J481" s="71" t="s">
        <v>46</v>
      </c>
    </row>
    <row r="482" spans="1:10" x14ac:dyDescent="0.25">
      <c r="A482" s="73" t="s">
        <v>2296</v>
      </c>
      <c r="B482" s="74" t="s">
        <v>192</v>
      </c>
      <c r="C482" s="74" t="s">
        <v>191</v>
      </c>
      <c r="D482" s="74" t="s">
        <v>2299</v>
      </c>
      <c r="E482" s="74" t="s">
        <v>233</v>
      </c>
      <c r="F482" s="74" t="s">
        <v>2984</v>
      </c>
      <c r="G482" s="75" t="s">
        <v>2942</v>
      </c>
      <c r="H482" s="74" t="s">
        <v>2299</v>
      </c>
      <c r="I482" s="72">
        <f>'02_Work_Items'!Q482</f>
      </c>
      <c r="J482" s="71" t="s">
        <v>46</v>
      </c>
    </row>
    <row r="483" spans="1:10" x14ac:dyDescent="0.25">
      <c r="A483" s="70" t="s">
        <v>2300</v>
      </c>
      <c r="B483" s="71" t="s">
        <v>192</v>
      </c>
      <c r="C483" s="71" t="s">
        <v>191</v>
      </c>
      <c r="D483" s="71" t="s">
        <v>2303</v>
      </c>
      <c r="E483" s="71" t="s">
        <v>233</v>
      </c>
      <c r="F483" s="71" t="s">
        <v>2984</v>
      </c>
      <c r="G483" s="72" t="s">
        <v>2942</v>
      </c>
      <c r="H483" s="71" t="s">
        <v>3070</v>
      </c>
      <c r="I483" s="72">
        <f>'02_Work_Items'!Q483</f>
      </c>
      <c r="J483" s="71" t="s">
        <v>46</v>
      </c>
    </row>
    <row r="484" spans="1:10" x14ac:dyDescent="0.25">
      <c r="A484" s="73" t="s">
        <v>2304</v>
      </c>
      <c r="B484" s="74" t="s">
        <v>192</v>
      </c>
      <c r="C484" s="74" t="s">
        <v>191</v>
      </c>
      <c r="D484" s="74" t="s">
        <v>2307</v>
      </c>
      <c r="E484" s="74" t="s">
        <v>233</v>
      </c>
      <c r="F484" s="74" t="s">
        <v>97</v>
      </c>
      <c r="G484" s="75" t="s">
        <v>2942</v>
      </c>
      <c r="H484" s="74" t="s">
        <v>2307</v>
      </c>
      <c r="I484" s="72">
        <f>'02_Work_Items'!Q484</f>
      </c>
      <c r="J484" s="71" t="s">
        <v>46</v>
      </c>
    </row>
    <row r="485" spans="1:10" x14ac:dyDescent="0.25">
      <c r="A485" s="70" t="s">
        <v>2308</v>
      </c>
      <c r="B485" s="71" t="s">
        <v>192</v>
      </c>
      <c r="C485" s="71" t="s">
        <v>191</v>
      </c>
      <c r="D485" s="71" t="s">
        <v>2311</v>
      </c>
      <c r="E485" s="71" t="s">
        <v>233</v>
      </c>
      <c r="F485" s="71" t="s">
        <v>2984</v>
      </c>
      <c r="G485" s="72" t="s">
        <v>2942</v>
      </c>
      <c r="H485" s="71" t="s">
        <v>2311</v>
      </c>
      <c r="I485" s="72">
        <f>'02_Work_Items'!Q485</f>
      </c>
      <c r="J485" s="71" t="s">
        <v>46</v>
      </c>
    </row>
    <row r="486" spans="1:10" x14ac:dyDescent="0.25">
      <c r="A486" s="73" t="s">
        <v>2312</v>
      </c>
      <c r="B486" s="74" t="s">
        <v>192</v>
      </c>
      <c r="C486" s="74" t="s">
        <v>191</v>
      </c>
      <c r="D486" s="74" t="s">
        <v>2315</v>
      </c>
      <c r="E486" s="74" t="s">
        <v>233</v>
      </c>
      <c r="F486" s="74" t="s">
        <v>97</v>
      </c>
      <c r="G486" s="75" t="s">
        <v>2942</v>
      </c>
      <c r="H486" s="74" t="s">
        <v>2315</v>
      </c>
      <c r="I486" s="72">
        <f>'02_Work_Items'!Q486</f>
      </c>
      <c r="J486" s="71" t="s">
        <v>2317</v>
      </c>
    </row>
    <row r="487" spans="1:10" x14ac:dyDescent="0.25">
      <c r="A487" s="70" t="s">
        <v>2318</v>
      </c>
      <c r="B487" s="71" t="s">
        <v>192</v>
      </c>
      <c r="C487" s="71" t="s">
        <v>191</v>
      </c>
      <c r="D487" s="71" t="s">
        <v>2321</v>
      </c>
      <c r="E487" s="71" t="s">
        <v>233</v>
      </c>
      <c r="F487" s="71" t="s">
        <v>97</v>
      </c>
      <c r="G487" s="72" t="s">
        <v>2942</v>
      </c>
      <c r="H487" s="71" t="s">
        <v>3071</v>
      </c>
      <c r="I487" s="72">
        <f>'02_Work_Items'!Q487</f>
      </c>
      <c r="J487" s="71" t="s">
        <v>46</v>
      </c>
    </row>
    <row r="488" spans="1:10" x14ac:dyDescent="0.25">
      <c r="A488" s="73" t="s">
        <v>2322</v>
      </c>
      <c r="B488" s="74" t="s">
        <v>192</v>
      </c>
      <c r="C488" s="74" t="s">
        <v>191</v>
      </c>
      <c r="D488" s="74" t="s">
        <v>2325</v>
      </c>
      <c r="E488" s="74" t="s">
        <v>233</v>
      </c>
      <c r="F488" s="74" t="s">
        <v>97</v>
      </c>
      <c r="G488" s="75" t="s">
        <v>2942</v>
      </c>
      <c r="H488" s="74" t="s">
        <v>3072</v>
      </c>
      <c r="I488" s="72">
        <f>'02_Work_Items'!Q488</f>
      </c>
      <c r="J488" s="71" t="s">
        <v>46</v>
      </c>
    </row>
    <row r="489" spans="1:10" x14ac:dyDescent="0.25">
      <c r="A489" s="70" t="s">
        <v>2326</v>
      </c>
      <c r="B489" s="71" t="s">
        <v>192</v>
      </c>
      <c r="C489" s="71" t="s">
        <v>191</v>
      </c>
      <c r="D489" s="71" t="s">
        <v>2329</v>
      </c>
      <c r="E489" s="71" t="s">
        <v>233</v>
      </c>
      <c r="F489" s="71" t="s">
        <v>97</v>
      </c>
      <c r="G489" s="72" t="s">
        <v>2942</v>
      </c>
      <c r="H489" s="71" t="s">
        <v>3073</v>
      </c>
      <c r="I489" s="72">
        <f>'02_Work_Items'!Q489</f>
      </c>
      <c r="J489" s="71" t="s">
        <v>46</v>
      </c>
    </row>
    <row r="490" spans="1:10" x14ac:dyDescent="0.25">
      <c r="A490" s="73" t="s">
        <v>2330</v>
      </c>
      <c r="B490" s="74" t="s">
        <v>194</v>
      </c>
      <c r="C490" s="74" t="s">
        <v>193</v>
      </c>
      <c r="D490" s="74" t="s">
        <v>2334</v>
      </c>
      <c r="E490" s="74" t="s">
        <v>233</v>
      </c>
      <c r="F490" s="74" t="s">
        <v>97</v>
      </c>
      <c r="G490" s="75" t="s">
        <v>2942</v>
      </c>
      <c r="H490" s="74" t="s">
        <v>3074</v>
      </c>
      <c r="I490" s="72">
        <f>'02_Work_Items'!Q490</f>
      </c>
      <c r="J490" s="71" t="s">
        <v>2336</v>
      </c>
    </row>
    <row r="491" spans="1:10" x14ac:dyDescent="0.25">
      <c r="A491" s="70" t="s">
        <v>2337</v>
      </c>
      <c r="B491" s="71" t="s">
        <v>194</v>
      </c>
      <c r="C491" s="71" t="s">
        <v>193</v>
      </c>
      <c r="D491" s="71" t="s">
        <v>2340</v>
      </c>
      <c r="E491" s="71" t="s">
        <v>233</v>
      </c>
      <c r="F491" s="71" t="s">
        <v>3040</v>
      </c>
      <c r="G491" s="72" t="s">
        <v>2942</v>
      </c>
      <c r="H491" s="71" t="s">
        <v>3075</v>
      </c>
      <c r="I491" s="72">
        <f>'02_Work_Items'!Q491</f>
      </c>
      <c r="J491" s="71" t="s">
        <v>46</v>
      </c>
    </row>
    <row r="492" spans="1:10" x14ac:dyDescent="0.25">
      <c r="A492" s="73" t="s">
        <v>2341</v>
      </c>
      <c r="B492" s="74" t="s">
        <v>194</v>
      </c>
      <c r="C492" s="74" t="s">
        <v>193</v>
      </c>
      <c r="D492" s="74" t="s">
        <v>2344</v>
      </c>
      <c r="E492" s="74" t="s">
        <v>233</v>
      </c>
      <c r="F492" s="74" t="s">
        <v>3040</v>
      </c>
      <c r="G492" s="75" t="s">
        <v>2942</v>
      </c>
      <c r="H492" s="74" t="s">
        <v>3076</v>
      </c>
      <c r="I492" s="72">
        <f>'02_Work_Items'!Q492</f>
      </c>
      <c r="J492" s="71" t="s">
        <v>46</v>
      </c>
    </row>
    <row r="493" spans="1:10" x14ac:dyDescent="0.25">
      <c r="A493" s="70" t="s">
        <v>2345</v>
      </c>
      <c r="B493" s="71" t="s">
        <v>194</v>
      </c>
      <c r="C493" s="71" t="s">
        <v>193</v>
      </c>
      <c r="D493" s="71" t="s">
        <v>2348</v>
      </c>
      <c r="E493" s="71" t="s">
        <v>233</v>
      </c>
      <c r="F493" s="71" t="s">
        <v>3040</v>
      </c>
      <c r="G493" s="72" t="s">
        <v>2942</v>
      </c>
      <c r="H493" s="71" t="s">
        <v>3077</v>
      </c>
      <c r="I493" s="72">
        <f>'02_Work_Items'!Q493</f>
      </c>
      <c r="J493" s="71" t="s">
        <v>46</v>
      </c>
    </row>
    <row r="494" spans="1:10" x14ac:dyDescent="0.25">
      <c r="A494" s="73" t="s">
        <v>2349</v>
      </c>
      <c r="B494" s="74" t="s">
        <v>194</v>
      </c>
      <c r="C494" s="74" t="s">
        <v>193</v>
      </c>
      <c r="D494" s="74" t="s">
        <v>2352</v>
      </c>
      <c r="E494" s="74" t="s">
        <v>233</v>
      </c>
      <c r="F494" s="74" t="s">
        <v>3040</v>
      </c>
      <c r="G494" s="75" t="s">
        <v>2942</v>
      </c>
      <c r="H494" s="74" t="s">
        <v>3078</v>
      </c>
      <c r="I494" s="72">
        <f>'02_Work_Items'!Q494</f>
      </c>
      <c r="J494" s="71" t="s">
        <v>46</v>
      </c>
    </row>
    <row r="495" spans="1:10" x14ac:dyDescent="0.25">
      <c r="A495" s="70" t="s">
        <v>2353</v>
      </c>
      <c r="B495" s="71" t="s">
        <v>194</v>
      </c>
      <c r="C495" s="71" t="s">
        <v>193</v>
      </c>
      <c r="D495" s="71" t="s">
        <v>2356</v>
      </c>
      <c r="E495" s="71" t="s">
        <v>233</v>
      </c>
      <c r="F495" s="71" t="s">
        <v>3040</v>
      </c>
      <c r="G495" s="72" t="s">
        <v>2942</v>
      </c>
      <c r="H495" s="71" t="s">
        <v>2356</v>
      </c>
      <c r="I495" s="72">
        <f>'02_Work_Items'!Q495</f>
      </c>
      <c r="J495" s="71" t="s">
        <v>46</v>
      </c>
    </row>
    <row r="496" spans="1:10" x14ac:dyDescent="0.25">
      <c r="A496" s="73" t="s">
        <v>2357</v>
      </c>
      <c r="B496" s="74" t="s">
        <v>194</v>
      </c>
      <c r="C496" s="74" t="s">
        <v>193</v>
      </c>
      <c r="D496" s="74" t="s">
        <v>2360</v>
      </c>
      <c r="E496" s="74" t="s">
        <v>233</v>
      </c>
      <c r="F496" s="74" t="s">
        <v>3040</v>
      </c>
      <c r="G496" s="75" t="s">
        <v>2942</v>
      </c>
      <c r="H496" s="74" t="s">
        <v>3079</v>
      </c>
      <c r="I496" s="72">
        <f>'02_Work_Items'!Q496</f>
      </c>
      <c r="J496" s="71" t="s">
        <v>46</v>
      </c>
    </row>
    <row r="497" spans="1:10" x14ac:dyDescent="0.25">
      <c r="A497" s="70" t="s">
        <v>2361</v>
      </c>
      <c r="B497" s="71" t="s">
        <v>194</v>
      </c>
      <c r="C497" s="71" t="s">
        <v>193</v>
      </c>
      <c r="D497" s="71" t="s">
        <v>2364</v>
      </c>
      <c r="E497" s="71" t="s">
        <v>233</v>
      </c>
      <c r="F497" s="71" t="s">
        <v>3040</v>
      </c>
      <c r="G497" s="72" t="s">
        <v>2942</v>
      </c>
      <c r="H497" s="71" t="s">
        <v>2364</v>
      </c>
      <c r="I497" s="72">
        <f>'02_Work_Items'!Q497</f>
      </c>
      <c r="J497" s="71" t="s">
        <v>46</v>
      </c>
    </row>
    <row r="498" spans="1:10" x14ac:dyDescent="0.25">
      <c r="A498" s="73" t="s">
        <v>2365</v>
      </c>
      <c r="B498" s="74" t="s">
        <v>194</v>
      </c>
      <c r="C498" s="74" t="s">
        <v>193</v>
      </c>
      <c r="D498" s="74" t="s">
        <v>2368</v>
      </c>
      <c r="E498" s="74" t="s">
        <v>233</v>
      </c>
      <c r="F498" s="74" t="s">
        <v>3040</v>
      </c>
      <c r="G498" s="75" t="s">
        <v>2942</v>
      </c>
      <c r="H498" s="74" t="s">
        <v>2368</v>
      </c>
      <c r="I498" s="72">
        <f>'02_Work_Items'!Q498</f>
      </c>
      <c r="J498" s="71" t="s">
        <v>46</v>
      </c>
    </row>
    <row r="499" spans="1:10" x14ac:dyDescent="0.25">
      <c r="A499" s="70" t="s">
        <v>2369</v>
      </c>
      <c r="B499" s="71" t="s">
        <v>194</v>
      </c>
      <c r="C499" s="71" t="s">
        <v>193</v>
      </c>
      <c r="D499" s="71" t="s">
        <v>2372</v>
      </c>
      <c r="E499" s="71" t="s">
        <v>233</v>
      </c>
      <c r="F499" s="71" t="s">
        <v>3040</v>
      </c>
      <c r="G499" s="72" t="s">
        <v>2942</v>
      </c>
      <c r="H499" s="71" t="s">
        <v>2372</v>
      </c>
      <c r="I499" s="72">
        <f>'02_Work_Items'!Q499</f>
      </c>
      <c r="J499" s="71" t="s">
        <v>46</v>
      </c>
    </row>
    <row r="500" spans="1:10" x14ac:dyDescent="0.25">
      <c r="A500" s="73" t="s">
        <v>2373</v>
      </c>
      <c r="B500" s="74" t="s">
        <v>194</v>
      </c>
      <c r="C500" s="74" t="s">
        <v>193</v>
      </c>
      <c r="D500" s="74" t="s">
        <v>2376</v>
      </c>
      <c r="E500" s="74" t="s">
        <v>233</v>
      </c>
      <c r="F500" s="74" t="s">
        <v>3040</v>
      </c>
      <c r="G500" s="75" t="s">
        <v>2942</v>
      </c>
      <c r="H500" s="74" t="s">
        <v>2376</v>
      </c>
      <c r="I500" s="72">
        <f>'02_Work_Items'!Q500</f>
      </c>
      <c r="J500" s="71" t="s">
        <v>46</v>
      </c>
    </row>
    <row r="501" spans="1:10" x14ac:dyDescent="0.25">
      <c r="A501" s="70" t="s">
        <v>2377</v>
      </c>
      <c r="B501" s="71" t="s">
        <v>194</v>
      </c>
      <c r="C501" s="71" t="s">
        <v>193</v>
      </c>
      <c r="D501" s="71" t="s">
        <v>2380</v>
      </c>
      <c r="E501" s="71" t="s">
        <v>233</v>
      </c>
      <c r="F501" s="71" t="s">
        <v>97</v>
      </c>
      <c r="G501" s="72" t="s">
        <v>2942</v>
      </c>
      <c r="H501" s="71" t="s">
        <v>3080</v>
      </c>
      <c r="I501" s="72">
        <f>'02_Work_Items'!Q501</f>
      </c>
      <c r="J501" s="71" t="s">
        <v>2381</v>
      </c>
    </row>
    <row r="502" spans="1:10" x14ac:dyDescent="0.25">
      <c r="A502" s="73" t="s">
        <v>2382</v>
      </c>
      <c r="B502" s="74" t="s">
        <v>194</v>
      </c>
      <c r="C502" s="74" t="s">
        <v>193</v>
      </c>
      <c r="D502" s="74" t="s">
        <v>2385</v>
      </c>
      <c r="E502" s="74" t="s">
        <v>233</v>
      </c>
      <c r="F502" s="74" t="s">
        <v>3040</v>
      </c>
      <c r="G502" s="75" t="s">
        <v>2942</v>
      </c>
      <c r="H502" s="74" t="s">
        <v>3081</v>
      </c>
      <c r="I502" s="72">
        <f>'02_Work_Items'!Q502</f>
      </c>
      <c r="J502" s="71" t="s">
        <v>2386</v>
      </c>
    </row>
    <row r="503" spans="1:10" x14ac:dyDescent="0.25">
      <c r="A503" s="70" t="s">
        <v>2387</v>
      </c>
      <c r="B503" s="71" t="s">
        <v>194</v>
      </c>
      <c r="C503" s="71" t="s">
        <v>193</v>
      </c>
      <c r="D503" s="71" t="s">
        <v>2390</v>
      </c>
      <c r="E503" s="71" t="s">
        <v>233</v>
      </c>
      <c r="F503" s="71" t="s">
        <v>3040</v>
      </c>
      <c r="G503" s="72" t="s">
        <v>2942</v>
      </c>
      <c r="H503" s="71" t="s">
        <v>2390</v>
      </c>
      <c r="I503" s="72">
        <f>'02_Work_Items'!Q503</f>
      </c>
      <c r="J503" s="71" t="s">
        <v>46</v>
      </c>
    </row>
    <row r="504" spans="1:10" x14ac:dyDescent="0.25">
      <c r="A504" s="73" t="s">
        <v>2391</v>
      </c>
      <c r="B504" s="74" t="s">
        <v>194</v>
      </c>
      <c r="C504" s="74" t="s">
        <v>193</v>
      </c>
      <c r="D504" s="74" t="s">
        <v>2394</v>
      </c>
      <c r="E504" s="74" t="s">
        <v>233</v>
      </c>
      <c r="F504" s="74" t="s">
        <v>97</v>
      </c>
      <c r="G504" s="75" t="s">
        <v>2942</v>
      </c>
      <c r="H504" s="74" t="s">
        <v>2394</v>
      </c>
      <c r="I504" s="72">
        <f>'02_Work_Items'!Q504</f>
      </c>
      <c r="J504" s="71" t="s">
        <v>2395</v>
      </c>
    </row>
    <row r="505" spans="1:10" x14ac:dyDescent="0.25">
      <c r="A505" s="70" t="s">
        <v>2396</v>
      </c>
      <c r="B505" s="71" t="s">
        <v>194</v>
      </c>
      <c r="C505" s="71" t="s">
        <v>193</v>
      </c>
      <c r="D505" s="71" t="s">
        <v>2399</v>
      </c>
      <c r="E505" s="71" t="s">
        <v>233</v>
      </c>
      <c r="F505" s="71" t="s">
        <v>3040</v>
      </c>
      <c r="G505" s="72" t="s">
        <v>2942</v>
      </c>
      <c r="H505" s="71" t="s">
        <v>3082</v>
      </c>
      <c r="I505" s="72">
        <f>'02_Work_Items'!Q505</f>
      </c>
      <c r="J505" s="71" t="s">
        <v>46</v>
      </c>
    </row>
    <row r="506" spans="1:10" x14ac:dyDescent="0.25">
      <c r="A506" s="73" t="s">
        <v>2400</v>
      </c>
      <c r="B506" s="74" t="s">
        <v>194</v>
      </c>
      <c r="C506" s="74" t="s">
        <v>195</v>
      </c>
      <c r="D506" s="74" t="s">
        <v>2404</v>
      </c>
      <c r="E506" s="74" t="s">
        <v>233</v>
      </c>
      <c r="F506" s="74" t="s">
        <v>97</v>
      </c>
      <c r="G506" s="75" t="s">
        <v>2942</v>
      </c>
      <c r="H506" s="74" t="s">
        <v>3083</v>
      </c>
      <c r="I506" s="72">
        <f>'02_Work_Items'!Q506</f>
      </c>
      <c r="J506" s="71" t="s">
        <v>46</v>
      </c>
    </row>
    <row r="507" spans="1:10" x14ac:dyDescent="0.25">
      <c r="A507" s="70" t="s">
        <v>2406</v>
      </c>
      <c r="B507" s="71" t="s">
        <v>194</v>
      </c>
      <c r="C507" s="71" t="s">
        <v>195</v>
      </c>
      <c r="D507" s="71" t="s">
        <v>2409</v>
      </c>
      <c r="E507" s="71" t="s">
        <v>233</v>
      </c>
      <c r="F507" s="71" t="s">
        <v>97</v>
      </c>
      <c r="G507" s="72" t="s">
        <v>2942</v>
      </c>
      <c r="H507" s="71" t="s">
        <v>2409</v>
      </c>
      <c r="I507" s="72">
        <f>'02_Work_Items'!Q507</f>
      </c>
      <c r="J507" s="71" t="s">
        <v>46</v>
      </c>
    </row>
    <row r="508" spans="1:10" x14ac:dyDescent="0.25">
      <c r="A508" s="73" t="s">
        <v>2410</v>
      </c>
      <c r="B508" s="74" t="s">
        <v>194</v>
      </c>
      <c r="C508" s="74" t="s">
        <v>195</v>
      </c>
      <c r="D508" s="74" t="s">
        <v>2413</v>
      </c>
      <c r="E508" s="74" t="s">
        <v>233</v>
      </c>
      <c r="F508" s="74" t="s">
        <v>3084</v>
      </c>
      <c r="G508" s="75" t="s">
        <v>2942</v>
      </c>
      <c r="H508" s="74" t="s">
        <v>2413</v>
      </c>
      <c r="I508" s="72">
        <f>'02_Work_Items'!Q508</f>
      </c>
      <c r="J508" s="71" t="s">
        <v>46</v>
      </c>
    </row>
    <row r="509" spans="1:10" x14ac:dyDescent="0.25">
      <c r="A509" s="70" t="s">
        <v>2414</v>
      </c>
      <c r="B509" s="71" t="s">
        <v>194</v>
      </c>
      <c r="C509" s="71" t="s">
        <v>195</v>
      </c>
      <c r="D509" s="71" t="s">
        <v>2417</v>
      </c>
      <c r="E509" s="71" t="s">
        <v>233</v>
      </c>
      <c r="F509" s="71" t="s">
        <v>97</v>
      </c>
      <c r="G509" s="72" t="s">
        <v>2942</v>
      </c>
      <c r="H509" s="71" t="s">
        <v>2417</v>
      </c>
      <c r="I509" s="72">
        <f>'02_Work_Items'!Q509</f>
      </c>
      <c r="J509" s="71" t="s">
        <v>46</v>
      </c>
    </row>
    <row r="510" spans="1:10" x14ac:dyDescent="0.25">
      <c r="A510" s="73" t="s">
        <v>2418</v>
      </c>
      <c r="B510" s="74" t="s">
        <v>194</v>
      </c>
      <c r="C510" s="74" t="s">
        <v>195</v>
      </c>
      <c r="D510" s="74" t="s">
        <v>2421</v>
      </c>
      <c r="E510" s="74" t="s">
        <v>233</v>
      </c>
      <c r="F510" s="74" t="s">
        <v>3040</v>
      </c>
      <c r="G510" s="75" t="s">
        <v>2942</v>
      </c>
      <c r="H510" s="74" t="s">
        <v>2421</v>
      </c>
      <c r="I510" s="72">
        <f>'02_Work_Items'!Q510</f>
      </c>
      <c r="J510" s="71" t="s">
        <v>46</v>
      </c>
    </row>
    <row r="511" spans="1:10" x14ac:dyDescent="0.25">
      <c r="A511" s="70" t="s">
        <v>2422</v>
      </c>
      <c r="B511" s="71" t="s">
        <v>194</v>
      </c>
      <c r="C511" s="71" t="s">
        <v>195</v>
      </c>
      <c r="D511" s="71" t="s">
        <v>2425</v>
      </c>
      <c r="E511" s="71" t="s">
        <v>233</v>
      </c>
      <c r="F511" s="71" t="s">
        <v>97</v>
      </c>
      <c r="G511" s="72" t="s">
        <v>2942</v>
      </c>
      <c r="H511" s="71" t="s">
        <v>3085</v>
      </c>
      <c r="I511" s="72">
        <f>'02_Work_Items'!Q511</f>
      </c>
      <c r="J511" s="71" t="s">
        <v>2427</v>
      </c>
    </row>
  </sheetData>
  <autoFilter ref="A4:J511"/>
  <mergeCells count="3">
    <mergeCell ref="A1:J1"/>
    <mergeCell ref="A2:J2"/>
    <mergeCell ref="A3:J3"/>
  </mergeCells>
  <conditionalFormatting sqref="I5:I511">
    <cfRule type="containsText" dxfId="49" priority="1">
      <formula>NOT(ISERROR(SEARCH("Blocked",I5)))</formula>
    </cfRule>
    <cfRule type="containsText" dxfId="50" priority="2">
      <formula>NOT(ISERROR(SEARCH("Completed",I5)))</formula>
    </cfRule>
    <cfRule type="containsText" dxfId="51" priority="3">
      <formula>NOT(ISERROR(SEARCH("Not Started",I5)))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7313F"/>
    <pageSetUpPr fitToPage="1"/>
  </sheetPr>
  <dimension ref="A1:N163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14" width="13.5" customWidth="1"/>
  </cols>
  <sheetData>
    <row r="1" ht="40" customHeight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0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22" customHeight="1" spans="1:14" x14ac:dyDescent="0.25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ht="18" customHeight="1" spans="1:14" x14ac:dyDescent="0.25">
      <c r="A5" s="4" t="s">
        <v>3</v>
      </c>
      <c r="B5" s="5" t="s">
        <v>4</v>
      </c>
      <c r="C5" s="5"/>
      <c r="D5" s="5"/>
      <c r="E5" s="5"/>
      <c r="F5" s="4" t="s">
        <v>5</v>
      </c>
      <c r="G5" s="4"/>
      <c r="H5" s="5" t="s">
        <v>6</v>
      </c>
      <c r="I5" s="5"/>
      <c r="J5" s="4" t="s">
        <v>7</v>
      </c>
      <c r="K5" s="4"/>
      <c r="L5" s="6" t="s">
        <v>8</v>
      </c>
      <c r="M5" s="6"/>
      <c r="N5" s="6"/>
    </row>
    <row r="6" ht="18" customHeight="1" spans="1:14" x14ac:dyDescent="0.25">
      <c r="A6" s="4" t="s">
        <v>9</v>
      </c>
      <c r="B6" s="5" t="s">
        <v>10</v>
      </c>
      <c r="C6" s="5"/>
      <c r="D6" s="5"/>
      <c r="E6" s="5"/>
      <c r="F6" s="4" t="s">
        <v>11</v>
      </c>
      <c r="G6" s="4"/>
      <c r="H6" s="5">
        <f>COUNTA('03_Feature_Summary'!$A$5:$A$43)</f>
      </c>
      <c r="I6" s="5"/>
      <c r="J6" s="4" t="s">
        <v>12</v>
      </c>
      <c r="K6" s="4"/>
      <c r="L6" s="6" t="s">
        <v>13</v>
      </c>
      <c r="M6" s="6"/>
      <c r="N6" s="6"/>
    </row>
    <row r="7" ht="18" customHeight="1" spans="1:14" x14ac:dyDescent="0.25">
      <c r="A7" s="4" t="s">
        <v>14</v>
      </c>
      <c r="B7" s="5" t="s">
        <v>15</v>
      </c>
      <c r="C7" s="5"/>
      <c r="D7" s="5"/>
      <c r="E7" s="5"/>
      <c r="F7" s="4" t="s">
        <v>16</v>
      </c>
      <c r="G7" s="4"/>
      <c r="H7" s="5" t="s">
        <v>17</v>
      </c>
      <c r="I7" s="5"/>
      <c r="J7" s="4" t="s">
        <v>18</v>
      </c>
      <c r="K7" s="4"/>
      <c r="L7" s="6" t="s">
        <v>19</v>
      </c>
      <c r="M7" s="6"/>
      <c r="N7" s="6"/>
    </row>
    <row r="8" ht="18" customHeight="1" spans="1:14" x14ac:dyDescent="0.25">
      <c r="A8" s="4" t="s">
        <v>20</v>
      </c>
      <c r="B8" s="5" t="s">
        <v>21</v>
      </c>
      <c r="C8" s="5"/>
      <c r="D8" s="5"/>
      <c r="E8" s="5"/>
      <c r="F8" s="4" t="s">
        <v>22</v>
      </c>
      <c r="G8" s="4"/>
      <c r="H8" s="5" t="s">
        <v>23</v>
      </c>
      <c r="I8" s="5"/>
      <c r="J8" s="4" t="s">
        <v>24</v>
      </c>
      <c r="K8" s="4"/>
      <c r="L8" s="6" t="s">
        <v>25</v>
      </c>
      <c r="M8" s="6"/>
      <c r="N8" s="6"/>
    </row>
    <row r="10" ht="22" customHeight="1" spans="1:14" x14ac:dyDescent="0.25">
      <c r="A10" s="3" t="s">
        <v>26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ht="20" customHeight="1" spans="1:14" x14ac:dyDescent="0.25">
      <c r="A11" s="7" t="s">
        <v>27</v>
      </c>
      <c r="B11" s="7"/>
      <c r="C11" s="7" t="s">
        <v>28</v>
      </c>
      <c r="D11" s="7"/>
      <c r="E11" s="7" t="s">
        <v>29</v>
      </c>
      <c r="F11" s="7"/>
      <c r="G11" s="7" t="s">
        <v>30</v>
      </c>
      <c r="H11" s="7"/>
      <c r="I11" s="7" t="s">
        <v>31</v>
      </c>
      <c r="J11" s="7"/>
      <c r="K11" s="7" t="s">
        <v>32</v>
      </c>
      <c r="L11" s="7"/>
      <c r="M11" s="7" t="s">
        <v>33</v>
      </c>
      <c r="N11" s="7"/>
    </row>
    <row r="12" ht="34" customHeight="1" spans="1:14" x14ac:dyDescent="0.25">
      <c r="A12" s="8">
        <f>COUNTA(WI_ID)</f>
      </c>
      <c r="B12" s="8"/>
      <c r="C12" s="9">
        <f>COUNTIF(WI_Status,"Completed")</f>
      </c>
      <c r="D12" s="9"/>
      <c r="E12" s="8">
        <f>COUNTA(WI_ID)-COUNTIF(WI_Status,"Completed")</f>
      </c>
      <c r="F12" s="8"/>
      <c r="G12" s="10">
        <f>COUNTIF(WI_Status,"In Progress")</f>
      </c>
      <c r="H12" s="10"/>
      <c r="I12" s="11">
        <f>COUNTIF(WI_Status,"Blocked")</f>
      </c>
      <c r="J12" s="11"/>
      <c r="K12" s="12">
        <f>COUNTIF(WI_Impl,"Yes")</f>
      </c>
      <c r="L12" s="12"/>
      <c r="M12" s="12">
        <f>COUNTIF(WI_Comm,"Yes")</f>
      </c>
      <c r="N12" s="12"/>
    </row>
    <row r="14" ht="20" customHeight="1" spans="1:14" x14ac:dyDescent="0.25">
      <c r="A14" s="7" t="s">
        <v>34</v>
      </c>
      <c r="B14" s="7"/>
      <c r="C14" s="7" t="s">
        <v>35</v>
      </c>
      <c r="D14" s="7"/>
      <c r="E14" s="7" t="s">
        <v>36</v>
      </c>
      <c r="F14" s="7"/>
      <c r="G14" s="7" t="s">
        <v>37</v>
      </c>
      <c r="H14" s="7"/>
      <c r="I14" s="7" t="s">
        <v>38</v>
      </c>
      <c r="J14" s="7"/>
      <c r="K14" s="7" t="s">
        <v>39</v>
      </c>
      <c r="L14" s="7"/>
      <c r="M14" s="7" t="s">
        <v>40</v>
      </c>
      <c r="N14" s="7"/>
    </row>
    <row r="15" ht="34" customHeight="1" spans="1:14" x14ac:dyDescent="0.25">
      <c r="A15" s="12">
        <f>COUNTIF(WI_Push,"Yes")</f>
      </c>
      <c r="B15" s="12"/>
      <c r="C15" s="12">
        <f>COUNTIF(WI_Test,"Yes")</f>
      </c>
      <c r="D15" s="12"/>
      <c r="E15" s="12">
        <f>COUNTIF(WI_Rev,"Yes")</f>
      </c>
      <c r="F15" s="12"/>
      <c r="G15" s="10">
        <f>COUNTIFS(BUG_Status,"&lt;&gt;Closed",BUG_Status,"&lt;&gt;",BUG_Status,"&lt;&gt;Won't Fix")</f>
      </c>
      <c r="H15" s="10"/>
      <c r="I15" s="11">
        <f>COUNTIFS(BUG_Sev,"Critical",BUG_Status,"&lt;&gt;Closed")</f>
      </c>
      <c r="J15" s="11"/>
      <c r="K15" s="10">
        <f>COUNTIFS(BUG_Sev,"High",BUG_Status,"&lt;&gt;Closed")</f>
      </c>
      <c r="L15" s="10"/>
      <c r="M15" s="8">
        <f>SUM(WI_Effort)</f>
      </c>
      <c r="N15" s="8"/>
    </row>
    <row r="18" ht="22" customHeight="1" spans="1:14" x14ac:dyDescent="0.25">
      <c r="A18" s="3" t="s">
        <v>41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ht="26" customHeight="1" spans="1:14" x14ac:dyDescent="0.25">
      <c r="A19" s="13" t="s">
        <v>42</v>
      </c>
      <c r="B19" s="13" t="s">
        <v>43</v>
      </c>
      <c r="C19" s="13" t="s">
        <v>44</v>
      </c>
      <c r="D19" s="13" t="s">
        <v>45</v>
      </c>
      <c r="E19" s="13" t="s">
        <v>46</v>
      </c>
      <c r="F19" s="13"/>
      <c r="G19" s="13"/>
      <c r="H19" s="13" t="s">
        <v>47</v>
      </c>
      <c r="I19" s="13"/>
      <c r="J19" s="13"/>
      <c r="K19" s="13"/>
      <c r="L19" s="13"/>
      <c r="M19" s="13"/>
      <c r="N19" s="13"/>
    </row>
    <row r="20" ht="17" customHeight="1" spans="1:14" x14ac:dyDescent="0.25">
      <c r="A20" s="14" t="s">
        <v>48</v>
      </c>
      <c r="B20" s="15">
        <f>COUNTIF(WI_Status,"Completed")</f>
      </c>
      <c r="C20" s="16">
        <f>COUNTA(WI_ID)</f>
      </c>
      <c r="D20" s="17">
        <f>IF(C20=0,0,B20/C20)</f>
      </c>
      <c r="E20" s="18">
        <f>REPT("|",ROUND(D20*40,0))</f>
      </c>
      <c r="F20" s="18"/>
      <c r="G20" s="18"/>
      <c r="H20" s="19" t="s">
        <v>49</v>
      </c>
      <c r="I20" s="19"/>
      <c r="J20" s="19"/>
      <c r="K20" s="19"/>
      <c r="L20" s="19"/>
      <c r="M20" s="19"/>
      <c r="N20" s="19"/>
    </row>
    <row r="21" ht="17" customHeight="1" spans="1:14" x14ac:dyDescent="0.25">
      <c r="A21" s="20" t="s">
        <v>50</v>
      </c>
      <c r="B21" s="15">
        <f>COUNTIF(WI_Impl,"Yes")</f>
      </c>
      <c r="C21" s="16">
        <f>COUNTA(WI_ID)</f>
      </c>
      <c r="D21" s="17">
        <f>IF(C21=0,0,B21/C21)</f>
      </c>
      <c r="E21" s="18">
        <f>REPT("|",ROUND(D21*40,0))</f>
      </c>
      <c r="F21" s="18"/>
      <c r="G21" s="18"/>
      <c r="H21" s="19" t="s">
        <v>51</v>
      </c>
      <c r="I21" s="19"/>
      <c r="J21" s="19"/>
      <c r="K21" s="19"/>
      <c r="L21" s="19"/>
      <c r="M21" s="19"/>
      <c r="N21" s="19"/>
    </row>
    <row r="22" ht="17" customHeight="1" spans="1:14" x14ac:dyDescent="0.25">
      <c r="A22" s="5" t="s">
        <v>52</v>
      </c>
      <c r="B22" s="15">
        <f>COUNTIF(WI_Comm,"Yes")</f>
      </c>
      <c r="C22" s="16">
        <f>COUNTA(WI_ID)</f>
      </c>
      <c r="D22" s="17">
        <f>IF(C22=0,0,B22/C22)</f>
      </c>
      <c r="E22" s="18">
        <f>REPT("|",ROUND(D22*40,0))</f>
      </c>
      <c r="F22" s="18"/>
      <c r="G22" s="18"/>
      <c r="H22" s="19" t="s">
        <v>53</v>
      </c>
      <c r="I22" s="19"/>
      <c r="J22" s="19"/>
      <c r="K22" s="19"/>
      <c r="L22" s="19"/>
      <c r="M22" s="19"/>
      <c r="N22" s="19"/>
    </row>
    <row r="23" ht="17" customHeight="1" spans="1:14" x14ac:dyDescent="0.25">
      <c r="A23" s="20" t="s">
        <v>54</v>
      </c>
      <c r="B23" s="15">
        <f>COUNTIF(WI_Push,"Yes")</f>
      </c>
      <c r="C23" s="16">
        <f>COUNTA(WI_ID)</f>
      </c>
      <c r="D23" s="17">
        <f>IF(C23=0,0,B23/C23)</f>
      </c>
      <c r="E23" s="18">
        <f>REPT("|",ROUND(D23*40,0))</f>
      </c>
      <c r="F23" s="18"/>
      <c r="G23" s="18"/>
      <c r="H23" s="19" t="s">
        <v>55</v>
      </c>
      <c r="I23" s="19"/>
      <c r="J23" s="19"/>
      <c r="K23" s="19"/>
      <c r="L23" s="19"/>
      <c r="M23" s="19"/>
      <c r="N23" s="19"/>
    </row>
    <row r="24" ht="17" customHeight="1" spans="1:14" x14ac:dyDescent="0.25">
      <c r="A24" s="5" t="s">
        <v>56</v>
      </c>
      <c r="B24" s="15">
        <f>COUNTIF(WI_Test,"Yes")</f>
      </c>
      <c r="C24" s="16">
        <f>COUNTA(WI_ID)</f>
      </c>
      <c r="D24" s="17">
        <f>IF(C24=0,0,B24/C24)</f>
      </c>
      <c r="E24" s="18">
        <f>REPT("|",ROUND(D24*40,0))</f>
      </c>
      <c r="F24" s="18"/>
      <c r="G24" s="18"/>
      <c r="H24" s="19" t="s">
        <v>57</v>
      </c>
      <c r="I24" s="19"/>
      <c r="J24" s="19"/>
      <c r="K24" s="19"/>
      <c r="L24" s="19"/>
      <c r="M24" s="19"/>
      <c r="N24" s="19"/>
    </row>
    <row r="25" ht="17" customHeight="1" spans="1:14" x14ac:dyDescent="0.25">
      <c r="A25" s="20" t="s">
        <v>58</v>
      </c>
      <c r="B25" s="15">
        <f>COUNTIF(WI_Rev,"Yes")</f>
      </c>
      <c r="C25" s="16">
        <f>COUNTA(WI_ID)</f>
      </c>
      <c r="D25" s="17">
        <f>IF(C25=0,0,B25/C25)</f>
      </c>
      <c r="E25" s="18">
        <f>REPT("|",ROUND(D25*40,0))</f>
      </c>
      <c r="F25" s="18"/>
      <c r="G25" s="18"/>
      <c r="H25" s="19" t="s">
        <v>59</v>
      </c>
      <c r="I25" s="19"/>
      <c r="J25" s="19"/>
      <c r="K25" s="19"/>
      <c r="L25" s="19"/>
      <c r="M25" s="19"/>
      <c r="N25" s="19"/>
    </row>
    <row r="26" ht="17" customHeight="1" spans="1:14" x14ac:dyDescent="0.25">
      <c r="A26" s="5" t="s">
        <v>31</v>
      </c>
      <c r="B26" s="15">
        <f>COUNTIF(WI_Status,"Blocked")</f>
      </c>
      <c r="C26" s="16">
        <f>COUNTA(WI_ID)</f>
      </c>
      <c r="D26" s="17">
        <f>IF(C26=0,0,B26/C26)</f>
      </c>
      <c r="E26" s="18">
        <f>REPT("|",ROUND(D26*40,0))</f>
      </c>
      <c r="F26" s="18"/>
      <c r="G26" s="18"/>
      <c r="H26" s="19" t="s">
        <v>60</v>
      </c>
      <c r="I26" s="19"/>
      <c r="J26" s="19"/>
      <c r="K26" s="19"/>
      <c r="L26" s="19"/>
      <c r="M26" s="19"/>
      <c r="N26" s="19"/>
    </row>
    <row r="27" ht="17" customHeight="1" spans="1:14" x14ac:dyDescent="0.25">
      <c r="A27" s="20" t="s">
        <v>61</v>
      </c>
      <c r="B27" s="15">
        <f>COUNTA(WI_ID)-COUNTIF(WI_Status,"Blocked")</f>
      </c>
      <c r="C27" s="16">
        <f>COUNTA(WI_ID)</f>
      </c>
      <c r="D27" s="17">
        <f>IF(C27=0,0,B27/C27)</f>
      </c>
      <c r="E27" s="18">
        <f>REPT("|",ROUND(D27*40,0))</f>
      </c>
      <c r="F27" s="18"/>
      <c r="G27" s="18"/>
      <c r="H27" s="19" t="s">
        <v>62</v>
      </c>
      <c r="I27" s="19"/>
      <c r="J27" s="19"/>
      <c r="K27" s="19"/>
      <c r="L27" s="19"/>
      <c r="M27" s="19"/>
      <c r="N27" s="19"/>
    </row>
    <row r="29" ht="22" customHeight="1" spans="1:14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ht="26" customHeight="1" spans="1:7" x14ac:dyDescent="0.25">
      <c r="A30" s="13" t="s">
        <v>63</v>
      </c>
      <c r="B30" s="13" t="s">
        <v>43</v>
      </c>
      <c r="C30" s="13" t="s">
        <v>64</v>
      </c>
      <c r="D30" s="13" t="s">
        <v>65</v>
      </c>
      <c r="E30" s="13"/>
      <c r="F30" s="13"/>
      <c r="G30" s="13"/>
    </row>
    <row r="31" ht="16" customHeight="1" spans="1:7" x14ac:dyDescent="0.25">
      <c r="A31" s="5" t="s">
        <v>66</v>
      </c>
      <c r="B31" s="15">
        <f>COUNTIF(WI_Status,A31)</f>
      </c>
      <c r="C31" s="21">
        <f>IF(COUNTA(WI_ID)=0,0,B31/COUNTA(WI_ID))</f>
      </c>
      <c r="D31" s="18">
        <f>REPT("|",ROUND(C31*60,0))</f>
      </c>
      <c r="E31" s="18"/>
      <c r="F31" s="18"/>
      <c r="G31" s="18"/>
    </row>
    <row r="32" ht="16" customHeight="1" spans="1:7" x14ac:dyDescent="0.25">
      <c r="A32" s="20" t="s">
        <v>67</v>
      </c>
      <c r="B32" s="15">
        <f>COUNTIF(WI_Status,A32)</f>
      </c>
      <c r="C32" s="21">
        <f>IF(COUNTA(WI_ID)=0,0,B32/COUNTA(WI_ID))</f>
      </c>
      <c r="D32" s="18">
        <f>REPT("|",ROUND(C32*60,0))</f>
      </c>
      <c r="E32" s="18"/>
      <c r="F32" s="18"/>
      <c r="G32" s="18"/>
    </row>
    <row r="33" ht="16" customHeight="1" spans="1:7" x14ac:dyDescent="0.25">
      <c r="A33" s="5" t="s">
        <v>68</v>
      </c>
      <c r="B33" s="15">
        <f>COUNTIF(WI_Status,A33)</f>
      </c>
      <c r="C33" s="21">
        <f>IF(COUNTA(WI_ID)=0,0,B33/COUNTA(WI_ID))</f>
      </c>
      <c r="D33" s="18">
        <f>REPT("|",ROUND(C33*60,0))</f>
      </c>
      <c r="E33" s="18"/>
      <c r="F33" s="18"/>
      <c r="G33" s="18"/>
    </row>
    <row r="34" ht="16" customHeight="1" spans="1:7" x14ac:dyDescent="0.25">
      <c r="A34" s="20" t="s">
        <v>30</v>
      </c>
      <c r="B34" s="15">
        <f>COUNTIF(WI_Status,A34)</f>
      </c>
      <c r="C34" s="21">
        <f>IF(COUNTA(WI_ID)=0,0,B34/COUNTA(WI_ID))</f>
      </c>
      <c r="D34" s="18">
        <f>REPT("|",ROUND(C34*60,0))</f>
      </c>
      <c r="E34" s="18"/>
      <c r="F34" s="18"/>
      <c r="G34" s="18"/>
    </row>
    <row r="35" ht="16" customHeight="1" spans="1:7" x14ac:dyDescent="0.25">
      <c r="A35" s="5" t="s">
        <v>69</v>
      </c>
      <c r="B35" s="15">
        <f>COUNTIF(WI_Status,A35)</f>
      </c>
      <c r="C35" s="21">
        <f>IF(COUNTA(WI_ID)=0,0,B35/COUNTA(WI_ID))</f>
      </c>
      <c r="D35" s="18">
        <f>REPT("|",ROUND(C35*60,0))</f>
      </c>
      <c r="E35" s="18"/>
      <c r="F35" s="18"/>
      <c r="G35" s="18"/>
    </row>
    <row r="36" ht="16" customHeight="1" spans="1:7" x14ac:dyDescent="0.25">
      <c r="A36" s="20" t="s">
        <v>70</v>
      </c>
      <c r="B36" s="15">
        <f>COUNTIF(WI_Status,A36)</f>
      </c>
      <c r="C36" s="21">
        <f>IF(COUNTA(WI_ID)=0,0,B36/COUNTA(WI_ID))</f>
      </c>
      <c r="D36" s="18">
        <f>REPT("|",ROUND(C36*60,0))</f>
      </c>
      <c r="E36" s="18"/>
      <c r="F36" s="18"/>
      <c r="G36" s="18"/>
    </row>
    <row r="37" ht="16" customHeight="1" spans="1:7" x14ac:dyDescent="0.25">
      <c r="A37" s="5" t="s">
        <v>71</v>
      </c>
      <c r="B37" s="15">
        <f>COUNTIF(WI_Status,A37)</f>
      </c>
      <c r="C37" s="21">
        <f>IF(COUNTA(WI_ID)=0,0,B37/COUNTA(WI_ID))</f>
      </c>
      <c r="D37" s="18">
        <f>REPT("|",ROUND(C37*60,0))</f>
      </c>
      <c r="E37" s="18"/>
      <c r="F37" s="18"/>
      <c r="G37" s="18"/>
    </row>
    <row r="38" ht="16" customHeight="1" spans="1:7" x14ac:dyDescent="0.25">
      <c r="A38" s="20" t="s">
        <v>56</v>
      </c>
      <c r="B38" s="15">
        <f>COUNTIF(WI_Status,A38)</f>
      </c>
      <c r="C38" s="21">
        <f>IF(COUNTA(WI_ID)=0,0,B38/COUNTA(WI_ID))</f>
      </c>
      <c r="D38" s="18">
        <f>REPT("|",ROUND(C38*60,0))</f>
      </c>
      <c r="E38" s="18"/>
      <c r="F38" s="18"/>
      <c r="G38" s="18"/>
    </row>
    <row r="39" ht="16" customHeight="1" spans="1:7" x14ac:dyDescent="0.25">
      <c r="A39" s="5" t="s">
        <v>72</v>
      </c>
      <c r="B39" s="15">
        <f>COUNTIF(WI_Status,A39)</f>
      </c>
      <c r="C39" s="21">
        <f>IF(COUNTA(WI_ID)=0,0,B39/COUNTA(WI_ID))</f>
      </c>
      <c r="D39" s="18">
        <f>REPT("|",ROUND(C39*60,0))</f>
      </c>
      <c r="E39" s="18"/>
      <c r="F39" s="18"/>
      <c r="G39" s="18"/>
    </row>
    <row r="40" ht="16" customHeight="1" spans="1:7" x14ac:dyDescent="0.25">
      <c r="A40" s="20" t="s">
        <v>73</v>
      </c>
      <c r="B40" s="15">
        <f>COUNTIF(WI_Status,A40)</f>
      </c>
      <c r="C40" s="21">
        <f>IF(COUNTA(WI_ID)=0,0,B40/COUNTA(WI_ID))</f>
      </c>
      <c r="D40" s="18">
        <f>REPT("|",ROUND(C40*60,0))</f>
      </c>
      <c r="E40" s="18"/>
      <c r="F40" s="18"/>
      <c r="G40" s="18"/>
    </row>
    <row r="41" ht="16" customHeight="1" spans="1:7" x14ac:dyDescent="0.25">
      <c r="A41" s="5" t="s">
        <v>28</v>
      </c>
      <c r="B41" s="15">
        <f>COUNTIF(WI_Status,A41)</f>
      </c>
      <c r="C41" s="21">
        <f>IF(COUNTA(WI_ID)=0,0,B41/COUNTA(WI_ID))</f>
      </c>
      <c r="D41" s="18">
        <f>REPT("|",ROUND(C41*60,0))</f>
      </c>
      <c r="E41" s="18"/>
      <c r="F41" s="18"/>
      <c r="G41" s="18"/>
    </row>
    <row r="42" ht="16" customHeight="1" spans="1:7" x14ac:dyDescent="0.25">
      <c r="A42" s="20" t="s">
        <v>31</v>
      </c>
      <c r="B42" s="15">
        <f>COUNTIF(WI_Status,A42)</f>
      </c>
      <c r="C42" s="21">
        <f>IF(COUNTA(WI_ID)=0,0,B42/COUNTA(WI_ID))</f>
      </c>
      <c r="D42" s="18">
        <f>REPT("|",ROUND(C42*60,0))</f>
      </c>
      <c r="E42" s="18"/>
      <c r="F42" s="18"/>
      <c r="G42" s="18"/>
    </row>
    <row r="43" ht="16" customHeight="1" spans="1:7" x14ac:dyDescent="0.25">
      <c r="A43" s="5" t="s">
        <v>74</v>
      </c>
      <c r="B43" s="15">
        <f>COUNTIF(WI_Status,A43)</f>
      </c>
      <c r="C43" s="21">
        <f>IF(COUNTA(WI_ID)=0,0,B43/COUNTA(WI_ID))</f>
      </c>
      <c r="D43" s="18">
        <f>REPT("|",ROUND(C43*60,0))</f>
      </c>
      <c r="E43" s="18"/>
      <c r="F43" s="18"/>
      <c r="G43" s="18"/>
    </row>
    <row r="46" ht="22" customHeight="1" spans="1:14" x14ac:dyDescent="0.25">
      <c r="A46" s="3" t="s">
        <v>75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</row>
    <row r="47" ht="26" customHeight="1" spans="1:14" x14ac:dyDescent="0.25">
      <c r="A47" s="13" t="s">
        <v>76</v>
      </c>
      <c r="B47" s="13" t="s">
        <v>77</v>
      </c>
      <c r="C47" s="13" t="s">
        <v>69</v>
      </c>
      <c r="D47" s="13" t="s">
        <v>70</v>
      </c>
      <c r="E47" s="13" t="s">
        <v>71</v>
      </c>
      <c r="F47" s="13" t="s">
        <v>72</v>
      </c>
      <c r="G47" s="13" t="s">
        <v>28</v>
      </c>
      <c r="H47" s="13" t="s">
        <v>29</v>
      </c>
      <c r="I47" s="13" t="s">
        <v>31</v>
      </c>
      <c r="J47" s="13" t="s">
        <v>78</v>
      </c>
      <c r="K47" s="13" t="s">
        <v>79</v>
      </c>
      <c r="L47" s="13"/>
      <c r="M47" s="13"/>
      <c r="N47" s="13"/>
    </row>
    <row r="48" ht="16" customHeight="1" spans="1:14" x14ac:dyDescent="0.25">
      <c r="A48" s="14" t="s">
        <v>80</v>
      </c>
      <c r="B48" s="22">
        <f>COUNTIF(WI_Day,$A48)</f>
      </c>
      <c r="C48" s="22">
        <f>COUNTIFS(WI_Day,$A48,WI_Impl,"Yes")</f>
      </c>
      <c r="D48" s="22">
        <f>COUNTIFS(WI_Day,$A48,WI_Comm,"Yes")</f>
      </c>
      <c r="E48" s="22">
        <f>COUNTIFS(WI_Day,$A48,WI_Push,"Yes")</f>
      </c>
      <c r="F48" s="22">
        <f>COUNTIFS(WI_Day,$A48,WI_Test,"Yes")</f>
      </c>
      <c r="G48" s="22">
        <f>COUNTIFS(WI_Day,$A48,WI_Status,"Completed")</f>
      </c>
      <c r="H48" s="22">
        <f>B48-G48</f>
      </c>
      <c r="I48" s="22">
        <f>COUNTIFS(WI_Day,$A48,WI_Status,"Blocked")</f>
      </c>
      <c r="J48" s="22">
        <f>SUMIF(WI_Day,$A48,WI_Effort)</f>
      </c>
      <c r="K48" s="23">
        <f>SUM($J$48:J48)</f>
      </c>
      <c r="L48" s="23"/>
      <c r="M48" s="23"/>
      <c r="N48" s="23"/>
    </row>
    <row r="49" ht="16" customHeight="1" spans="1:14" x14ac:dyDescent="0.25">
      <c r="A49" s="14" t="s">
        <v>81</v>
      </c>
      <c r="B49" s="22">
        <f>COUNTIF(WI_Day,$A49)</f>
      </c>
      <c r="C49" s="22">
        <f>COUNTIFS(WI_Day,$A49,WI_Impl,"Yes")</f>
      </c>
      <c r="D49" s="22">
        <f>COUNTIFS(WI_Day,$A49,WI_Comm,"Yes")</f>
      </c>
      <c r="E49" s="22">
        <f>COUNTIFS(WI_Day,$A49,WI_Push,"Yes")</f>
      </c>
      <c r="F49" s="22">
        <f>COUNTIFS(WI_Day,$A49,WI_Test,"Yes")</f>
      </c>
      <c r="G49" s="22">
        <f>COUNTIFS(WI_Day,$A49,WI_Status,"Completed")</f>
      </c>
      <c r="H49" s="22">
        <f>B49-G49</f>
      </c>
      <c r="I49" s="22">
        <f>COUNTIFS(WI_Day,$A49,WI_Status,"Blocked")</f>
      </c>
      <c r="J49" s="22">
        <f>SUMIF(WI_Day,$A49,WI_Effort)</f>
      </c>
      <c r="K49" s="23">
        <f>SUM($J$48:J49)</f>
      </c>
      <c r="L49" s="23"/>
      <c r="M49" s="23"/>
      <c r="N49" s="23"/>
    </row>
    <row r="50" ht="16" customHeight="1" spans="1:14" x14ac:dyDescent="0.25">
      <c r="A50" s="14" t="s">
        <v>82</v>
      </c>
      <c r="B50" s="22">
        <f>COUNTIF(WI_Day,$A50)</f>
      </c>
      <c r="C50" s="22">
        <f>COUNTIFS(WI_Day,$A50,WI_Impl,"Yes")</f>
      </c>
      <c r="D50" s="22">
        <f>COUNTIFS(WI_Day,$A50,WI_Comm,"Yes")</f>
      </c>
      <c r="E50" s="22">
        <f>COUNTIFS(WI_Day,$A50,WI_Push,"Yes")</f>
      </c>
      <c r="F50" s="22">
        <f>COUNTIFS(WI_Day,$A50,WI_Test,"Yes")</f>
      </c>
      <c r="G50" s="22">
        <f>COUNTIFS(WI_Day,$A50,WI_Status,"Completed")</f>
      </c>
      <c r="H50" s="22">
        <f>B50-G50</f>
      </c>
      <c r="I50" s="22">
        <f>COUNTIFS(WI_Day,$A50,WI_Status,"Blocked")</f>
      </c>
      <c r="J50" s="22">
        <f>SUMIF(WI_Day,$A50,WI_Effort)</f>
      </c>
      <c r="K50" s="23">
        <f>SUM($J$48:J50)</f>
      </c>
      <c r="L50" s="23"/>
      <c r="M50" s="23"/>
      <c r="N50" s="23"/>
    </row>
    <row r="51" ht="16" customHeight="1" spans="1:14" x14ac:dyDescent="0.25">
      <c r="A51" s="14" t="s">
        <v>83</v>
      </c>
      <c r="B51" s="22">
        <f>COUNTIF(WI_Day,$A51)</f>
      </c>
      <c r="C51" s="22">
        <f>COUNTIFS(WI_Day,$A51,WI_Impl,"Yes")</f>
      </c>
      <c r="D51" s="22">
        <f>COUNTIFS(WI_Day,$A51,WI_Comm,"Yes")</f>
      </c>
      <c r="E51" s="22">
        <f>COUNTIFS(WI_Day,$A51,WI_Push,"Yes")</f>
      </c>
      <c r="F51" s="22">
        <f>COUNTIFS(WI_Day,$A51,WI_Test,"Yes")</f>
      </c>
      <c r="G51" s="22">
        <f>COUNTIFS(WI_Day,$A51,WI_Status,"Completed")</f>
      </c>
      <c r="H51" s="22">
        <f>B51-G51</f>
      </c>
      <c r="I51" s="22">
        <f>COUNTIFS(WI_Day,$A51,WI_Status,"Blocked")</f>
      </c>
      <c r="J51" s="22">
        <f>SUMIF(WI_Day,$A51,WI_Effort)</f>
      </c>
      <c r="K51" s="23">
        <f>SUM($J$48:J51)</f>
      </c>
      <c r="L51" s="23"/>
      <c r="M51" s="23"/>
      <c r="N51" s="23"/>
    </row>
    <row r="52" ht="16" customHeight="1" spans="1:14" x14ac:dyDescent="0.25">
      <c r="A52" s="14" t="s">
        <v>84</v>
      </c>
      <c r="B52" s="22">
        <f>COUNTIF(WI_Day,$A52)</f>
      </c>
      <c r="C52" s="22">
        <f>COUNTIFS(WI_Day,$A52,WI_Impl,"Yes")</f>
      </c>
      <c r="D52" s="22">
        <f>COUNTIFS(WI_Day,$A52,WI_Comm,"Yes")</f>
      </c>
      <c r="E52" s="22">
        <f>COUNTIFS(WI_Day,$A52,WI_Push,"Yes")</f>
      </c>
      <c r="F52" s="22">
        <f>COUNTIFS(WI_Day,$A52,WI_Test,"Yes")</f>
      </c>
      <c r="G52" s="22">
        <f>COUNTIFS(WI_Day,$A52,WI_Status,"Completed")</f>
      </c>
      <c r="H52" s="22">
        <f>B52-G52</f>
      </c>
      <c r="I52" s="22">
        <f>COUNTIFS(WI_Day,$A52,WI_Status,"Blocked")</f>
      </c>
      <c r="J52" s="22">
        <f>SUMIF(WI_Day,$A52,WI_Effort)</f>
      </c>
      <c r="K52" s="23">
        <f>SUM($J$48:J52)</f>
      </c>
      <c r="L52" s="23"/>
      <c r="M52" s="23"/>
      <c r="N52" s="23"/>
    </row>
    <row r="53" ht="16" customHeight="1" spans="1:14" x14ac:dyDescent="0.25">
      <c r="A53" s="14" t="s">
        <v>85</v>
      </c>
      <c r="B53" s="22">
        <f>COUNTIF(WI_Day,$A53)</f>
      </c>
      <c r="C53" s="22">
        <f>COUNTIFS(WI_Day,$A53,WI_Impl,"Yes")</f>
      </c>
      <c r="D53" s="22">
        <f>COUNTIFS(WI_Day,$A53,WI_Comm,"Yes")</f>
      </c>
      <c r="E53" s="22">
        <f>COUNTIFS(WI_Day,$A53,WI_Push,"Yes")</f>
      </c>
      <c r="F53" s="22">
        <f>COUNTIFS(WI_Day,$A53,WI_Test,"Yes")</f>
      </c>
      <c r="G53" s="22">
        <f>COUNTIFS(WI_Day,$A53,WI_Status,"Completed")</f>
      </c>
      <c r="H53" s="22">
        <f>B53-G53</f>
      </c>
      <c r="I53" s="22">
        <f>COUNTIFS(WI_Day,$A53,WI_Status,"Blocked")</f>
      </c>
      <c r="J53" s="22">
        <f>SUMIF(WI_Day,$A53,WI_Effort)</f>
      </c>
      <c r="K53" s="23">
        <f>SUM($J$48:J53)</f>
      </c>
      <c r="L53" s="23"/>
      <c r="M53" s="23"/>
      <c r="N53" s="23"/>
    </row>
    <row r="54" ht="16" customHeight="1" spans="1:14" x14ac:dyDescent="0.25">
      <c r="A54" s="14" t="s">
        <v>86</v>
      </c>
      <c r="B54" s="22">
        <f>COUNTIF(WI_Day,$A54)</f>
      </c>
      <c r="C54" s="22">
        <f>COUNTIFS(WI_Day,$A54,WI_Impl,"Yes")</f>
      </c>
      <c r="D54" s="22">
        <f>COUNTIFS(WI_Day,$A54,WI_Comm,"Yes")</f>
      </c>
      <c r="E54" s="22">
        <f>COUNTIFS(WI_Day,$A54,WI_Push,"Yes")</f>
      </c>
      <c r="F54" s="22">
        <f>COUNTIFS(WI_Day,$A54,WI_Test,"Yes")</f>
      </c>
      <c r="G54" s="22">
        <f>COUNTIFS(WI_Day,$A54,WI_Status,"Completed")</f>
      </c>
      <c r="H54" s="22">
        <f>B54-G54</f>
      </c>
      <c r="I54" s="22">
        <f>COUNTIFS(WI_Day,$A54,WI_Status,"Blocked")</f>
      </c>
      <c r="J54" s="22">
        <f>SUMIF(WI_Day,$A54,WI_Effort)</f>
      </c>
      <c r="K54" s="23">
        <f>SUM($J$48:J54)</f>
      </c>
      <c r="L54" s="23"/>
      <c r="M54" s="23"/>
      <c r="N54" s="23"/>
    </row>
    <row r="55" ht="16" customHeight="1" spans="1:14" x14ac:dyDescent="0.25">
      <c r="A55" s="14" t="s">
        <v>87</v>
      </c>
      <c r="B55" s="22">
        <f>COUNTIF(WI_Day,$A55)</f>
      </c>
      <c r="C55" s="22">
        <f>COUNTIFS(WI_Day,$A55,WI_Impl,"Yes")</f>
      </c>
      <c r="D55" s="22">
        <f>COUNTIFS(WI_Day,$A55,WI_Comm,"Yes")</f>
      </c>
      <c r="E55" s="22">
        <f>COUNTIFS(WI_Day,$A55,WI_Push,"Yes")</f>
      </c>
      <c r="F55" s="22">
        <f>COUNTIFS(WI_Day,$A55,WI_Test,"Yes")</f>
      </c>
      <c r="G55" s="22">
        <f>COUNTIFS(WI_Day,$A55,WI_Status,"Completed")</f>
      </c>
      <c r="H55" s="22">
        <f>B55-G55</f>
      </c>
      <c r="I55" s="22">
        <f>COUNTIFS(WI_Day,$A55,WI_Status,"Blocked")</f>
      </c>
      <c r="J55" s="22">
        <f>SUMIF(WI_Day,$A55,WI_Effort)</f>
      </c>
      <c r="K55" s="23">
        <f>SUM($J$48:J55)</f>
      </c>
      <c r="L55" s="23"/>
      <c r="M55" s="23"/>
      <c r="N55" s="23"/>
    </row>
    <row r="56" ht="16" customHeight="1" spans="1:14" x14ac:dyDescent="0.25">
      <c r="A56" s="14" t="s">
        <v>88</v>
      </c>
      <c r="B56" s="22">
        <f>COUNTIF(WI_Day,$A56)</f>
      </c>
      <c r="C56" s="22">
        <f>COUNTIFS(WI_Day,$A56,WI_Impl,"Yes")</f>
      </c>
      <c r="D56" s="22">
        <f>COUNTIFS(WI_Day,$A56,WI_Comm,"Yes")</f>
      </c>
      <c r="E56" s="22">
        <f>COUNTIFS(WI_Day,$A56,WI_Push,"Yes")</f>
      </c>
      <c r="F56" s="22">
        <f>COUNTIFS(WI_Day,$A56,WI_Test,"Yes")</f>
      </c>
      <c r="G56" s="22">
        <f>COUNTIFS(WI_Day,$A56,WI_Status,"Completed")</f>
      </c>
      <c r="H56" s="22">
        <f>B56-G56</f>
      </c>
      <c r="I56" s="22">
        <f>COUNTIFS(WI_Day,$A56,WI_Status,"Blocked")</f>
      </c>
      <c r="J56" s="22">
        <f>SUMIF(WI_Day,$A56,WI_Effort)</f>
      </c>
      <c r="K56" s="23">
        <f>SUM($J$48:J56)</f>
      </c>
      <c r="L56" s="23"/>
      <c r="M56" s="23"/>
      <c r="N56" s="23"/>
    </row>
    <row r="57" ht="16" customHeight="1" spans="1:14" x14ac:dyDescent="0.25">
      <c r="A57" s="14" t="s">
        <v>89</v>
      </c>
      <c r="B57" s="22">
        <f>COUNTIF(WI_Day,$A57)</f>
      </c>
      <c r="C57" s="22">
        <f>COUNTIFS(WI_Day,$A57,WI_Impl,"Yes")</f>
      </c>
      <c r="D57" s="22">
        <f>COUNTIFS(WI_Day,$A57,WI_Comm,"Yes")</f>
      </c>
      <c r="E57" s="22">
        <f>COUNTIFS(WI_Day,$A57,WI_Push,"Yes")</f>
      </c>
      <c r="F57" s="22">
        <f>COUNTIFS(WI_Day,$A57,WI_Test,"Yes")</f>
      </c>
      <c r="G57" s="22">
        <f>COUNTIFS(WI_Day,$A57,WI_Status,"Completed")</f>
      </c>
      <c r="H57" s="22">
        <f>B57-G57</f>
      </c>
      <c r="I57" s="22">
        <f>COUNTIFS(WI_Day,$A57,WI_Status,"Blocked")</f>
      </c>
      <c r="J57" s="22">
        <f>SUMIF(WI_Day,$A57,WI_Effort)</f>
      </c>
      <c r="K57" s="23">
        <f>SUM($J$48:J57)</f>
      </c>
      <c r="L57" s="23"/>
      <c r="M57" s="23"/>
      <c r="N57" s="23"/>
    </row>
    <row r="58" ht="16" customHeight="1" spans="1:14" x14ac:dyDescent="0.25">
      <c r="A58" s="14" t="s">
        <v>90</v>
      </c>
      <c r="B58" s="22">
        <f>COUNTIF(WI_Day,$A58)</f>
      </c>
      <c r="C58" s="22">
        <f>COUNTIFS(WI_Day,$A58,WI_Impl,"Yes")</f>
      </c>
      <c r="D58" s="22">
        <f>COUNTIFS(WI_Day,$A58,WI_Comm,"Yes")</f>
      </c>
      <c r="E58" s="22">
        <f>COUNTIFS(WI_Day,$A58,WI_Push,"Yes")</f>
      </c>
      <c r="F58" s="22">
        <f>COUNTIFS(WI_Day,$A58,WI_Test,"Yes")</f>
      </c>
      <c r="G58" s="22">
        <f>COUNTIFS(WI_Day,$A58,WI_Status,"Completed")</f>
      </c>
      <c r="H58" s="22">
        <f>B58-G58</f>
      </c>
      <c r="I58" s="22">
        <f>COUNTIFS(WI_Day,$A58,WI_Status,"Blocked")</f>
      </c>
      <c r="J58" s="22">
        <f>SUMIF(WI_Day,$A58,WI_Effort)</f>
      </c>
      <c r="K58" s="23">
        <f>SUM($J$48:J58)</f>
      </c>
      <c r="L58" s="23"/>
      <c r="M58" s="23"/>
      <c r="N58" s="23"/>
    </row>
    <row r="59" ht="16" customHeight="1" spans="1:14" x14ac:dyDescent="0.25">
      <c r="A59" s="14" t="s">
        <v>91</v>
      </c>
      <c r="B59" s="22">
        <f>COUNTIF(WI_Day,$A59)</f>
      </c>
      <c r="C59" s="22">
        <f>COUNTIFS(WI_Day,$A59,WI_Impl,"Yes")</f>
      </c>
      <c r="D59" s="22">
        <f>COUNTIFS(WI_Day,$A59,WI_Comm,"Yes")</f>
      </c>
      <c r="E59" s="22">
        <f>COUNTIFS(WI_Day,$A59,WI_Push,"Yes")</f>
      </c>
      <c r="F59" s="22">
        <f>COUNTIFS(WI_Day,$A59,WI_Test,"Yes")</f>
      </c>
      <c r="G59" s="22">
        <f>COUNTIFS(WI_Day,$A59,WI_Status,"Completed")</f>
      </c>
      <c r="H59" s="22">
        <f>B59-G59</f>
      </c>
      <c r="I59" s="22">
        <f>COUNTIFS(WI_Day,$A59,WI_Status,"Blocked")</f>
      </c>
      <c r="J59" s="22">
        <f>SUMIF(WI_Day,$A59,WI_Effort)</f>
      </c>
      <c r="K59" s="23">
        <f>SUM($J$48:J59)</f>
      </c>
      <c r="L59" s="23"/>
      <c r="M59" s="23"/>
      <c r="N59" s="23"/>
    </row>
    <row r="60" ht="16" customHeight="1" spans="1:14" x14ac:dyDescent="0.25">
      <c r="A60" s="14" t="s">
        <v>92</v>
      </c>
      <c r="B60" s="22">
        <f>COUNTIF(WI_Day,$A60)</f>
      </c>
      <c r="C60" s="22">
        <f>COUNTIFS(WI_Day,$A60,WI_Impl,"Yes")</f>
      </c>
      <c r="D60" s="22">
        <f>COUNTIFS(WI_Day,$A60,WI_Comm,"Yes")</f>
      </c>
      <c r="E60" s="22">
        <f>COUNTIFS(WI_Day,$A60,WI_Push,"Yes")</f>
      </c>
      <c r="F60" s="22">
        <f>COUNTIFS(WI_Day,$A60,WI_Test,"Yes")</f>
      </c>
      <c r="G60" s="22">
        <f>COUNTIFS(WI_Day,$A60,WI_Status,"Completed")</f>
      </c>
      <c r="H60" s="22">
        <f>B60-G60</f>
      </c>
      <c r="I60" s="22">
        <f>COUNTIFS(WI_Day,$A60,WI_Status,"Blocked")</f>
      </c>
      <c r="J60" s="22">
        <f>SUMIF(WI_Day,$A60,WI_Effort)</f>
      </c>
      <c r="K60" s="23">
        <f>SUM($J$48:J60)</f>
      </c>
      <c r="L60" s="23"/>
      <c r="M60" s="23"/>
      <c r="N60" s="23"/>
    </row>
    <row r="61" ht="16" customHeight="1" spans="1:14" x14ac:dyDescent="0.25">
      <c r="A61" s="14" t="s">
        <v>93</v>
      </c>
      <c r="B61" s="22">
        <f>COUNTIF(WI_Day,$A61)</f>
      </c>
      <c r="C61" s="22">
        <f>COUNTIFS(WI_Day,$A61,WI_Impl,"Yes")</f>
      </c>
      <c r="D61" s="22">
        <f>COUNTIFS(WI_Day,$A61,WI_Comm,"Yes")</f>
      </c>
      <c r="E61" s="22">
        <f>COUNTIFS(WI_Day,$A61,WI_Push,"Yes")</f>
      </c>
      <c r="F61" s="22">
        <f>COUNTIFS(WI_Day,$A61,WI_Test,"Yes")</f>
      </c>
      <c r="G61" s="22">
        <f>COUNTIFS(WI_Day,$A61,WI_Status,"Completed")</f>
      </c>
      <c r="H61" s="22">
        <f>B61-G61</f>
      </c>
      <c r="I61" s="22">
        <f>COUNTIFS(WI_Day,$A61,WI_Status,"Blocked")</f>
      </c>
      <c r="J61" s="22">
        <f>SUMIF(WI_Day,$A61,WI_Effort)</f>
      </c>
      <c r="K61" s="23">
        <f>SUM($J$48:J61)</f>
      </c>
      <c r="L61" s="23"/>
      <c r="M61" s="23"/>
      <c r="N61" s="23"/>
    </row>
    <row r="62" ht="16" customHeight="1" spans="1:14" x14ac:dyDescent="0.25">
      <c r="A62" s="14" t="s">
        <v>94</v>
      </c>
      <c r="B62" s="22">
        <f>COUNTIF(WI_Day,$A62)</f>
      </c>
      <c r="C62" s="22">
        <f>COUNTIFS(WI_Day,$A62,WI_Impl,"Yes")</f>
      </c>
      <c r="D62" s="22">
        <f>COUNTIFS(WI_Day,$A62,WI_Comm,"Yes")</f>
      </c>
      <c r="E62" s="22">
        <f>COUNTIFS(WI_Day,$A62,WI_Push,"Yes")</f>
      </c>
      <c r="F62" s="22">
        <f>COUNTIFS(WI_Day,$A62,WI_Test,"Yes")</f>
      </c>
      <c r="G62" s="22">
        <f>COUNTIFS(WI_Day,$A62,WI_Status,"Completed")</f>
      </c>
      <c r="H62" s="22">
        <f>B62-G62</f>
      </c>
      <c r="I62" s="22">
        <f>COUNTIFS(WI_Day,$A62,WI_Status,"Blocked")</f>
      </c>
      <c r="J62" s="22">
        <f>SUMIF(WI_Day,$A62,WI_Effort)</f>
      </c>
      <c r="K62" s="23">
        <f>SUM($J$48:J62)</f>
      </c>
      <c r="L62" s="23"/>
      <c r="M62" s="23"/>
      <c r="N62" s="23"/>
    </row>
    <row r="63" ht="16" customHeight="1" spans="1:14" x14ac:dyDescent="0.25">
      <c r="A63" s="24" t="s">
        <v>95</v>
      </c>
      <c r="B63" s="22">
        <f>COUNTIF(WI_Day,$A63)</f>
      </c>
      <c r="C63" s="22">
        <f>COUNTIFS(WI_Day,$A63,WI_Impl,"Yes")</f>
      </c>
      <c r="D63" s="22">
        <f>COUNTIFS(WI_Day,$A63,WI_Comm,"Yes")</f>
      </c>
      <c r="E63" s="22">
        <f>COUNTIFS(WI_Day,$A63,WI_Push,"Yes")</f>
      </c>
      <c r="F63" s="22">
        <f>COUNTIFS(WI_Day,$A63,WI_Test,"Yes")</f>
      </c>
      <c r="G63" s="22">
        <f>COUNTIFS(WI_Day,$A63,WI_Status,"Completed")</f>
      </c>
      <c r="H63" s="22">
        <f>B63-G63</f>
      </c>
      <c r="I63" s="22">
        <f>COUNTIFS(WI_Day,$A63,WI_Status,"Blocked")</f>
      </c>
      <c r="J63" s="22">
        <f>SUMIF(WI_Day,$A63,WI_Effort)</f>
      </c>
      <c r="K63" s="23" t="s">
        <v>96</v>
      </c>
      <c r="L63" s="23"/>
      <c r="M63" s="23"/>
      <c r="N63" s="23"/>
    </row>
    <row r="64" ht="16" customHeight="1" spans="1:14" x14ac:dyDescent="0.25">
      <c r="A64" s="24" t="s">
        <v>97</v>
      </c>
      <c r="B64" s="22">
        <f>COUNTIF(WI_Day,$A64)</f>
      </c>
      <c r="C64" s="22">
        <f>COUNTIFS(WI_Day,$A64,WI_Impl,"Yes")</f>
      </c>
      <c r="D64" s="22">
        <f>COUNTIFS(WI_Day,$A64,WI_Comm,"Yes")</f>
      </c>
      <c r="E64" s="22">
        <f>COUNTIFS(WI_Day,$A64,WI_Push,"Yes")</f>
      </c>
      <c r="F64" s="22">
        <f>COUNTIFS(WI_Day,$A64,WI_Test,"Yes")</f>
      </c>
      <c r="G64" s="22">
        <f>COUNTIFS(WI_Day,$A64,WI_Status,"Completed")</f>
      </c>
      <c r="H64" s="22">
        <f>B64-G64</f>
      </c>
      <c r="I64" s="22">
        <f>COUNTIFS(WI_Day,$A64,WI_Status,"Blocked")</f>
      </c>
      <c r="J64" s="22">
        <f>SUMIF(WI_Day,$A64,WI_Effort)</f>
      </c>
      <c r="K64" s="23" t="s">
        <v>96</v>
      </c>
      <c r="L64" s="23"/>
      <c r="M64" s="23"/>
      <c r="N64" s="23"/>
    </row>
    <row r="67" ht="22" customHeight="1" spans="1:14" x14ac:dyDescent="0.25">
      <c r="A67" s="3" t="s">
        <v>98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  <row r="68" ht="26" customHeight="1" spans="1:14" x14ac:dyDescent="0.25">
      <c r="A68" s="13" t="s">
        <v>99</v>
      </c>
      <c r="B68" s="13" t="s">
        <v>100</v>
      </c>
      <c r="C68" s="13" t="s">
        <v>46</v>
      </c>
      <c r="D68" s="13"/>
      <c r="E68" s="13"/>
      <c r="F68" s="13"/>
      <c r="H68" s="13" t="s">
        <v>101</v>
      </c>
      <c r="I68" s="13" t="s">
        <v>100</v>
      </c>
      <c r="J68" s="13" t="s">
        <v>46</v>
      </c>
      <c r="K68" s="13"/>
      <c r="L68" s="13"/>
      <c r="M68" s="13"/>
      <c r="N68" s="13"/>
    </row>
    <row r="69" ht="16" customHeight="1" spans="1:14" x14ac:dyDescent="0.25">
      <c r="A69" s="5" t="s">
        <v>102</v>
      </c>
      <c r="B69" s="15">
        <f>COUNTIF(TEST_Result,"&lt;&gt;")</f>
      </c>
      <c r="C69" s="25" t="s">
        <v>103</v>
      </c>
      <c r="D69" s="25"/>
      <c r="E69" s="25"/>
      <c r="F69" s="25"/>
      <c r="H69" s="14" t="s">
        <v>104</v>
      </c>
      <c r="I69" s="15">
        <f>COUNTIFS(BUG_Status,"&lt;&gt;",BUG_Status,"&lt;&gt;Closed",BUG_Status,"&lt;&gt;Won't Fix")</f>
      </c>
      <c r="J69" s="25" t="s">
        <v>105</v>
      </c>
      <c r="K69" s="25"/>
      <c r="L69" s="25"/>
      <c r="M69" s="25"/>
      <c r="N69" s="25"/>
    </row>
    <row r="70" ht="16" customHeight="1" spans="1:14" x14ac:dyDescent="0.25">
      <c r="A70" s="20" t="s">
        <v>106</v>
      </c>
      <c r="B70" s="15">
        <f>COUNTIF(TEST_Result,"Pass")</f>
      </c>
      <c r="C70" s="25"/>
      <c r="D70" s="25"/>
      <c r="E70" s="25"/>
      <c r="F70" s="25"/>
      <c r="H70" s="20" t="s">
        <v>107</v>
      </c>
      <c r="I70" s="15">
        <f>COUNTIFS(BUG_Sev,"Critical",BUG_Status,"&lt;&gt;Closed")</f>
      </c>
      <c r="J70" s="25"/>
      <c r="K70" s="25"/>
      <c r="L70" s="25"/>
      <c r="M70" s="25"/>
      <c r="N70" s="25"/>
    </row>
    <row r="71" ht="16" customHeight="1" spans="1:14" x14ac:dyDescent="0.25">
      <c r="A71" s="5" t="s">
        <v>108</v>
      </c>
      <c r="B71" s="15">
        <f>COUNTIF(TEST_Result,"Fail")</f>
      </c>
      <c r="C71" s="25"/>
      <c r="D71" s="25"/>
      <c r="E71" s="25"/>
      <c r="F71" s="25"/>
      <c r="H71" s="5" t="s">
        <v>109</v>
      </c>
      <c r="I71" s="15">
        <f>COUNTIFS(BUG_Sev,"High",BUG_Status,"&lt;&gt;Closed")</f>
      </c>
      <c r="J71" s="25"/>
      <c r="K71" s="25"/>
      <c r="L71" s="25"/>
      <c r="M71" s="25"/>
      <c r="N71" s="25"/>
    </row>
    <row r="72" ht="16" customHeight="1" spans="1:14" x14ac:dyDescent="0.25">
      <c r="A72" s="20" t="s">
        <v>31</v>
      </c>
      <c r="B72" s="15">
        <f>COUNTIF(TEST_Result,"Blocked")</f>
      </c>
      <c r="C72" s="25"/>
      <c r="D72" s="25"/>
      <c r="E72" s="25"/>
      <c r="F72" s="25"/>
      <c r="H72" s="20" t="s">
        <v>110</v>
      </c>
      <c r="I72" s="15">
        <f>COUNTIFS(BUG_Sev,"Medium",BUG_Status,"&lt;&gt;Closed")</f>
      </c>
      <c r="J72" s="25"/>
      <c r="K72" s="25"/>
      <c r="L72" s="25"/>
      <c r="M72" s="25"/>
      <c r="N72" s="25"/>
    </row>
    <row r="73" ht="16" customHeight="1" spans="1:14" x14ac:dyDescent="0.25">
      <c r="A73" s="5" t="s">
        <v>111</v>
      </c>
      <c r="B73" s="15">
        <f>COUNTIF(TEST_Result,"Retest Required")</f>
      </c>
      <c r="C73" s="25"/>
      <c r="D73" s="25"/>
      <c r="E73" s="25"/>
      <c r="F73" s="25"/>
      <c r="H73" s="5" t="s">
        <v>112</v>
      </c>
      <c r="I73" s="15">
        <f>COUNTIFS(BUG_Sev,"Low",BUG_Status,"&lt;&gt;Closed")</f>
      </c>
      <c r="J73" s="25"/>
      <c r="K73" s="25"/>
      <c r="L73" s="25"/>
      <c r="M73" s="25"/>
      <c r="N73" s="25"/>
    </row>
    <row r="74" ht="16" customHeight="1" spans="1:14" x14ac:dyDescent="0.25">
      <c r="A74" s="20" t="s">
        <v>113</v>
      </c>
      <c r="B74" s="15">
        <f>COUNTIF(TEST_Result,"Not Tested")</f>
      </c>
      <c r="C74" s="25"/>
      <c r="D74" s="25"/>
      <c r="E74" s="25"/>
      <c r="F74" s="25"/>
      <c r="H74" s="20" t="s">
        <v>114</v>
      </c>
      <c r="I74" s="15">
        <f>COUNTIF(BUG_Status,"Closed")</f>
      </c>
      <c r="J74" s="25"/>
      <c r="K74" s="25"/>
      <c r="L74" s="25"/>
      <c r="M74" s="25"/>
      <c r="N74" s="25"/>
    </row>
    <row r="75" ht="16" customHeight="1" spans="1:14" x14ac:dyDescent="0.25">
      <c r="A75" s="14" t="s">
        <v>115</v>
      </c>
      <c r="B75" s="17">
        <f>IF(COUNTIF(TEST_Result,"Pass")+COUNTIF(TEST_Result,"Fail")=0,0,COUNTIF(TEST_Result,"Pass")/(COUNTIF(TEST_Result,"Pass")+COUNTIF(TEST_Result,"Fail")))</f>
      </c>
      <c r="C75" s="25"/>
      <c r="D75" s="25"/>
      <c r="E75" s="25"/>
      <c r="F75" s="25"/>
      <c r="H75" s="5" t="s">
        <v>116</v>
      </c>
      <c r="I75" s="15">
        <f>SUM(WI_Bugs)</f>
      </c>
      <c r="J75" s="25"/>
      <c r="K75" s="25"/>
      <c r="L75" s="25"/>
      <c r="M75" s="25"/>
      <c r="N75" s="25"/>
    </row>
    <row r="78" ht="22" customHeight="1" spans="1:14" x14ac:dyDescent="0.25">
      <c r="A78" s="3" t="s">
        <v>117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</row>
    <row r="79" ht="26" customHeight="1" spans="1:14" x14ac:dyDescent="0.25">
      <c r="A79" s="13" t="s">
        <v>118</v>
      </c>
      <c r="B79" s="13" t="s">
        <v>119</v>
      </c>
      <c r="C79" s="13" t="s">
        <v>78</v>
      </c>
      <c r="D79" s="13" t="s">
        <v>46</v>
      </c>
      <c r="E79" s="13" t="s">
        <v>120</v>
      </c>
      <c r="F79" s="13" t="s">
        <v>119</v>
      </c>
      <c r="G79" s="13" t="s">
        <v>78</v>
      </c>
      <c r="H79" s="13" t="s">
        <v>46</v>
      </c>
      <c r="I79" s="13" t="s">
        <v>121</v>
      </c>
      <c r="J79" s="13" t="s">
        <v>119</v>
      </c>
      <c r="K79" s="13" t="s">
        <v>78</v>
      </c>
      <c r="L79" s="13" t="s">
        <v>46</v>
      </c>
      <c r="M79" s="13"/>
      <c r="N79" s="13"/>
    </row>
    <row r="80" ht="16" customHeight="1" spans="1:14" x14ac:dyDescent="0.25">
      <c r="A80" s="14" t="s">
        <v>122</v>
      </c>
      <c r="B80" s="22">
        <f>COUNTIF(WI_Priority,A80)</f>
      </c>
      <c r="C80" s="22">
        <f>SUMIF(WI_Priority,A80,WI_Effort)</f>
      </c>
      <c r="D80" s="26" t="s">
        <v>46</v>
      </c>
      <c r="E80" s="5" t="s">
        <v>123</v>
      </c>
      <c r="F80" s="22">
        <f>COUNTIF(WI_Platform,E80)</f>
      </c>
      <c r="G80" s="22">
        <f>SUMIF(WI_Platform,E80,WI_Effort)</f>
      </c>
      <c r="H80" s="26" t="s">
        <v>46</v>
      </c>
      <c r="I80" s="5" t="s">
        <v>124</v>
      </c>
      <c r="J80" s="22">
        <f>COUNTIF(WI_Type,I80)</f>
      </c>
      <c r="K80" s="22">
        <f>SUMIF(WI_Type,I80,WI_Effort)</f>
      </c>
      <c r="L80" s="26" t="s">
        <v>46</v>
      </c>
      <c r="M80" s="26"/>
      <c r="N80" s="26"/>
    </row>
    <row r="81" ht="16" customHeight="1" spans="1:14" x14ac:dyDescent="0.25">
      <c r="A81" s="14" t="s">
        <v>125</v>
      </c>
      <c r="B81" s="22">
        <f>COUNTIF(WI_Priority,A81)</f>
      </c>
      <c r="C81" s="22">
        <f>SUMIF(WI_Priority,A81,WI_Effort)</f>
      </c>
      <c r="D81" s="26" t="s">
        <v>46</v>
      </c>
      <c r="E81" s="5" t="s">
        <v>126</v>
      </c>
      <c r="F81" s="22">
        <f>COUNTIF(WI_Platform,E81)</f>
      </c>
      <c r="G81" s="22">
        <f>SUMIF(WI_Platform,E81,WI_Effort)</f>
      </c>
      <c r="H81" s="26" t="s">
        <v>46</v>
      </c>
      <c r="I81" s="5" t="s">
        <v>56</v>
      </c>
      <c r="J81" s="22">
        <f>COUNTIF(WI_Type,I81)</f>
      </c>
      <c r="K81" s="22">
        <f>SUMIF(WI_Type,I81,WI_Effort)</f>
      </c>
      <c r="L81" s="26" t="s">
        <v>46</v>
      </c>
      <c r="M81" s="26"/>
      <c r="N81" s="26"/>
    </row>
    <row r="82" ht="16" customHeight="1" spans="1:14" x14ac:dyDescent="0.25">
      <c r="A82" s="14" t="s">
        <v>127</v>
      </c>
      <c r="B82" s="22">
        <f>COUNTIF(WI_Priority,A82)</f>
      </c>
      <c r="C82" s="22">
        <f>SUMIF(WI_Priority,A82,WI_Effort)</f>
      </c>
      <c r="D82" s="26" t="s">
        <v>46</v>
      </c>
      <c r="E82" s="5" t="s">
        <v>128</v>
      </c>
      <c r="F82" s="22">
        <f>COUNTIF(WI_Platform,E82)</f>
      </c>
      <c r="G82" s="22">
        <f>SUMIF(WI_Platform,E82,WI_Effort)</f>
      </c>
      <c r="H82" s="26" t="s">
        <v>46</v>
      </c>
      <c r="I82" s="5" t="s">
        <v>129</v>
      </c>
      <c r="J82" s="22">
        <f>COUNTIF(WI_Type,I82)</f>
      </c>
      <c r="K82" s="22">
        <f>SUMIF(WI_Type,I82,WI_Effort)</f>
      </c>
      <c r="L82" s="26" t="s">
        <v>46</v>
      </c>
      <c r="M82" s="26"/>
      <c r="N82" s="26"/>
    </row>
    <row r="83" ht="16" customHeight="1" spans="1:14" x14ac:dyDescent="0.25">
      <c r="A83" s="27" t="s">
        <v>46</v>
      </c>
      <c r="B83" s="27" t="s">
        <v>46</v>
      </c>
      <c r="C83" s="27" t="s">
        <v>46</v>
      </c>
      <c r="D83" s="26" t="s">
        <v>46</v>
      </c>
      <c r="E83" s="5" t="s">
        <v>130</v>
      </c>
      <c r="F83" s="22">
        <f>COUNTIF(WI_Platform,E83)</f>
      </c>
      <c r="G83" s="22">
        <f>SUMIF(WI_Platform,E83,WI_Effort)</f>
      </c>
      <c r="H83" s="26" t="s">
        <v>46</v>
      </c>
      <c r="I83" s="5" t="s">
        <v>131</v>
      </c>
      <c r="J83" s="22">
        <f>COUNTIF(WI_Type,I83)</f>
      </c>
      <c r="K83" s="22">
        <f>SUMIF(WI_Type,I83,WI_Effort)</f>
      </c>
      <c r="L83" s="26" t="s">
        <v>46</v>
      </c>
      <c r="M83" s="26"/>
      <c r="N83" s="26"/>
    </row>
    <row r="84" ht="16" customHeight="1" spans="1:14" x14ac:dyDescent="0.25">
      <c r="A84" s="27" t="s">
        <v>46</v>
      </c>
      <c r="B84" s="27" t="s">
        <v>46</v>
      </c>
      <c r="C84" s="27" t="s">
        <v>46</v>
      </c>
      <c r="D84" s="26" t="s">
        <v>46</v>
      </c>
      <c r="E84" s="5" t="s">
        <v>132</v>
      </c>
      <c r="F84" s="22">
        <f>COUNTIF(WI_Platform,E84)</f>
      </c>
      <c r="G84" s="22">
        <f>SUMIF(WI_Platform,E84,WI_Effort)</f>
      </c>
      <c r="H84" s="26" t="s">
        <v>46</v>
      </c>
      <c r="I84" s="5" t="s">
        <v>133</v>
      </c>
      <c r="J84" s="22">
        <f>COUNTIF(WI_Type,I84)</f>
      </c>
      <c r="K84" s="22">
        <f>SUMIF(WI_Type,I84,WI_Effort)</f>
      </c>
      <c r="L84" s="26" t="s">
        <v>46</v>
      </c>
      <c r="M84" s="26"/>
      <c r="N84" s="26"/>
    </row>
    <row r="85" ht="16" customHeight="1" spans="1:14" x14ac:dyDescent="0.25">
      <c r="A85" s="27" t="s">
        <v>46</v>
      </c>
      <c r="B85" s="27" t="s">
        <v>46</v>
      </c>
      <c r="C85" s="27" t="s">
        <v>46</v>
      </c>
      <c r="D85" s="26" t="s">
        <v>46</v>
      </c>
      <c r="E85" s="27" t="s">
        <v>46</v>
      </c>
      <c r="F85" s="27" t="s">
        <v>46</v>
      </c>
      <c r="G85" s="27" t="s">
        <v>46</v>
      </c>
      <c r="H85" s="26" t="s">
        <v>46</v>
      </c>
      <c r="I85" s="5" t="s">
        <v>134</v>
      </c>
      <c r="J85" s="22">
        <f>COUNTIF(WI_Type,I85)</f>
      </c>
      <c r="K85" s="22">
        <f>SUMIF(WI_Type,I85,WI_Effort)</f>
      </c>
      <c r="L85" s="26" t="s">
        <v>46</v>
      </c>
      <c r="M85" s="26"/>
      <c r="N85" s="26"/>
    </row>
    <row r="86" ht="16" customHeight="1" spans="1:14" x14ac:dyDescent="0.25">
      <c r="A86" s="27" t="s">
        <v>46</v>
      </c>
      <c r="B86" s="27" t="s">
        <v>46</v>
      </c>
      <c r="C86" s="27" t="s">
        <v>46</v>
      </c>
      <c r="D86" s="26" t="s">
        <v>46</v>
      </c>
      <c r="E86" s="27" t="s">
        <v>46</v>
      </c>
      <c r="F86" s="27" t="s">
        <v>46</v>
      </c>
      <c r="G86" s="27" t="s">
        <v>46</v>
      </c>
      <c r="H86" s="26" t="s">
        <v>46</v>
      </c>
      <c r="I86" s="5" t="s">
        <v>135</v>
      </c>
      <c r="J86" s="22">
        <f>COUNTIF(WI_Type,I86)</f>
      </c>
      <c r="K86" s="22">
        <f>SUMIF(WI_Type,I86,WI_Effort)</f>
      </c>
      <c r="L86" s="26" t="s">
        <v>46</v>
      </c>
      <c r="M86" s="26"/>
      <c r="N86" s="26"/>
    </row>
    <row r="87" ht="16" customHeight="1" spans="1:14" x14ac:dyDescent="0.25">
      <c r="A87" s="27" t="s">
        <v>46</v>
      </c>
      <c r="B87" s="27" t="s">
        <v>46</v>
      </c>
      <c r="C87" s="27" t="s">
        <v>46</v>
      </c>
      <c r="D87" s="26" t="s">
        <v>46</v>
      </c>
      <c r="E87" s="27" t="s">
        <v>46</v>
      </c>
      <c r="F87" s="27" t="s">
        <v>46</v>
      </c>
      <c r="G87" s="27" t="s">
        <v>46</v>
      </c>
      <c r="H87" s="26" t="s">
        <v>46</v>
      </c>
      <c r="I87" s="5" t="s">
        <v>136</v>
      </c>
      <c r="J87" s="22">
        <f>COUNTIF(WI_Type,I87)</f>
      </c>
      <c r="K87" s="22">
        <f>SUMIF(WI_Type,I87,WI_Effort)</f>
      </c>
      <c r="L87" s="26" t="s">
        <v>46</v>
      </c>
      <c r="M87" s="26"/>
      <c r="N87" s="26"/>
    </row>
    <row r="90" ht="22" customHeight="1" spans="1:14" x14ac:dyDescent="0.25">
      <c r="A90" s="3" t="s">
        <v>137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ht="26" customHeight="1" spans="1:14" x14ac:dyDescent="0.25">
      <c r="A91" s="13" t="s">
        <v>138</v>
      </c>
      <c r="B91" s="13" t="s">
        <v>139</v>
      </c>
      <c r="C91" s="13" t="s">
        <v>140</v>
      </c>
      <c r="D91" s="13" t="s">
        <v>28</v>
      </c>
      <c r="E91" s="13" t="s">
        <v>69</v>
      </c>
      <c r="F91" s="13" t="s">
        <v>70</v>
      </c>
      <c r="G91" s="13" t="s">
        <v>71</v>
      </c>
      <c r="H91" s="13" t="s">
        <v>72</v>
      </c>
      <c r="I91" s="13" t="s">
        <v>29</v>
      </c>
      <c r="J91" s="13" t="s">
        <v>31</v>
      </c>
      <c r="K91" s="13" t="s">
        <v>141</v>
      </c>
      <c r="L91" s="13" t="s">
        <v>142</v>
      </c>
      <c r="M91" s="13" t="s">
        <v>143</v>
      </c>
      <c r="N91" s="13"/>
    </row>
    <row r="92" ht="16" customHeight="1" spans="1:14" x14ac:dyDescent="0.25">
      <c r="A92" s="5" t="s">
        <v>144</v>
      </c>
      <c r="B92" s="28" t="s">
        <v>145</v>
      </c>
      <c r="C92" s="22">
        <f>'03_Feature_Summary'!D5</f>
      </c>
      <c r="D92" s="22">
        <f>'03_Feature_Summary'!M5</f>
      </c>
      <c r="E92" s="22">
        <f>COUNTIFS(WI_Feature,$A92,WI_Impl,"Yes")</f>
      </c>
      <c r="F92" s="22">
        <f>COUNTIFS(WI_Feature,$A92,WI_Comm,"Yes")</f>
      </c>
      <c r="G92" s="22">
        <f>COUNTIFS(WI_Feature,$A92,WI_Push,"Yes")</f>
      </c>
      <c r="H92" s="22">
        <f>COUNTIFS(WI_Feature,$A92,WI_Test,"Yes")</f>
      </c>
      <c r="I92" s="22">
        <f>C92-D92</f>
      </c>
      <c r="J92" s="22">
        <f>'03_Feature_Summary'!N5</f>
      </c>
      <c r="K92" s="22">
        <f>'03_Feature_Summary'!P5</f>
      </c>
      <c r="L92" s="29">
        <f>'03_Feature_Summary'!Q5</f>
      </c>
      <c r="M92" s="18">
        <f>REPT("|",ROUND(L92*26,0))</f>
      </c>
      <c r="N92" s="18"/>
    </row>
    <row r="93" ht="16" customHeight="1" spans="1:14" x14ac:dyDescent="0.25">
      <c r="A93" s="20" t="s">
        <v>146</v>
      </c>
      <c r="B93" s="30" t="s">
        <v>145</v>
      </c>
      <c r="C93" s="22">
        <f>'03_Feature_Summary'!D6</f>
      </c>
      <c r="D93" s="22">
        <f>'03_Feature_Summary'!M6</f>
      </c>
      <c r="E93" s="22">
        <f>COUNTIFS(WI_Feature,$A93,WI_Impl,"Yes")</f>
      </c>
      <c r="F93" s="22">
        <f>COUNTIFS(WI_Feature,$A93,WI_Comm,"Yes")</f>
      </c>
      <c r="G93" s="22">
        <f>COUNTIFS(WI_Feature,$A93,WI_Push,"Yes")</f>
      </c>
      <c r="H93" s="22">
        <f>COUNTIFS(WI_Feature,$A93,WI_Test,"Yes")</f>
      </c>
      <c r="I93" s="22">
        <f>C93-D93</f>
      </c>
      <c r="J93" s="22">
        <f>'03_Feature_Summary'!N6</f>
      </c>
      <c r="K93" s="22">
        <f>'03_Feature_Summary'!P6</f>
      </c>
      <c r="L93" s="29">
        <f>'03_Feature_Summary'!Q6</f>
      </c>
      <c r="M93" s="18">
        <f>REPT("|",ROUND(L93*26,0))</f>
      </c>
      <c r="N93" s="18"/>
    </row>
    <row r="94" ht="16" customHeight="1" spans="1:14" x14ac:dyDescent="0.25">
      <c r="A94" s="5" t="s">
        <v>147</v>
      </c>
      <c r="B94" s="28" t="s">
        <v>145</v>
      </c>
      <c r="C94" s="22">
        <f>'03_Feature_Summary'!D7</f>
      </c>
      <c r="D94" s="22">
        <f>'03_Feature_Summary'!M7</f>
      </c>
      <c r="E94" s="22">
        <f>COUNTIFS(WI_Feature,$A94,WI_Impl,"Yes")</f>
      </c>
      <c r="F94" s="22">
        <f>COUNTIFS(WI_Feature,$A94,WI_Comm,"Yes")</f>
      </c>
      <c r="G94" s="22">
        <f>COUNTIFS(WI_Feature,$A94,WI_Push,"Yes")</f>
      </c>
      <c r="H94" s="22">
        <f>COUNTIFS(WI_Feature,$A94,WI_Test,"Yes")</f>
      </c>
      <c r="I94" s="22">
        <f>C94-D94</f>
      </c>
      <c r="J94" s="22">
        <f>'03_Feature_Summary'!N7</f>
      </c>
      <c r="K94" s="22">
        <f>'03_Feature_Summary'!P7</f>
      </c>
      <c r="L94" s="29">
        <f>'03_Feature_Summary'!Q7</f>
      </c>
      <c r="M94" s="18">
        <f>REPT("|",ROUND(L94*26,0))</f>
      </c>
      <c r="N94" s="18"/>
    </row>
    <row r="95" ht="16" customHeight="1" spans="1:14" x14ac:dyDescent="0.25">
      <c r="A95" s="20" t="s">
        <v>148</v>
      </c>
      <c r="B95" s="30" t="s">
        <v>149</v>
      </c>
      <c r="C95" s="22">
        <f>'03_Feature_Summary'!D8</f>
      </c>
      <c r="D95" s="22">
        <f>'03_Feature_Summary'!M8</f>
      </c>
      <c r="E95" s="22">
        <f>COUNTIFS(WI_Feature,$A95,WI_Impl,"Yes")</f>
      </c>
      <c r="F95" s="22">
        <f>COUNTIFS(WI_Feature,$A95,WI_Comm,"Yes")</f>
      </c>
      <c r="G95" s="22">
        <f>COUNTIFS(WI_Feature,$A95,WI_Push,"Yes")</f>
      </c>
      <c r="H95" s="22">
        <f>COUNTIFS(WI_Feature,$A95,WI_Test,"Yes")</f>
      </c>
      <c r="I95" s="22">
        <f>C95-D95</f>
      </c>
      <c r="J95" s="22">
        <f>'03_Feature_Summary'!N8</f>
      </c>
      <c r="K95" s="22">
        <f>'03_Feature_Summary'!P8</f>
      </c>
      <c r="L95" s="29">
        <f>'03_Feature_Summary'!Q8</f>
      </c>
      <c r="M95" s="18">
        <f>REPT("|",ROUND(L95*26,0))</f>
      </c>
      <c r="N95" s="18"/>
    </row>
    <row r="96" ht="16" customHeight="1" spans="1:14" x14ac:dyDescent="0.25">
      <c r="A96" s="5" t="s">
        <v>150</v>
      </c>
      <c r="B96" s="28" t="s">
        <v>149</v>
      </c>
      <c r="C96" s="22">
        <f>'03_Feature_Summary'!D9</f>
      </c>
      <c r="D96" s="22">
        <f>'03_Feature_Summary'!M9</f>
      </c>
      <c r="E96" s="22">
        <f>COUNTIFS(WI_Feature,$A96,WI_Impl,"Yes")</f>
      </c>
      <c r="F96" s="22">
        <f>COUNTIFS(WI_Feature,$A96,WI_Comm,"Yes")</f>
      </c>
      <c r="G96" s="22">
        <f>COUNTIFS(WI_Feature,$A96,WI_Push,"Yes")</f>
      </c>
      <c r="H96" s="22">
        <f>COUNTIFS(WI_Feature,$A96,WI_Test,"Yes")</f>
      </c>
      <c r="I96" s="22">
        <f>C96-D96</f>
      </c>
      <c r="J96" s="22">
        <f>'03_Feature_Summary'!N9</f>
      </c>
      <c r="K96" s="22">
        <f>'03_Feature_Summary'!P9</f>
      </c>
      <c r="L96" s="29">
        <f>'03_Feature_Summary'!Q9</f>
      </c>
      <c r="M96" s="18">
        <f>REPT("|",ROUND(L96*26,0))</f>
      </c>
      <c r="N96" s="18"/>
    </row>
    <row r="97" ht="16" customHeight="1" spans="1:14" x14ac:dyDescent="0.25">
      <c r="A97" s="20" t="s">
        <v>151</v>
      </c>
      <c r="B97" s="30" t="s">
        <v>149</v>
      </c>
      <c r="C97" s="22">
        <f>'03_Feature_Summary'!D10</f>
      </c>
      <c r="D97" s="22">
        <f>'03_Feature_Summary'!M10</f>
      </c>
      <c r="E97" s="22">
        <f>COUNTIFS(WI_Feature,$A97,WI_Impl,"Yes")</f>
      </c>
      <c r="F97" s="22">
        <f>COUNTIFS(WI_Feature,$A97,WI_Comm,"Yes")</f>
      </c>
      <c r="G97" s="22">
        <f>COUNTIFS(WI_Feature,$A97,WI_Push,"Yes")</f>
      </c>
      <c r="H97" s="22">
        <f>COUNTIFS(WI_Feature,$A97,WI_Test,"Yes")</f>
      </c>
      <c r="I97" s="22">
        <f>C97-D97</f>
      </c>
      <c r="J97" s="22">
        <f>'03_Feature_Summary'!N10</f>
      </c>
      <c r="K97" s="22">
        <f>'03_Feature_Summary'!P10</f>
      </c>
      <c r="L97" s="29">
        <f>'03_Feature_Summary'!Q10</f>
      </c>
      <c r="M97" s="18">
        <f>REPT("|",ROUND(L97*26,0))</f>
      </c>
      <c r="N97" s="18"/>
    </row>
    <row r="98" ht="16" customHeight="1" spans="1:14" x14ac:dyDescent="0.25">
      <c r="A98" s="5" t="s">
        <v>152</v>
      </c>
      <c r="B98" s="28" t="s">
        <v>149</v>
      </c>
      <c r="C98" s="22">
        <f>'03_Feature_Summary'!D11</f>
      </c>
      <c r="D98" s="22">
        <f>'03_Feature_Summary'!M11</f>
      </c>
      <c r="E98" s="22">
        <f>COUNTIFS(WI_Feature,$A98,WI_Impl,"Yes")</f>
      </c>
      <c r="F98" s="22">
        <f>COUNTIFS(WI_Feature,$A98,WI_Comm,"Yes")</f>
      </c>
      <c r="G98" s="22">
        <f>COUNTIFS(WI_Feature,$A98,WI_Push,"Yes")</f>
      </c>
      <c r="H98" s="22">
        <f>COUNTIFS(WI_Feature,$A98,WI_Test,"Yes")</f>
      </c>
      <c r="I98" s="22">
        <f>C98-D98</f>
      </c>
      <c r="J98" s="22">
        <f>'03_Feature_Summary'!N11</f>
      </c>
      <c r="K98" s="22">
        <f>'03_Feature_Summary'!P11</f>
      </c>
      <c r="L98" s="29">
        <f>'03_Feature_Summary'!Q11</f>
      </c>
      <c r="M98" s="18">
        <f>REPT("|",ROUND(L98*26,0))</f>
      </c>
      <c r="N98" s="18"/>
    </row>
    <row r="99" ht="16" customHeight="1" spans="1:14" x14ac:dyDescent="0.25">
      <c r="A99" s="20" t="s">
        <v>153</v>
      </c>
      <c r="B99" s="30" t="s">
        <v>154</v>
      </c>
      <c r="C99" s="22">
        <f>'03_Feature_Summary'!D12</f>
      </c>
      <c r="D99" s="22">
        <f>'03_Feature_Summary'!M12</f>
      </c>
      <c r="E99" s="22">
        <f>COUNTIFS(WI_Feature,$A99,WI_Impl,"Yes")</f>
      </c>
      <c r="F99" s="22">
        <f>COUNTIFS(WI_Feature,$A99,WI_Comm,"Yes")</f>
      </c>
      <c r="G99" s="22">
        <f>COUNTIFS(WI_Feature,$A99,WI_Push,"Yes")</f>
      </c>
      <c r="H99" s="22">
        <f>COUNTIFS(WI_Feature,$A99,WI_Test,"Yes")</f>
      </c>
      <c r="I99" s="22">
        <f>C99-D99</f>
      </c>
      <c r="J99" s="22">
        <f>'03_Feature_Summary'!N12</f>
      </c>
      <c r="K99" s="22">
        <f>'03_Feature_Summary'!P12</f>
      </c>
      <c r="L99" s="29">
        <f>'03_Feature_Summary'!Q12</f>
      </c>
      <c r="M99" s="18">
        <f>REPT("|",ROUND(L99*26,0))</f>
      </c>
      <c r="N99" s="18"/>
    </row>
    <row r="100" ht="16" customHeight="1" spans="1:14" x14ac:dyDescent="0.25">
      <c r="A100" s="5" t="s">
        <v>155</v>
      </c>
      <c r="B100" s="28" t="s">
        <v>154</v>
      </c>
      <c r="C100" s="22">
        <f>'03_Feature_Summary'!D13</f>
      </c>
      <c r="D100" s="22">
        <f>'03_Feature_Summary'!M13</f>
      </c>
      <c r="E100" s="22">
        <f>COUNTIFS(WI_Feature,$A100,WI_Impl,"Yes")</f>
      </c>
      <c r="F100" s="22">
        <f>COUNTIFS(WI_Feature,$A100,WI_Comm,"Yes")</f>
      </c>
      <c r="G100" s="22">
        <f>COUNTIFS(WI_Feature,$A100,WI_Push,"Yes")</f>
      </c>
      <c r="H100" s="22">
        <f>COUNTIFS(WI_Feature,$A100,WI_Test,"Yes")</f>
      </c>
      <c r="I100" s="22">
        <f>C100-D100</f>
      </c>
      <c r="J100" s="22">
        <f>'03_Feature_Summary'!N13</f>
      </c>
      <c r="K100" s="22">
        <f>'03_Feature_Summary'!P13</f>
      </c>
      <c r="L100" s="29">
        <f>'03_Feature_Summary'!Q13</f>
      </c>
      <c r="M100" s="18">
        <f>REPT("|",ROUND(L100*26,0))</f>
      </c>
      <c r="N100" s="18"/>
    </row>
    <row r="101" ht="16" customHeight="1" spans="1:14" x14ac:dyDescent="0.25">
      <c r="A101" s="20" t="s">
        <v>156</v>
      </c>
      <c r="B101" s="30" t="s">
        <v>154</v>
      </c>
      <c r="C101" s="22">
        <f>'03_Feature_Summary'!D14</f>
      </c>
      <c r="D101" s="22">
        <f>'03_Feature_Summary'!M14</f>
      </c>
      <c r="E101" s="22">
        <f>COUNTIFS(WI_Feature,$A101,WI_Impl,"Yes")</f>
      </c>
      <c r="F101" s="22">
        <f>COUNTIFS(WI_Feature,$A101,WI_Comm,"Yes")</f>
      </c>
      <c r="G101" s="22">
        <f>COUNTIFS(WI_Feature,$A101,WI_Push,"Yes")</f>
      </c>
      <c r="H101" s="22">
        <f>COUNTIFS(WI_Feature,$A101,WI_Test,"Yes")</f>
      </c>
      <c r="I101" s="22">
        <f>C101-D101</f>
      </c>
      <c r="J101" s="22">
        <f>'03_Feature_Summary'!N14</f>
      </c>
      <c r="K101" s="22">
        <f>'03_Feature_Summary'!P14</f>
      </c>
      <c r="L101" s="29">
        <f>'03_Feature_Summary'!Q14</f>
      </c>
      <c r="M101" s="18">
        <f>REPT("|",ROUND(L101*26,0))</f>
      </c>
      <c r="N101" s="18"/>
    </row>
    <row r="102" ht="16" customHeight="1" spans="1:14" x14ac:dyDescent="0.25">
      <c r="A102" s="5" t="s">
        <v>157</v>
      </c>
      <c r="B102" s="28" t="s">
        <v>158</v>
      </c>
      <c r="C102" s="22">
        <f>'03_Feature_Summary'!D15</f>
      </c>
      <c r="D102" s="22">
        <f>'03_Feature_Summary'!M15</f>
      </c>
      <c r="E102" s="22">
        <f>COUNTIFS(WI_Feature,$A102,WI_Impl,"Yes")</f>
      </c>
      <c r="F102" s="22">
        <f>COUNTIFS(WI_Feature,$A102,WI_Comm,"Yes")</f>
      </c>
      <c r="G102" s="22">
        <f>COUNTIFS(WI_Feature,$A102,WI_Push,"Yes")</f>
      </c>
      <c r="H102" s="22">
        <f>COUNTIFS(WI_Feature,$A102,WI_Test,"Yes")</f>
      </c>
      <c r="I102" s="22">
        <f>C102-D102</f>
      </c>
      <c r="J102" s="22">
        <f>'03_Feature_Summary'!N15</f>
      </c>
      <c r="K102" s="22">
        <f>'03_Feature_Summary'!P15</f>
      </c>
      <c r="L102" s="29">
        <f>'03_Feature_Summary'!Q15</f>
      </c>
      <c r="M102" s="18">
        <f>REPT("|",ROUND(L102*26,0))</f>
      </c>
      <c r="N102" s="18"/>
    </row>
    <row r="103" ht="16" customHeight="1" spans="1:14" x14ac:dyDescent="0.25">
      <c r="A103" s="20" t="s">
        <v>159</v>
      </c>
      <c r="B103" s="30" t="s">
        <v>158</v>
      </c>
      <c r="C103" s="22">
        <f>'03_Feature_Summary'!D16</f>
      </c>
      <c r="D103" s="22">
        <f>'03_Feature_Summary'!M16</f>
      </c>
      <c r="E103" s="22">
        <f>COUNTIFS(WI_Feature,$A103,WI_Impl,"Yes")</f>
      </c>
      <c r="F103" s="22">
        <f>COUNTIFS(WI_Feature,$A103,WI_Comm,"Yes")</f>
      </c>
      <c r="G103" s="22">
        <f>COUNTIFS(WI_Feature,$A103,WI_Push,"Yes")</f>
      </c>
      <c r="H103" s="22">
        <f>COUNTIFS(WI_Feature,$A103,WI_Test,"Yes")</f>
      </c>
      <c r="I103" s="22">
        <f>C103-D103</f>
      </c>
      <c r="J103" s="22">
        <f>'03_Feature_Summary'!N16</f>
      </c>
      <c r="K103" s="22">
        <f>'03_Feature_Summary'!P16</f>
      </c>
      <c r="L103" s="29">
        <f>'03_Feature_Summary'!Q16</f>
      </c>
      <c r="M103" s="18">
        <f>REPT("|",ROUND(L103*26,0))</f>
      </c>
      <c r="N103" s="18"/>
    </row>
    <row r="104" ht="16" customHeight="1" spans="1:14" x14ac:dyDescent="0.25">
      <c r="A104" s="5" t="s">
        <v>160</v>
      </c>
      <c r="B104" s="28" t="s">
        <v>161</v>
      </c>
      <c r="C104" s="22">
        <f>'03_Feature_Summary'!D17</f>
      </c>
      <c r="D104" s="22">
        <f>'03_Feature_Summary'!M17</f>
      </c>
      <c r="E104" s="22">
        <f>COUNTIFS(WI_Feature,$A104,WI_Impl,"Yes")</f>
      </c>
      <c r="F104" s="22">
        <f>COUNTIFS(WI_Feature,$A104,WI_Comm,"Yes")</f>
      </c>
      <c r="G104" s="22">
        <f>COUNTIFS(WI_Feature,$A104,WI_Push,"Yes")</f>
      </c>
      <c r="H104" s="22">
        <f>COUNTIFS(WI_Feature,$A104,WI_Test,"Yes")</f>
      </c>
      <c r="I104" s="22">
        <f>C104-D104</f>
      </c>
      <c r="J104" s="22">
        <f>'03_Feature_Summary'!N17</f>
      </c>
      <c r="K104" s="22">
        <f>'03_Feature_Summary'!P17</f>
      </c>
      <c r="L104" s="29">
        <f>'03_Feature_Summary'!Q17</f>
      </c>
      <c r="M104" s="18">
        <f>REPT("|",ROUND(L104*26,0))</f>
      </c>
      <c r="N104" s="18"/>
    </row>
    <row r="105" ht="16" customHeight="1" spans="1:14" x14ac:dyDescent="0.25">
      <c r="A105" s="20" t="s">
        <v>162</v>
      </c>
      <c r="B105" s="30" t="s">
        <v>161</v>
      </c>
      <c r="C105" s="22">
        <f>'03_Feature_Summary'!D18</f>
      </c>
      <c r="D105" s="22">
        <f>'03_Feature_Summary'!M18</f>
      </c>
      <c r="E105" s="22">
        <f>COUNTIFS(WI_Feature,$A105,WI_Impl,"Yes")</f>
      </c>
      <c r="F105" s="22">
        <f>COUNTIFS(WI_Feature,$A105,WI_Comm,"Yes")</f>
      </c>
      <c r="G105" s="22">
        <f>COUNTIFS(WI_Feature,$A105,WI_Push,"Yes")</f>
      </c>
      <c r="H105" s="22">
        <f>COUNTIFS(WI_Feature,$A105,WI_Test,"Yes")</f>
      </c>
      <c r="I105" s="22">
        <f>C105-D105</f>
      </c>
      <c r="J105" s="22">
        <f>'03_Feature_Summary'!N18</f>
      </c>
      <c r="K105" s="22">
        <f>'03_Feature_Summary'!P18</f>
      </c>
      <c r="L105" s="29">
        <f>'03_Feature_Summary'!Q18</f>
      </c>
      <c r="M105" s="18">
        <f>REPT("|",ROUND(L105*26,0))</f>
      </c>
      <c r="N105" s="18"/>
    </row>
    <row r="106" ht="16" customHeight="1" spans="1:14" x14ac:dyDescent="0.25">
      <c r="A106" s="5" t="s">
        <v>163</v>
      </c>
      <c r="B106" s="28" t="s">
        <v>161</v>
      </c>
      <c r="C106" s="22">
        <f>'03_Feature_Summary'!D19</f>
      </c>
      <c r="D106" s="22">
        <f>'03_Feature_Summary'!M19</f>
      </c>
      <c r="E106" s="22">
        <f>COUNTIFS(WI_Feature,$A106,WI_Impl,"Yes")</f>
      </c>
      <c r="F106" s="22">
        <f>COUNTIFS(WI_Feature,$A106,WI_Comm,"Yes")</f>
      </c>
      <c r="G106" s="22">
        <f>COUNTIFS(WI_Feature,$A106,WI_Push,"Yes")</f>
      </c>
      <c r="H106" s="22">
        <f>COUNTIFS(WI_Feature,$A106,WI_Test,"Yes")</f>
      </c>
      <c r="I106" s="22">
        <f>C106-D106</f>
      </c>
      <c r="J106" s="22">
        <f>'03_Feature_Summary'!N19</f>
      </c>
      <c r="K106" s="22">
        <f>'03_Feature_Summary'!P19</f>
      </c>
      <c r="L106" s="29">
        <f>'03_Feature_Summary'!Q19</f>
      </c>
      <c r="M106" s="18">
        <f>REPT("|",ROUND(L106*26,0))</f>
      </c>
      <c r="N106" s="18"/>
    </row>
    <row r="107" ht="16" customHeight="1" spans="1:14" x14ac:dyDescent="0.25">
      <c r="A107" s="20" t="s">
        <v>164</v>
      </c>
      <c r="B107" s="30" t="s">
        <v>161</v>
      </c>
      <c r="C107" s="22">
        <f>'03_Feature_Summary'!D20</f>
      </c>
      <c r="D107" s="22">
        <f>'03_Feature_Summary'!M20</f>
      </c>
      <c r="E107" s="22">
        <f>COUNTIFS(WI_Feature,$A107,WI_Impl,"Yes")</f>
      </c>
      <c r="F107" s="22">
        <f>COUNTIFS(WI_Feature,$A107,WI_Comm,"Yes")</f>
      </c>
      <c r="G107" s="22">
        <f>COUNTIFS(WI_Feature,$A107,WI_Push,"Yes")</f>
      </c>
      <c r="H107" s="22">
        <f>COUNTIFS(WI_Feature,$A107,WI_Test,"Yes")</f>
      </c>
      <c r="I107" s="22">
        <f>C107-D107</f>
      </c>
      <c r="J107" s="22">
        <f>'03_Feature_Summary'!N20</f>
      </c>
      <c r="K107" s="22">
        <f>'03_Feature_Summary'!P20</f>
      </c>
      <c r="L107" s="29">
        <f>'03_Feature_Summary'!Q20</f>
      </c>
      <c r="M107" s="18">
        <f>REPT("|",ROUND(L107*26,0))</f>
      </c>
      <c r="N107" s="18"/>
    </row>
    <row r="108" ht="16" customHeight="1" spans="1:14" x14ac:dyDescent="0.25">
      <c r="A108" s="5" t="s">
        <v>165</v>
      </c>
      <c r="B108" s="28" t="s">
        <v>161</v>
      </c>
      <c r="C108" s="22">
        <f>'03_Feature_Summary'!D21</f>
      </c>
      <c r="D108" s="22">
        <f>'03_Feature_Summary'!M21</f>
      </c>
      <c r="E108" s="22">
        <f>COUNTIFS(WI_Feature,$A108,WI_Impl,"Yes")</f>
      </c>
      <c r="F108" s="22">
        <f>COUNTIFS(WI_Feature,$A108,WI_Comm,"Yes")</f>
      </c>
      <c r="G108" s="22">
        <f>COUNTIFS(WI_Feature,$A108,WI_Push,"Yes")</f>
      </c>
      <c r="H108" s="22">
        <f>COUNTIFS(WI_Feature,$A108,WI_Test,"Yes")</f>
      </c>
      <c r="I108" s="22">
        <f>C108-D108</f>
      </c>
      <c r="J108" s="22">
        <f>'03_Feature_Summary'!N21</f>
      </c>
      <c r="K108" s="22">
        <f>'03_Feature_Summary'!P21</f>
      </c>
      <c r="L108" s="29">
        <f>'03_Feature_Summary'!Q21</f>
      </c>
      <c r="M108" s="18">
        <f>REPT("|",ROUND(L108*26,0))</f>
      </c>
      <c r="N108" s="18"/>
    </row>
    <row r="109" ht="16" customHeight="1" spans="1:14" x14ac:dyDescent="0.25">
      <c r="A109" s="20" t="s">
        <v>166</v>
      </c>
      <c r="B109" s="30" t="s">
        <v>167</v>
      </c>
      <c r="C109" s="22">
        <f>'03_Feature_Summary'!D22</f>
      </c>
      <c r="D109" s="22">
        <f>'03_Feature_Summary'!M22</f>
      </c>
      <c r="E109" s="22">
        <f>COUNTIFS(WI_Feature,$A109,WI_Impl,"Yes")</f>
      </c>
      <c r="F109" s="22">
        <f>COUNTIFS(WI_Feature,$A109,WI_Comm,"Yes")</f>
      </c>
      <c r="G109" s="22">
        <f>COUNTIFS(WI_Feature,$A109,WI_Push,"Yes")</f>
      </c>
      <c r="H109" s="22">
        <f>COUNTIFS(WI_Feature,$A109,WI_Test,"Yes")</f>
      </c>
      <c r="I109" s="22">
        <f>C109-D109</f>
      </c>
      <c r="J109" s="22">
        <f>'03_Feature_Summary'!N22</f>
      </c>
      <c r="K109" s="22">
        <f>'03_Feature_Summary'!P22</f>
      </c>
      <c r="L109" s="29">
        <f>'03_Feature_Summary'!Q22</f>
      </c>
      <c r="M109" s="18">
        <f>REPT("|",ROUND(L109*26,0))</f>
      </c>
      <c r="N109" s="18"/>
    </row>
    <row r="110" ht="16" customHeight="1" spans="1:14" x14ac:dyDescent="0.25">
      <c r="A110" s="5" t="s">
        <v>168</v>
      </c>
      <c r="B110" s="28" t="s">
        <v>167</v>
      </c>
      <c r="C110" s="22">
        <f>'03_Feature_Summary'!D23</f>
      </c>
      <c r="D110" s="22">
        <f>'03_Feature_Summary'!M23</f>
      </c>
      <c r="E110" s="22">
        <f>COUNTIFS(WI_Feature,$A110,WI_Impl,"Yes")</f>
      </c>
      <c r="F110" s="22">
        <f>COUNTIFS(WI_Feature,$A110,WI_Comm,"Yes")</f>
      </c>
      <c r="G110" s="22">
        <f>COUNTIFS(WI_Feature,$A110,WI_Push,"Yes")</f>
      </c>
      <c r="H110" s="22">
        <f>COUNTIFS(WI_Feature,$A110,WI_Test,"Yes")</f>
      </c>
      <c r="I110" s="22">
        <f>C110-D110</f>
      </c>
      <c r="J110" s="22">
        <f>'03_Feature_Summary'!N23</f>
      </c>
      <c r="K110" s="22">
        <f>'03_Feature_Summary'!P23</f>
      </c>
      <c r="L110" s="29">
        <f>'03_Feature_Summary'!Q23</f>
      </c>
      <c r="M110" s="18">
        <f>REPT("|",ROUND(L110*26,0))</f>
      </c>
      <c r="N110" s="18"/>
    </row>
    <row r="111" ht="16" customHeight="1" spans="1:14" x14ac:dyDescent="0.25">
      <c r="A111" s="20" t="s">
        <v>169</v>
      </c>
      <c r="B111" s="30" t="s">
        <v>167</v>
      </c>
      <c r="C111" s="22">
        <f>'03_Feature_Summary'!D24</f>
      </c>
      <c r="D111" s="22">
        <f>'03_Feature_Summary'!M24</f>
      </c>
      <c r="E111" s="22">
        <f>COUNTIFS(WI_Feature,$A111,WI_Impl,"Yes")</f>
      </c>
      <c r="F111" s="22">
        <f>COUNTIFS(WI_Feature,$A111,WI_Comm,"Yes")</f>
      </c>
      <c r="G111" s="22">
        <f>COUNTIFS(WI_Feature,$A111,WI_Push,"Yes")</f>
      </c>
      <c r="H111" s="22">
        <f>COUNTIFS(WI_Feature,$A111,WI_Test,"Yes")</f>
      </c>
      <c r="I111" s="22">
        <f>C111-D111</f>
      </c>
      <c r="J111" s="22">
        <f>'03_Feature_Summary'!N24</f>
      </c>
      <c r="K111" s="22">
        <f>'03_Feature_Summary'!P24</f>
      </c>
      <c r="L111" s="29">
        <f>'03_Feature_Summary'!Q24</f>
      </c>
      <c r="M111" s="18">
        <f>REPT("|",ROUND(L111*26,0))</f>
      </c>
      <c r="N111" s="18"/>
    </row>
    <row r="112" ht="16" customHeight="1" spans="1:14" x14ac:dyDescent="0.25">
      <c r="A112" s="5" t="s">
        <v>170</v>
      </c>
      <c r="B112" s="28" t="s">
        <v>167</v>
      </c>
      <c r="C112" s="22">
        <f>'03_Feature_Summary'!D25</f>
      </c>
      <c r="D112" s="22">
        <f>'03_Feature_Summary'!M25</f>
      </c>
      <c r="E112" s="22">
        <f>COUNTIFS(WI_Feature,$A112,WI_Impl,"Yes")</f>
      </c>
      <c r="F112" s="22">
        <f>COUNTIFS(WI_Feature,$A112,WI_Comm,"Yes")</f>
      </c>
      <c r="G112" s="22">
        <f>COUNTIFS(WI_Feature,$A112,WI_Push,"Yes")</f>
      </c>
      <c r="H112" s="22">
        <f>COUNTIFS(WI_Feature,$A112,WI_Test,"Yes")</f>
      </c>
      <c r="I112" s="22">
        <f>C112-D112</f>
      </c>
      <c r="J112" s="22">
        <f>'03_Feature_Summary'!N25</f>
      </c>
      <c r="K112" s="22">
        <f>'03_Feature_Summary'!P25</f>
      </c>
      <c r="L112" s="29">
        <f>'03_Feature_Summary'!Q25</f>
      </c>
      <c r="M112" s="18">
        <f>REPT("|",ROUND(L112*26,0))</f>
      </c>
      <c r="N112" s="18"/>
    </row>
    <row r="113" ht="16" customHeight="1" spans="1:14" x14ac:dyDescent="0.25">
      <c r="A113" s="20" t="s">
        <v>171</v>
      </c>
      <c r="B113" s="30" t="s">
        <v>172</v>
      </c>
      <c r="C113" s="22">
        <f>'03_Feature_Summary'!D26</f>
      </c>
      <c r="D113" s="22">
        <f>'03_Feature_Summary'!M26</f>
      </c>
      <c r="E113" s="22">
        <f>COUNTIFS(WI_Feature,$A113,WI_Impl,"Yes")</f>
      </c>
      <c r="F113" s="22">
        <f>COUNTIFS(WI_Feature,$A113,WI_Comm,"Yes")</f>
      </c>
      <c r="G113" s="22">
        <f>COUNTIFS(WI_Feature,$A113,WI_Push,"Yes")</f>
      </c>
      <c r="H113" s="22">
        <f>COUNTIFS(WI_Feature,$A113,WI_Test,"Yes")</f>
      </c>
      <c r="I113" s="22">
        <f>C113-D113</f>
      </c>
      <c r="J113" s="22">
        <f>'03_Feature_Summary'!N26</f>
      </c>
      <c r="K113" s="22">
        <f>'03_Feature_Summary'!P26</f>
      </c>
      <c r="L113" s="29">
        <f>'03_Feature_Summary'!Q26</f>
      </c>
      <c r="M113" s="18">
        <f>REPT("|",ROUND(L113*26,0))</f>
      </c>
      <c r="N113" s="18"/>
    </row>
    <row r="114" ht="16" customHeight="1" spans="1:14" x14ac:dyDescent="0.25">
      <c r="A114" s="5" t="s">
        <v>173</v>
      </c>
      <c r="B114" s="28" t="s">
        <v>172</v>
      </c>
      <c r="C114" s="22">
        <f>'03_Feature_Summary'!D27</f>
      </c>
      <c r="D114" s="22">
        <f>'03_Feature_Summary'!M27</f>
      </c>
      <c r="E114" s="22">
        <f>COUNTIFS(WI_Feature,$A114,WI_Impl,"Yes")</f>
      </c>
      <c r="F114" s="22">
        <f>COUNTIFS(WI_Feature,$A114,WI_Comm,"Yes")</f>
      </c>
      <c r="G114" s="22">
        <f>COUNTIFS(WI_Feature,$A114,WI_Push,"Yes")</f>
      </c>
      <c r="H114" s="22">
        <f>COUNTIFS(WI_Feature,$A114,WI_Test,"Yes")</f>
      </c>
      <c r="I114" s="22">
        <f>C114-D114</f>
      </c>
      <c r="J114" s="22">
        <f>'03_Feature_Summary'!N27</f>
      </c>
      <c r="K114" s="22">
        <f>'03_Feature_Summary'!P27</f>
      </c>
      <c r="L114" s="29">
        <f>'03_Feature_Summary'!Q27</f>
      </c>
      <c r="M114" s="18">
        <f>REPT("|",ROUND(L114*26,0))</f>
      </c>
      <c r="N114" s="18"/>
    </row>
    <row r="115" ht="16" customHeight="1" spans="1:14" x14ac:dyDescent="0.25">
      <c r="A115" s="20" t="s">
        <v>174</v>
      </c>
      <c r="B115" s="30" t="s">
        <v>175</v>
      </c>
      <c r="C115" s="22">
        <f>'03_Feature_Summary'!D28</f>
      </c>
      <c r="D115" s="22">
        <f>'03_Feature_Summary'!M28</f>
      </c>
      <c r="E115" s="22">
        <f>COUNTIFS(WI_Feature,$A115,WI_Impl,"Yes")</f>
      </c>
      <c r="F115" s="22">
        <f>COUNTIFS(WI_Feature,$A115,WI_Comm,"Yes")</f>
      </c>
      <c r="G115" s="22">
        <f>COUNTIFS(WI_Feature,$A115,WI_Push,"Yes")</f>
      </c>
      <c r="H115" s="22">
        <f>COUNTIFS(WI_Feature,$A115,WI_Test,"Yes")</f>
      </c>
      <c r="I115" s="22">
        <f>C115-D115</f>
      </c>
      <c r="J115" s="22">
        <f>'03_Feature_Summary'!N28</f>
      </c>
      <c r="K115" s="22">
        <f>'03_Feature_Summary'!P28</f>
      </c>
      <c r="L115" s="29">
        <f>'03_Feature_Summary'!Q28</f>
      </c>
      <c r="M115" s="18">
        <f>REPT("|",ROUND(L115*26,0))</f>
      </c>
      <c r="N115" s="18"/>
    </row>
    <row r="116" ht="16" customHeight="1" spans="1:14" x14ac:dyDescent="0.25">
      <c r="A116" s="5" t="s">
        <v>176</v>
      </c>
      <c r="B116" s="28" t="s">
        <v>175</v>
      </c>
      <c r="C116" s="22">
        <f>'03_Feature_Summary'!D29</f>
      </c>
      <c r="D116" s="22">
        <f>'03_Feature_Summary'!M29</f>
      </c>
      <c r="E116" s="22">
        <f>COUNTIFS(WI_Feature,$A116,WI_Impl,"Yes")</f>
      </c>
      <c r="F116" s="22">
        <f>COUNTIFS(WI_Feature,$A116,WI_Comm,"Yes")</f>
      </c>
      <c r="G116" s="22">
        <f>COUNTIFS(WI_Feature,$A116,WI_Push,"Yes")</f>
      </c>
      <c r="H116" s="22">
        <f>COUNTIFS(WI_Feature,$A116,WI_Test,"Yes")</f>
      </c>
      <c r="I116" s="22">
        <f>C116-D116</f>
      </c>
      <c r="J116" s="22">
        <f>'03_Feature_Summary'!N29</f>
      </c>
      <c r="K116" s="22">
        <f>'03_Feature_Summary'!P29</f>
      </c>
      <c r="L116" s="29">
        <f>'03_Feature_Summary'!Q29</f>
      </c>
      <c r="M116" s="18">
        <f>REPT("|",ROUND(L116*26,0))</f>
      </c>
      <c r="N116" s="18"/>
    </row>
    <row r="117" ht="16" customHeight="1" spans="1:14" x14ac:dyDescent="0.25">
      <c r="A117" s="20" t="s">
        <v>177</v>
      </c>
      <c r="B117" s="30" t="s">
        <v>175</v>
      </c>
      <c r="C117" s="22">
        <f>'03_Feature_Summary'!D30</f>
      </c>
      <c r="D117" s="22">
        <f>'03_Feature_Summary'!M30</f>
      </c>
      <c r="E117" s="22">
        <f>COUNTIFS(WI_Feature,$A117,WI_Impl,"Yes")</f>
      </c>
      <c r="F117" s="22">
        <f>COUNTIFS(WI_Feature,$A117,WI_Comm,"Yes")</f>
      </c>
      <c r="G117" s="22">
        <f>COUNTIFS(WI_Feature,$A117,WI_Push,"Yes")</f>
      </c>
      <c r="H117" s="22">
        <f>COUNTIFS(WI_Feature,$A117,WI_Test,"Yes")</f>
      </c>
      <c r="I117" s="22">
        <f>C117-D117</f>
      </c>
      <c r="J117" s="22">
        <f>'03_Feature_Summary'!N30</f>
      </c>
      <c r="K117" s="22">
        <f>'03_Feature_Summary'!P30</f>
      </c>
      <c r="L117" s="29">
        <f>'03_Feature_Summary'!Q30</f>
      </c>
      <c r="M117" s="18">
        <f>REPT("|",ROUND(L117*26,0))</f>
      </c>
      <c r="N117" s="18"/>
    </row>
    <row r="118" ht="16" customHeight="1" spans="1:14" x14ac:dyDescent="0.25">
      <c r="A118" s="5" t="s">
        <v>178</v>
      </c>
      <c r="B118" s="28" t="s">
        <v>179</v>
      </c>
      <c r="C118" s="22">
        <f>'03_Feature_Summary'!D31</f>
      </c>
      <c r="D118" s="22">
        <f>'03_Feature_Summary'!M31</f>
      </c>
      <c r="E118" s="22">
        <f>COUNTIFS(WI_Feature,$A118,WI_Impl,"Yes")</f>
      </c>
      <c r="F118" s="22">
        <f>COUNTIFS(WI_Feature,$A118,WI_Comm,"Yes")</f>
      </c>
      <c r="G118" s="22">
        <f>COUNTIFS(WI_Feature,$A118,WI_Push,"Yes")</f>
      </c>
      <c r="H118" s="22">
        <f>COUNTIFS(WI_Feature,$A118,WI_Test,"Yes")</f>
      </c>
      <c r="I118" s="22">
        <f>C118-D118</f>
      </c>
      <c r="J118" s="22">
        <f>'03_Feature_Summary'!N31</f>
      </c>
      <c r="K118" s="22">
        <f>'03_Feature_Summary'!P31</f>
      </c>
      <c r="L118" s="29">
        <f>'03_Feature_Summary'!Q31</f>
      </c>
      <c r="M118" s="18">
        <f>REPT("|",ROUND(L118*26,0))</f>
      </c>
      <c r="N118" s="18"/>
    </row>
    <row r="119" ht="16" customHeight="1" spans="1:14" x14ac:dyDescent="0.25">
      <c r="A119" s="20" t="s">
        <v>180</v>
      </c>
      <c r="B119" s="30" t="s">
        <v>179</v>
      </c>
      <c r="C119" s="22">
        <f>'03_Feature_Summary'!D32</f>
      </c>
      <c r="D119" s="22">
        <f>'03_Feature_Summary'!M32</f>
      </c>
      <c r="E119" s="22">
        <f>COUNTIFS(WI_Feature,$A119,WI_Impl,"Yes")</f>
      </c>
      <c r="F119" s="22">
        <f>COUNTIFS(WI_Feature,$A119,WI_Comm,"Yes")</f>
      </c>
      <c r="G119" s="22">
        <f>COUNTIFS(WI_Feature,$A119,WI_Push,"Yes")</f>
      </c>
      <c r="H119" s="22">
        <f>COUNTIFS(WI_Feature,$A119,WI_Test,"Yes")</f>
      </c>
      <c r="I119" s="22">
        <f>C119-D119</f>
      </c>
      <c r="J119" s="22">
        <f>'03_Feature_Summary'!N32</f>
      </c>
      <c r="K119" s="22">
        <f>'03_Feature_Summary'!P32</f>
      </c>
      <c r="L119" s="29">
        <f>'03_Feature_Summary'!Q32</f>
      </c>
      <c r="M119" s="18">
        <f>REPT("|",ROUND(L119*26,0))</f>
      </c>
      <c r="N119" s="18"/>
    </row>
    <row r="120" ht="16" customHeight="1" spans="1:14" x14ac:dyDescent="0.25">
      <c r="A120" s="5" t="s">
        <v>181</v>
      </c>
      <c r="B120" s="28" t="s">
        <v>179</v>
      </c>
      <c r="C120" s="22">
        <f>'03_Feature_Summary'!D33</f>
      </c>
      <c r="D120" s="22">
        <f>'03_Feature_Summary'!M33</f>
      </c>
      <c r="E120" s="22">
        <f>COUNTIFS(WI_Feature,$A120,WI_Impl,"Yes")</f>
      </c>
      <c r="F120" s="22">
        <f>COUNTIFS(WI_Feature,$A120,WI_Comm,"Yes")</f>
      </c>
      <c r="G120" s="22">
        <f>COUNTIFS(WI_Feature,$A120,WI_Push,"Yes")</f>
      </c>
      <c r="H120" s="22">
        <f>COUNTIFS(WI_Feature,$A120,WI_Test,"Yes")</f>
      </c>
      <c r="I120" s="22">
        <f>C120-D120</f>
      </c>
      <c r="J120" s="22">
        <f>'03_Feature_Summary'!N33</f>
      </c>
      <c r="K120" s="22">
        <f>'03_Feature_Summary'!P33</f>
      </c>
      <c r="L120" s="29">
        <f>'03_Feature_Summary'!Q33</f>
      </c>
      <c r="M120" s="18">
        <f>REPT("|",ROUND(L120*26,0))</f>
      </c>
      <c r="N120" s="18"/>
    </row>
    <row r="121" ht="16" customHeight="1" spans="1:14" x14ac:dyDescent="0.25">
      <c r="A121" s="20" t="s">
        <v>182</v>
      </c>
      <c r="B121" s="30" t="s">
        <v>179</v>
      </c>
      <c r="C121" s="22">
        <f>'03_Feature_Summary'!D34</f>
      </c>
      <c r="D121" s="22">
        <f>'03_Feature_Summary'!M34</f>
      </c>
      <c r="E121" s="22">
        <f>COUNTIFS(WI_Feature,$A121,WI_Impl,"Yes")</f>
      </c>
      <c r="F121" s="22">
        <f>COUNTIFS(WI_Feature,$A121,WI_Comm,"Yes")</f>
      </c>
      <c r="G121" s="22">
        <f>COUNTIFS(WI_Feature,$A121,WI_Push,"Yes")</f>
      </c>
      <c r="H121" s="22">
        <f>COUNTIFS(WI_Feature,$A121,WI_Test,"Yes")</f>
      </c>
      <c r="I121" s="22">
        <f>C121-D121</f>
      </c>
      <c r="J121" s="22">
        <f>'03_Feature_Summary'!N34</f>
      </c>
      <c r="K121" s="22">
        <f>'03_Feature_Summary'!P34</f>
      </c>
      <c r="L121" s="29">
        <f>'03_Feature_Summary'!Q34</f>
      </c>
      <c r="M121" s="18">
        <f>REPT("|",ROUND(L121*26,0))</f>
      </c>
      <c r="N121" s="18"/>
    </row>
    <row r="122" ht="16" customHeight="1" spans="1:14" x14ac:dyDescent="0.25">
      <c r="A122" s="5" t="s">
        <v>183</v>
      </c>
      <c r="B122" s="28" t="s">
        <v>179</v>
      </c>
      <c r="C122" s="22">
        <f>'03_Feature_Summary'!D35</f>
      </c>
      <c r="D122" s="22">
        <f>'03_Feature_Summary'!M35</f>
      </c>
      <c r="E122" s="22">
        <f>COUNTIFS(WI_Feature,$A122,WI_Impl,"Yes")</f>
      </c>
      <c r="F122" s="22">
        <f>COUNTIFS(WI_Feature,$A122,WI_Comm,"Yes")</f>
      </c>
      <c r="G122" s="22">
        <f>COUNTIFS(WI_Feature,$A122,WI_Push,"Yes")</f>
      </c>
      <c r="H122" s="22">
        <f>COUNTIFS(WI_Feature,$A122,WI_Test,"Yes")</f>
      </c>
      <c r="I122" s="22">
        <f>C122-D122</f>
      </c>
      <c r="J122" s="22">
        <f>'03_Feature_Summary'!N35</f>
      </c>
      <c r="K122" s="22">
        <f>'03_Feature_Summary'!P35</f>
      </c>
      <c r="L122" s="29">
        <f>'03_Feature_Summary'!Q35</f>
      </c>
      <c r="M122" s="18">
        <f>REPT("|",ROUND(L122*26,0))</f>
      </c>
      <c r="N122" s="18"/>
    </row>
    <row r="123" ht="16" customHeight="1" spans="1:14" x14ac:dyDescent="0.25">
      <c r="A123" s="20" t="s">
        <v>184</v>
      </c>
      <c r="B123" s="30" t="s">
        <v>185</v>
      </c>
      <c r="C123" s="22">
        <f>'03_Feature_Summary'!D36</f>
      </c>
      <c r="D123" s="22">
        <f>'03_Feature_Summary'!M36</f>
      </c>
      <c r="E123" s="22">
        <f>COUNTIFS(WI_Feature,$A123,WI_Impl,"Yes")</f>
      </c>
      <c r="F123" s="22">
        <f>COUNTIFS(WI_Feature,$A123,WI_Comm,"Yes")</f>
      </c>
      <c r="G123" s="22">
        <f>COUNTIFS(WI_Feature,$A123,WI_Push,"Yes")</f>
      </c>
      <c r="H123" s="22">
        <f>COUNTIFS(WI_Feature,$A123,WI_Test,"Yes")</f>
      </c>
      <c r="I123" s="22">
        <f>C123-D123</f>
      </c>
      <c r="J123" s="22">
        <f>'03_Feature_Summary'!N36</f>
      </c>
      <c r="K123" s="22">
        <f>'03_Feature_Summary'!P36</f>
      </c>
      <c r="L123" s="29">
        <f>'03_Feature_Summary'!Q36</f>
      </c>
      <c r="M123" s="18">
        <f>REPT("|",ROUND(L123*26,0))</f>
      </c>
      <c r="N123" s="18"/>
    </row>
    <row r="124" ht="16" customHeight="1" spans="1:14" x14ac:dyDescent="0.25">
      <c r="A124" s="5" t="s">
        <v>186</v>
      </c>
      <c r="B124" s="28" t="s">
        <v>185</v>
      </c>
      <c r="C124" s="22">
        <f>'03_Feature_Summary'!D37</f>
      </c>
      <c r="D124" s="22">
        <f>'03_Feature_Summary'!M37</f>
      </c>
      <c r="E124" s="22">
        <f>COUNTIFS(WI_Feature,$A124,WI_Impl,"Yes")</f>
      </c>
      <c r="F124" s="22">
        <f>COUNTIFS(WI_Feature,$A124,WI_Comm,"Yes")</f>
      </c>
      <c r="G124" s="22">
        <f>COUNTIFS(WI_Feature,$A124,WI_Push,"Yes")</f>
      </c>
      <c r="H124" s="22">
        <f>COUNTIFS(WI_Feature,$A124,WI_Test,"Yes")</f>
      </c>
      <c r="I124" s="22">
        <f>C124-D124</f>
      </c>
      <c r="J124" s="22">
        <f>'03_Feature_Summary'!N37</f>
      </c>
      <c r="K124" s="22">
        <f>'03_Feature_Summary'!P37</f>
      </c>
      <c r="L124" s="29">
        <f>'03_Feature_Summary'!Q37</f>
      </c>
      <c r="M124" s="18">
        <f>REPT("|",ROUND(L124*26,0))</f>
      </c>
      <c r="N124" s="18"/>
    </row>
    <row r="125" ht="16" customHeight="1" spans="1:14" x14ac:dyDescent="0.25">
      <c r="A125" s="20" t="s">
        <v>187</v>
      </c>
      <c r="B125" s="30" t="s">
        <v>185</v>
      </c>
      <c r="C125" s="22">
        <f>'03_Feature_Summary'!D38</f>
      </c>
      <c r="D125" s="22">
        <f>'03_Feature_Summary'!M38</f>
      </c>
      <c r="E125" s="22">
        <f>COUNTIFS(WI_Feature,$A125,WI_Impl,"Yes")</f>
      </c>
      <c r="F125" s="22">
        <f>COUNTIFS(WI_Feature,$A125,WI_Comm,"Yes")</f>
      </c>
      <c r="G125" s="22">
        <f>COUNTIFS(WI_Feature,$A125,WI_Push,"Yes")</f>
      </c>
      <c r="H125" s="22">
        <f>COUNTIFS(WI_Feature,$A125,WI_Test,"Yes")</f>
      </c>
      <c r="I125" s="22">
        <f>C125-D125</f>
      </c>
      <c r="J125" s="22">
        <f>'03_Feature_Summary'!N38</f>
      </c>
      <c r="K125" s="22">
        <f>'03_Feature_Summary'!P38</f>
      </c>
      <c r="L125" s="29">
        <f>'03_Feature_Summary'!Q38</f>
      </c>
      <c r="M125" s="18">
        <f>REPT("|",ROUND(L125*26,0))</f>
      </c>
      <c r="N125" s="18"/>
    </row>
    <row r="126" ht="16" customHeight="1" spans="1:14" x14ac:dyDescent="0.25">
      <c r="A126" s="5" t="s">
        <v>188</v>
      </c>
      <c r="B126" s="28" t="s">
        <v>185</v>
      </c>
      <c r="C126" s="22">
        <f>'03_Feature_Summary'!D39</f>
      </c>
      <c r="D126" s="22">
        <f>'03_Feature_Summary'!M39</f>
      </c>
      <c r="E126" s="22">
        <f>COUNTIFS(WI_Feature,$A126,WI_Impl,"Yes")</f>
      </c>
      <c r="F126" s="22">
        <f>COUNTIFS(WI_Feature,$A126,WI_Comm,"Yes")</f>
      </c>
      <c r="G126" s="22">
        <f>COUNTIFS(WI_Feature,$A126,WI_Push,"Yes")</f>
      </c>
      <c r="H126" s="22">
        <f>COUNTIFS(WI_Feature,$A126,WI_Test,"Yes")</f>
      </c>
      <c r="I126" s="22">
        <f>C126-D126</f>
      </c>
      <c r="J126" s="22">
        <f>'03_Feature_Summary'!N39</f>
      </c>
      <c r="K126" s="22">
        <f>'03_Feature_Summary'!P39</f>
      </c>
      <c r="L126" s="29">
        <f>'03_Feature_Summary'!Q39</f>
      </c>
      <c r="M126" s="18">
        <f>REPT("|",ROUND(L126*26,0))</f>
      </c>
      <c r="N126" s="18"/>
    </row>
    <row r="127" ht="16" customHeight="1" spans="1:14" x14ac:dyDescent="0.25">
      <c r="A127" s="20" t="s">
        <v>189</v>
      </c>
      <c r="B127" s="30" t="s">
        <v>190</v>
      </c>
      <c r="C127" s="22">
        <f>'03_Feature_Summary'!D40</f>
      </c>
      <c r="D127" s="22">
        <f>'03_Feature_Summary'!M40</f>
      </c>
      <c r="E127" s="22">
        <f>COUNTIFS(WI_Feature,$A127,WI_Impl,"Yes")</f>
      </c>
      <c r="F127" s="22">
        <f>COUNTIFS(WI_Feature,$A127,WI_Comm,"Yes")</f>
      </c>
      <c r="G127" s="22">
        <f>COUNTIFS(WI_Feature,$A127,WI_Push,"Yes")</f>
      </c>
      <c r="H127" s="22">
        <f>COUNTIFS(WI_Feature,$A127,WI_Test,"Yes")</f>
      </c>
      <c r="I127" s="22">
        <f>C127-D127</f>
      </c>
      <c r="J127" s="22">
        <f>'03_Feature_Summary'!N40</f>
      </c>
      <c r="K127" s="22">
        <f>'03_Feature_Summary'!P40</f>
      </c>
      <c r="L127" s="29">
        <f>'03_Feature_Summary'!Q40</f>
      </c>
      <c r="M127" s="18">
        <f>REPT("|",ROUND(L127*26,0))</f>
      </c>
      <c r="N127" s="18"/>
    </row>
    <row r="128" ht="16" customHeight="1" spans="1:14" x14ac:dyDescent="0.25">
      <c r="A128" s="5" t="s">
        <v>191</v>
      </c>
      <c r="B128" s="28" t="s">
        <v>192</v>
      </c>
      <c r="C128" s="22">
        <f>'03_Feature_Summary'!D41</f>
      </c>
      <c r="D128" s="22">
        <f>'03_Feature_Summary'!M41</f>
      </c>
      <c r="E128" s="22">
        <f>COUNTIFS(WI_Feature,$A128,WI_Impl,"Yes")</f>
      </c>
      <c r="F128" s="22">
        <f>COUNTIFS(WI_Feature,$A128,WI_Comm,"Yes")</f>
      </c>
      <c r="G128" s="22">
        <f>COUNTIFS(WI_Feature,$A128,WI_Push,"Yes")</f>
      </c>
      <c r="H128" s="22">
        <f>COUNTIFS(WI_Feature,$A128,WI_Test,"Yes")</f>
      </c>
      <c r="I128" s="22">
        <f>C128-D128</f>
      </c>
      <c r="J128" s="22">
        <f>'03_Feature_Summary'!N41</f>
      </c>
      <c r="K128" s="22">
        <f>'03_Feature_Summary'!P41</f>
      </c>
      <c r="L128" s="29">
        <f>'03_Feature_Summary'!Q41</f>
      </c>
      <c r="M128" s="18">
        <f>REPT("|",ROUND(L128*26,0))</f>
      </c>
      <c r="N128" s="18"/>
    </row>
    <row r="129" ht="16" customHeight="1" spans="1:14" x14ac:dyDescent="0.25">
      <c r="A129" s="20" t="s">
        <v>193</v>
      </c>
      <c r="B129" s="30" t="s">
        <v>194</v>
      </c>
      <c r="C129" s="22">
        <f>'03_Feature_Summary'!D42</f>
      </c>
      <c r="D129" s="22">
        <f>'03_Feature_Summary'!M42</f>
      </c>
      <c r="E129" s="22">
        <f>COUNTIFS(WI_Feature,$A129,WI_Impl,"Yes")</f>
      </c>
      <c r="F129" s="22">
        <f>COUNTIFS(WI_Feature,$A129,WI_Comm,"Yes")</f>
      </c>
      <c r="G129" s="22">
        <f>COUNTIFS(WI_Feature,$A129,WI_Push,"Yes")</f>
      </c>
      <c r="H129" s="22">
        <f>COUNTIFS(WI_Feature,$A129,WI_Test,"Yes")</f>
      </c>
      <c r="I129" s="22">
        <f>C129-D129</f>
      </c>
      <c r="J129" s="22">
        <f>'03_Feature_Summary'!N42</f>
      </c>
      <c r="K129" s="22">
        <f>'03_Feature_Summary'!P42</f>
      </c>
      <c r="L129" s="29">
        <f>'03_Feature_Summary'!Q42</f>
      </c>
      <c r="M129" s="18">
        <f>REPT("|",ROUND(L129*26,0))</f>
      </c>
      <c r="N129" s="18"/>
    </row>
    <row r="130" ht="16" customHeight="1" spans="1:14" x14ac:dyDescent="0.25">
      <c r="A130" s="5" t="s">
        <v>195</v>
      </c>
      <c r="B130" s="28" t="s">
        <v>194</v>
      </c>
      <c r="C130" s="22">
        <f>'03_Feature_Summary'!D43</f>
      </c>
      <c r="D130" s="22">
        <f>'03_Feature_Summary'!M43</f>
      </c>
      <c r="E130" s="22">
        <f>COUNTIFS(WI_Feature,$A130,WI_Impl,"Yes")</f>
      </c>
      <c r="F130" s="22">
        <f>COUNTIFS(WI_Feature,$A130,WI_Comm,"Yes")</f>
      </c>
      <c r="G130" s="22">
        <f>COUNTIFS(WI_Feature,$A130,WI_Push,"Yes")</f>
      </c>
      <c r="H130" s="22">
        <f>COUNTIFS(WI_Feature,$A130,WI_Test,"Yes")</f>
      </c>
      <c r="I130" s="22">
        <f>C130-D130</f>
      </c>
      <c r="J130" s="22">
        <f>'03_Feature_Summary'!N43</f>
      </c>
      <c r="K130" s="22">
        <f>'03_Feature_Summary'!P43</f>
      </c>
      <c r="L130" s="29">
        <f>'03_Feature_Summary'!Q43</f>
      </c>
      <c r="M130" s="18">
        <f>REPT("|",ROUND(L130*26,0))</f>
      </c>
      <c r="N130" s="18"/>
    </row>
    <row r="132" ht="22" customHeight="1" spans="1:14" x14ac:dyDescent="0.25">
      <c r="A132" s="3" t="s">
        <v>196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ht="28" customHeight="1" spans="1:14" x14ac:dyDescent="0.25">
      <c r="A133" s="31" t="s">
        <v>197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</row>
    <row r="134" ht="28" customHeight="1" spans="1:14" x14ac:dyDescent="0.25">
      <c r="A134" s="32" t="s">
        <v>198</v>
      </c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</row>
    <row r="135" ht="28" customHeight="1" spans="1:14" x14ac:dyDescent="0.25">
      <c r="A135" s="31" t="s">
        <v>199</v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</row>
    <row r="136" ht="28" customHeight="1" spans="1:14" x14ac:dyDescent="0.25">
      <c r="A136" s="32" t="s">
        <v>200</v>
      </c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</row>
    <row r="137" ht="28" customHeight="1" spans="1:14" x14ac:dyDescent="0.25">
      <c r="A137" s="31" t="s">
        <v>201</v>
      </c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</row>
    <row r="138" ht="28" customHeight="1" spans="1:14" x14ac:dyDescent="0.25">
      <c r="A138" s="32" t="s">
        <v>202</v>
      </c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</row>
    <row r="139" ht="28" customHeight="1" spans="1:14" x14ac:dyDescent="0.25">
      <c r="A139" s="31" t="s">
        <v>203</v>
      </c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</row>
    <row r="141" ht="22" customHeight="1" spans="1:14" x14ac:dyDescent="0.25">
      <c r="A141" s="3" t="s">
        <v>204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ht="16" customHeight="1" x14ac:dyDescent="0.25"/>
    <row r="143" ht="16" customHeight="1" x14ac:dyDescent="0.25"/>
    <row r="144" ht="16" customHeight="1" x14ac:dyDescent="0.25"/>
    <row r="145" ht="16" customHeight="1" x14ac:dyDescent="0.25"/>
    <row r="146" ht="16" customHeight="1" x14ac:dyDescent="0.25"/>
    <row r="147" ht="16" customHeight="1" x14ac:dyDescent="0.25"/>
    <row r="148" ht="16" customHeight="1" x14ac:dyDescent="0.25"/>
    <row r="149" ht="16" customHeight="1" x14ac:dyDescent="0.25"/>
    <row r="150" ht="16" customHeight="1" x14ac:dyDescent="0.25"/>
    <row r="151" ht="16" customHeight="1" x14ac:dyDescent="0.25"/>
    <row r="152" ht="16" customHeight="1" x14ac:dyDescent="0.25"/>
    <row r="153" ht="16" customHeight="1" x14ac:dyDescent="0.25"/>
    <row r="154" ht="16" customHeight="1" x14ac:dyDescent="0.25"/>
    <row r="155" ht="16" customHeight="1" x14ac:dyDescent="0.25"/>
    <row r="156" ht="16" customHeight="1" x14ac:dyDescent="0.25"/>
    <row r="157" ht="16" customHeight="1" x14ac:dyDescent="0.25"/>
    <row r="158" ht="16" customHeight="1" x14ac:dyDescent="0.25"/>
    <row r="159" ht="16" customHeight="1" x14ac:dyDescent="0.25"/>
    <row r="160" ht="16" customHeight="1" x14ac:dyDescent="0.25"/>
    <row r="161" ht="16" customHeight="1" x14ac:dyDescent="0.25"/>
    <row r="162" ht="16" customHeight="1" x14ac:dyDescent="0.25"/>
    <row r="163" ht="16" customHeight="1" x14ac:dyDescent="0.25"/>
  </sheetData>
  <sheetProtection sheet="1"/>
  <mergeCells count="170">
    <mergeCell ref="A1:N1"/>
    <mergeCell ref="A2:N2"/>
    <mergeCell ref="A4:N4"/>
    <mergeCell ref="B5:E5"/>
    <mergeCell ref="F5:G5"/>
    <mergeCell ref="H5:I5"/>
    <mergeCell ref="J5:K5"/>
    <mergeCell ref="L5:N5"/>
    <mergeCell ref="B6:E6"/>
    <mergeCell ref="F6:G6"/>
    <mergeCell ref="H6:I6"/>
    <mergeCell ref="J6:K6"/>
    <mergeCell ref="L6:N6"/>
    <mergeCell ref="B7:E7"/>
    <mergeCell ref="F7:G7"/>
    <mergeCell ref="H7:I7"/>
    <mergeCell ref="J7:K7"/>
    <mergeCell ref="L7:N7"/>
    <mergeCell ref="B8:E8"/>
    <mergeCell ref="F8:G8"/>
    <mergeCell ref="H8:I8"/>
    <mergeCell ref="J8:K8"/>
    <mergeCell ref="L8:N8"/>
    <mergeCell ref="A10:N10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4:B14"/>
    <mergeCell ref="C14:D14"/>
    <mergeCell ref="E14:F14"/>
    <mergeCell ref="G14:H14"/>
    <mergeCell ref="I14:J14"/>
    <mergeCell ref="K14:L14"/>
    <mergeCell ref="M14:N14"/>
    <mergeCell ref="A15:B15"/>
    <mergeCell ref="C15:D15"/>
    <mergeCell ref="E15:F15"/>
    <mergeCell ref="G15:H15"/>
    <mergeCell ref="I15:J15"/>
    <mergeCell ref="K15:L15"/>
    <mergeCell ref="M15:N15"/>
    <mergeCell ref="A18:N18"/>
    <mergeCell ref="E19:G19"/>
    <mergeCell ref="H19:N19"/>
    <mergeCell ref="E20:G20"/>
    <mergeCell ref="H20:N20"/>
    <mergeCell ref="E21:G21"/>
    <mergeCell ref="H21:N21"/>
    <mergeCell ref="E22:G22"/>
    <mergeCell ref="H22:N22"/>
    <mergeCell ref="E23:G23"/>
    <mergeCell ref="H23:N23"/>
    <mergeCell ref="E24:G24"/>
    <mergeCell ref="H24:N24"/>
    <mergeCell ref="E25:G25"/>
    <mergeCell ref="H25:N25"/>
    <mergeCell ref="E26:G26"/>
    <mergeCell ref="H26:N26"/>
    <mergeCell ref="E27:G27"/>
    <mergeCell ref="H27:N27"/>
    <mergeCell ref="A29:N29"/>
    <mergeCell ref="D30:G30"/>
    <mergeCell ref="D31:G31"/>
    <mergeCell ref="D32:G32"/>
    <mergeCell ref="D33:G33"/>
    <mergeCell ref="D34:G34"/>
    <mergeCell ref="D35:G35"/>
    <mergeCell ref="D36:G36"/>
    <mergeCell ref="D37:G37"/>
    <mergeCell ref="D38:G38"/>
    <mergeCell ref="D39:G39"/>
    <mergeCell ref="D40:G40"/>
    <mergeCell ref="D41:G41"/>
    <mergeCell ref="D42:G42"/>
    <mergeCell ref="D43:G43"/>
    <mergeCell ref="A46:N46"/>
    <mergeCell ref="K47:N47"/>
    <mergeCell ref="K48:N48"/>
    <mergeCell ref="K49:N49"/>
    <mergeCell ref="K50:N50"/>
    <mergeCell ref="K51:N51"/>
    <mergeCell ref="K52:N52"/>
    <mergeCell ref="K53:N53"/>
    <mergeCell ref="K54:N54"/>
    <mergeCell ref="K55:N55"/>
    <mergeCell ref="K56:N56"/>
    <mergeCell ref="K57:N57"/>
    <mergeCell ref="K58:N58"/>
    <mergeCell ref="K59:N59"/>
    <mergeCell ref="K60:N60"/>
    <mergeCell ref="K61:N61"/>
    <mergeCell ref="K62:N62"/>
    <mergeCell ref="K63:N63"/>
    <mergeCell ref="K64:N64"/>
    <mergeCell ref="A67:N67"/>
    <mergeCell ref="C68:F68"/>
    <mergeCell ref="J68:N68"/>
    <mergeCell ref="C69:F75"/>
    <mergeCell ref="J69:N75"/>
    <mergeCell ref="A78:N78"/>
    <mergeCell ref="L79:N79"/>
    <mergeCell ref="L80:N80"/>
    <mergeCell ref="L81:N81"/>
    <mergeCell ref="L82:N82"/>
    <mergeCell ref="L83:N83"/>
    <mergeCell ref="L84:N84"/>
    <mergeCell ref="L85:N85"/>
    <mergeCell ref="L86:N86"/>
    <mergeCell ref="L87:N87"/>
    <mergeCell ref="A90:N90"/>
    <mergeCell ref="M91:N91"/>
    <mergeCell ref="M92:N92"/>
    <mergeCell ref="M93:N93"/>
    <mergeCell ref="M94:N94"/>
    <mergeCell ref="M95:N95"/>
    <mergeCell ref="M96:N96"/>
    <mergeCell ref="M97:N97"/>
    <mergeCell ref="M98:N98"/>
    <mergeCell ref="M99:N99"/>
    <mergeCell ref="M100:N100"/>
    <mergeCell ref="M101:N101"/>
    <mergeCell ref="M102:N102"/>
    <mergeCell ref="M103:N103"/>
    <mergeCell ref="M104:N104"/>
    <mergeCell ref="M105:N105"/>
    <mergeCell ref="M106:N106"/>
    <mergeCell ref="M107:N107"/>
    <mergeCell ref="M108:N108"/>
    <mergeCell ref="M109:N109"/>
    <mergeCell ref="M110:N110"/>
    <mergeCell ref="M111:N111"/>
    <mergeCell ref="M112:N112"/>
    <mergeCell ref="M113:N113"/>
    <mergeCell ref="M114:N114"/>
    <mergeCell ref="M115:N115"/>
    <mergeCell ref="M116:N116"/>
    <mergeCell ref="M117:N117"/>
    <mergeCell ref="M118:N118"/>
    <mergeCell ref="M119:N119"/>
    <mergeCell ref="M120:N120"/>
    <mergeCell ref="M121:N121"/>
    <mergeCell ref="M122:N122"/>
    <mergeCell ref="M123:N123"/>
    <mergeCell ref="M124:N124"/>
    <mergeCell ref="M125:N125"/>
    <mergeCell ref="M126:N126"/>
    <mergeCell ref="M127:N127"/>
    <mergeCell ref="M128:N128"/>
    <mergeCell ref="M129:N129"/>
    <mergeCell ref="M130:N130"/>
    <mergeCell ref="A132:N132"/>
    <mergeCell ref="A133:N133"/>
    <mergeCell ref="A134:N134"/>
    <mergeCell ref="A135:N135"/>
    <mergeCell ref="A136:N136"/>
    <mergeCell ref="A137:N137"/>
    <mergeCell ref="A138:N138"/>
    <mergeCell ref="A139:N139"/>
    <mergeCell ref="A141:N141"/>
  </mergeCells>
  <conditionalFormatting sqref="D20:D27">
    <cfRule type="dataBar" priority="1">
      <dataBar>
        <cfvo type="num" val="0"/>
        <cfvo type="num" val="1"/>
        <color rgb="FF1D6F8C"/>
      </dataBar>
      <extLst>
        <ext xmlns:x14="http://schemas.microsoft.com/office/spreadsheetml/2009/9/main" uri="{B025F937-C7B1-47D3-B67F-A62EFF666E3E}">
          <x14:id>{F89BD402-D4CE-4DED-83DA-59749817B4B6}</x14:id>
        </ext>
      </extLst>
    </cfRule>
  </conditionalFormatting>
  <conditionalFormatting sqref="B31:B43">
    <cfRule type="dataBar" priority="1">
      <dataBar>
        <cfvo type="min"/>
        <cfvo type="max"/>
        <color rgb="FF1D6F8C"/>
      </dataBar>
      <extLst>
        <ext xmlns:x14="http://schemas.microsoft.com/office/spreadsheetml/2009/9/main" uri="{B025F937-C7B1-47D3-B67F-A62EFF666E3E}">
          <x14:id>{A891CA69-431A-45F9-99E9-31EE5F3CD76A}</x14:id>
        </ext>
      </extLst>
    </cfRule>
  </conditionalFormatting>
  <conditionalFormatting sqref="B48:B64">
    <cfRule type="dataBar" priority="1">
      <dataBar>
        <cfvo type="min"/>
        <cfvo type="max"/>
        <color rgb="FF1D6F8C"/>
      </dataBar>
      <extLst>
        <ext xmlns:x14="http://schemas.microsoft.com/office/spreadsheetml/2009/9/main" uri="{B025F937-C7B1-47D3-B67F-A62EFF666E3E}">
          <x14:id>{985378E2-6398-4310-A044-E4DCDADB5D81}</x14:id>
        </ext>
      </extLst>
    </cfRule>
  </conditionalFormatting>
  <conditionalFormatting sqref="I48:I64">
    <cfRule type="cellIs" dxfId="0" priority="2" operator="greaterThan">
      <formula>0</formula>
    </cfRule>
  </conditionalFormatting>
  <conditionalFormatting sqref="G48:G64">
    <cfRule type="cellIs" dxfId="1" priority="3" operator="greaterThan">
      <formula>0</formula>
    </cfRule>
  </conditionalFormatting>
  <conditionalFormatting sqref="I70:I71">
    <cfRule type="cellIs" dxfId="2" priority="1" operator="greaterThan">
      <formula>0</formula>
    </cfRule>
  </conditionalFormatting>
  <conditionalFormatting sqref="L92:L130">
    <cfRule type="dataBar" priority="1">
      <dataBar>
        <cfvo type="num" val="0"/>
        <cfvo type="num" val="1"/>
        <color rgb="FF2E8B57"/>
      </dataBar>
      <extLst>
        <ext xmlns:x14="http://schemas.microsoft.com/office/spreadsheetml/2009/9/main" uri="{B025F937-C7B1-47D3-B67F-A62EFF666E3E}">
          <x14:id>{A485A0D0-3B6F-4B96-BA76-862EDC63980F}</x14:id>
        </ext>
      </extLst>
    </cfRule>
  </conditionalFormatting>
  <conditionalFormatting sqref="J92:J130">
    <cfRule type="cellIs" dxfId="3" priority="2" operator="greaterThan">
      <formula>0</formula>
    </cfRule>
  </conditionalFormatting>
  <conditionalFormatting sqref="K92:K130">
    <cfRule type="cellIs" dxfId="4" priority="3" operator="greaterThan">
      <formula>0</formula>
    </cfRule>
  </conditionalFormatting>
  <pageSetup paperSize="9" orientation="landscape" fitToWidth="1" fitToHeight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9BD402-D4CE-4DED-83DA-59749817B4B6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D20:D27</xm:sqref>
        </x14:conditionalFormatting>
        <x14:conditionalFormatting xmlns:xm="http://schemas.microsoft.com/office/excel/2006/main">
          <x14:cfRule type="dataBar" id="{A891CA69-431A-45F9-99E9-31EE5F3CD76A}">
            <x14:dataBar minLength="0" maxLength="100">
              <x14:cfvo type="min"/>
              <x14:cfvo type="max"/>
            </x14:dataBar>
          </x14:cfRule>
          <xm:sqref>B31:B43</xm:sqref>
        </x14:conditionalFormatting>
        <x14:conditionalFormatting xmlns:xm="http://schemas.microsoft.com/office/excel/2006/main">
          <x14:cfRule type="dataBar" id="{985378E2-6398-4310-A044-E4DCDADB5D81}">
            <x14:dataBar minLength="0" maxLength="100">
              <x14:cfvo type="min"/>
              <x14:cfvo type="max"/>
            </x14:dataBar>
          </x14:cfRule>
          <xm:sqref>B48:B64</xm:sqref>
        </x14:conditionalFormatting>
        <x14:conditionalFormatting xmlns:xm="http://schemas.microsoft.com/office/excel/2006/main">
          <x14:cfRule type="dataBar" id="{A485A0D0-3B6F-4B96-BA76-862EDC63980F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L92:L130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01_Dashboard</vt:lpstr>
      <vt:lpstr>02_Work_Items</vt:lpstr>
      <vt:lpstr>03_Feature_Summary</vt:lpstr>
      <vt:lpstr>04_Daily_Progress</vt:lpstr>
      <vt:lpstr>05_Commits</vt:lpstr>
      <vt:lpstr>06_Pushes</vt:lpstr>
      <vt:lpstr>07_Testing</vt:lpstr>
      <vt:lpstr>08_Bugs_Issues</vt:lpstr>
      <vt:lpstr>09_Decisions</vt:lpstr>
      <vt:lpstr>10_Dependencies</vt:lpstr>
      <vt:lpstr>11_Risks</vt:lpstr>
      <vt:lpstr>12_Document_Traceability</vt:lpstr>
      <vt:lpstr>13_Dropdowns</vt:lpstr>
    </vt:vector>
  </TitlesOfParts>
  <Company>Carpool Mobility Platform (CMP)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CMP Technical Project Management</dc:creator>
  <dc:title/>
  <dc:subject/>
  <dc:description/>
  <cp:keywords/>
  <cp:category/>
  <cp:lastModifiedBy>Unknown</cp:lastModifiedBy>
  <dcterms:created xsi:type="dcterms:W3CDTF">2026-08-18T00:00:00Z</dcterms:created>
  <dcterms:modified xsi:type="dcterms:W3CDTF">2026-08-18T00:00:00Z</dcterms:modified>
</cp:coreProperties>
</file>